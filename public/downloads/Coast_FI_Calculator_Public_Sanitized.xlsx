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2a42d7962046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72127e24480f4465"/>
    <x:sheet xmlns:r="http://schemas.openxmlformats.org/officeDocument/2006/relationships" name="Bi-Weekly Engine" sheetId="2" r:id="R6d983fefb8e845d8"/>
    <x:sheet xmlns:r="http://schemas.openxmlformats.org/officeDocument/2006/relationships" name="NetworthCalc" sheetId="3" r:id="R3c8dc8b6d943475a"/>
    <x:sheet xmlns:r="http://schemas.openxmlformats.org/officeDocument/2006/relationships" name="Coast FIRE" sheetId="4" r:id="R4acb11b21d1848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0.0000%"/>
    <x:numFmt numFmtId="202" formatCode="$#,##0;[Red]($#,##0);-"/>
  </x:numFmts>
  <x:fonts count="16">
    <x:font>
      <x:sz val="11"/>
      <x:name val="Carlito"/>
    </x:font>
    <x:font>
      <x:b/>
      <x:sz val="11"/>
      <x:color rgb="FFFFFFFF"/>
      <x:name val="Carlito"/>
    </x:font>
    <x:font>
      <x:b/>
      <x:sz val="11"/>
      <x:color rgb="FF000000"/>
      <x:name val="Carlito"/>
    </x:font>
    <x:font>
      <x:b/>
      <x:sz val="10"/>
      <x:color rgb="FF000000"/>
      <x:name val="Arial"/>
    </x:font>
    <x:font>
      <x:sz val="10"/>
      <x:color rgb="FF000000"/>
      <x:name val="Arial"/>
    </x:font>
    <x:font>
      <x:sz val="10"/>
      <x:color rgb="FF0000FF"/>
      <x:name val="Arial"/>
    </x:font>
    <x:font>
      <x:sz val="10"/>
      <x:color rgb="FF008000"/>
      <x:name val="Arial"/>
    </x:font>
    <x:font>
      <x:b/>
      <x:sz val="9"/>
      <x:color rgb="FF000000"/>
      <x:name val="Arial"/>
    </x:font>
    <x:font>
      <x:sz val="9"/>
      <x:color rgb="FF000000"/>
      <x:name val="Arial"/>
    </x:font>
    <x:font>
      <x:b/>
      <x:sz val="9"/>
      <x:color rgb="FFFFFFFF"/>
      <x:name val="Arial"/>
    </x:font>
    <x:font>
      <x:sz val="9"/>
      <x:color rgb="FF008000"/>
      <x:name val="Arial"/>
    </x:font>
    <x:font>
      <x:i/>
      <x:sz val="11"/>
      <x:color rgb="FF000000"/>
      <x:name val="Carlito"/>
    </x:font>
    <x:font>
      <x:i/>
      <x:sz val="9"/>
      <x:color rgb="FF000000"/>
      <x:name val="Arial"/>
    </x:font>
    <x:font>
      <x:sz val="9"/>
      <x:color rgb="FF0000FF"/>
      <x:name val="Arial"/>
    </x:font>
    <x:font>
      <x:b/>
      <x:sz val="11"/>
      <x:color rgb="FF0000FF"/>
      <x:name val="Carlito"/>
    </x:font>
    <x:font>
      <x:b/>
      <x:sz val="9"/>
      <x:color rgb="FF0000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9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/>
    <x:xf numFmtId="0" fontId="3" fillId="3" borderId="1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  <x:xf numFmtId="200" fontId="5" fillId="0" borderId="0" xfId="0" applyNumberFormat="1" applyFont="1" applyFill="1" applyBorder="1" applyAlignment="1">
      <x:alignment wrapText="1"/>
    </x:xf>
    <x:xf numFmtId="200" fontId="5" fillId="0" borderId="1" xfId="0" applyNumberFormat="1" applyFont="1" applyFill="1" applyBorder="1" applyAlignment="1">
      <x:alignment wrapText="1"/>
    </x:xf>
    <x:xf numFmtId="201" fontId="4" fillId="0" borderId="0" xfId="0" applyNumberFormat="1" applyFont="1" applyFill="1" applyBorder="1" applyAlignment="1">
      <x:alignment wrapText="1"/>
    </x:xf>
    <x:xf numFmtId="201" fontId="4" fillId="0" borderId="1" xfId="0" applyNumberFormat="1" applyFont="1" applyFill="1" applyBorder="1" applyAlignment="1">
      <x:alignment wrapText="1"/>
    </x:xf>
    <x:xf numFmtId="202" fontId="5" fillId="0" borderId="0" xfId="0" applyNumberFormat="1" applyFont="1" applyFill="1" applyBorder="1" applyAlignment="1">
      <x:alignment wrapText="1"/>
    </x:xf>
    <x:xf numFmtId="202" fontId="5" fillId="0" borderId="1" xfId="0" applyNumberFormat="1" applyFont="1" applyFill="1" applyBorder="1" applyAlignment="1">
      <x:alignment wrapText="1"/>
    </x:xf>
    <x:xf numFmtId="202" fontId="6" fillId="0" borderId="0" xfId="0" applyNumberFormat="1" applyFont="1" applyFill="1" applyBorder="1" applyAlignment="1">
      <x:alignment wrapText="1"/>
    </x:xf>
    <x:xf numFmtId="202" fontId="6" fillId="0" borderId="1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horizontal="center" vertical="center"/>
    </x:xf>
    <x:xf numFmtId="0" fontId="8" fillId="0" borderId="0" xfId="0" applyNumberFormat="1" applyFont="1" applyFill="1" applyBorder="1"/>
    <x:xf numFmtId="0" fontId="7" fillId="2" borderId="1" xfId="0" applyNumberFormat="1" applyFont="1" applyFill="1" applyBorder="1" applyAlignment="1">
      <x:alignment horizontal="center" vertical="center"/>
    </x:xf>
    <x:xf numFmtId="0" fontId="8" fillId="0" borderId="1" xfId="0" applyNumberFormat="1" applyFont="1" applyFill="1" applyBorder="1"/>
    <x:xf numFmtId="0" fontId="9" fillId="2" borderId="0" xfId="0" applyNumberFormat="1" applyFont="1" applyFill="1" applyBorder="1" applyAlignment="1">
      <x:alignment horizontal="center" vertical="center"/>
    </x:xf>
    <x:xf numFmtId="0" fontId="9" fillId="2" borderId="1" xfId="0" applyNumberFormat="1" applyFont="1" applyFill="1" applyBorder="1" applyAlignment="1">
      <x:alignment horizontal="center" vertical="center"/>
    </x:xf>
    <x:xf numFmtId="0" fontId="10" fillId="0" borderId="0" xfId="0" applyNumberFormat="1" applyFont="1" applyFill="1" applyBorder="1"/>
    <x:xf numFmtId="0" fontId="10" fillId="0" borderId="1" xfId="0" applyNumberFormat="1" applyFont="1" applyFill="1" applyBorder="1"/>
    <x:xf numFmtId="202" fontId="10" fillId="0" borderId="0" xfId="0" applyNumberFormat="1" applyFont="1" applyFill="1" applyBorder="1"/>
    <x:xf numFmtId="202" fontId="10" fillId="0" borderId="1" xfId="0" applyNumberFormat="1" applyFont="1" applyFill="1" applyBorder="1"/>
    <x:xf numFmtId="202" fontId="8" fillId="0" borderId="0" xfId="0" applyNumberFormat="1" applyFont="1" applyFill="1" applyBorder="1"/>
    <x:xf numFmtId="202" fontId="8" fillId="0" borderId="1" xfId="0" applyNumberFormat="1" applyFont="1" applyFill="1" applyBorder="1"/>
    <x:xf numFmtId="0" fontId="0" fillId="4" borderId="0" xfId="0" applyNumberFormat="1" applyFont="1" applyFill="1" applyBorder="1"/>
    <x:xf numFmtId="0" fontId="11" fillId="4" borderId="0" xfId="0" applyNumberFormat="1" applyFont="1" applyFill="1" applyBorder="1"/>
    <x:xf numFmtId="0" fontId="11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11" fillId="4" borderId="1" xfId="0" applyNumberFormat="1" applyFont="1" applyFill="1" applyBorder="1"/>
    <x:xf numFmtId="0" fontId="11" fillId="4" borderId="1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vertical="center"/>
    </x:xf>
    <x:xf numFmtId="0" fontId="12" fillId="4" borderId="0" xfId="0" applyNumberFormat="1" applyFont="1" applyFill="1" applyBorder="1" applyAlignment="1">
      <x:alignment wrapText="1"/>
    </x:xf>
    <x:xf numFmtId="0" fontId="7" fillId="3" borderId="1" xfId="0" applyNumberFormat="1" applyFont="1" applyFill="1" applyBorder="1" applyAlignment="1">
      <x:alignment vertical="center"/>
    </x:xf>
    <x:xf numFmtId="0" fontId="12" fillId="4" borderId="1" xfId="0" applyNumberFormat="1" applyFont="1" applyFill="1" applyBorder="1" applyAlignment="1">
      <x:alignment wrapText="1"/>
    </x:xf>
    <x:xf numFmtId="0" fontId="13" fillId="0" borderId="0" xfId="0" applyNumberFormat="1" applyFont="1" applyFill="1" applyBorder="1"/>
    <x:xf numFmtId="0" fontId="13" fillId="0" borderId="1" xfId="0" applyNumberFormat="1" applyFont="1" applyFill="1" applyBorder="1"/>
    <x:xf numFmtId="0" fontId="9" fillId="2" borderId="0" xfId="0" applyNumberFormat="1" applyFont="1" applyFill="1" applyBorder="1" applyAlignment="1">
      <x:alignment horizontal="center" vertical="center" wrapText="1"/>
    </x:xf>
    <x:xf numFmtId="0" fontId="13" fillId="0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wrapText="1"/>
    </x:xf>
    <x:xf numFmtId="202" fontId="8" fillId="0" borderId="0" xfId="0" applyNumberFormat="1" applyFont="1" applyFill="1" applyBorder="1" applyAlignment="1">
      <x:alignment wrapText="1"/>
    </x:xf>
    <x:xf numFmtId="202" fontId="10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horizontal="center" vertical="center" wrapText="1"/>
    </x:xf>
    <x:xf numFmtId="0" fontId="7" fillId="3" borderId="0" xfId="0" applyNumberFormat="1" applyFont="1" applyFill="1" applyBorder="1" applyAlignment="1">
      <x:alignment vertical="center" wrapText="1"/>
    </x:xf>
    <x:xf numFmtId="0" fontId="9" fillId="2" borderId="1" xfId="0" applyNumberFormat="1" applyFont="1" applyFill="1" applyBorder="1" applyAlignment="1">
      <x:alignment horizontal="center" vertical="center" wrapText="1"/>
    </x:xf>
    <x:xf numFmtId="0" fontId="13" fillId="0" borderId="1" xfId="0" applyNumberFormat="1" applyFont="1" applyFill="1" applyBorder="1" applyAlignment="1">
      <x:alignment wrapText="1"/>
    </x:xf>
    <x:xf numFmtId="0" fontId="10" fillId="0" borderId="1" xfId="0" applyNumberFormat="1" applyFont="1" applyFill="1" applyBorder="1" applyAlignment="1">
      <x:alignment wrapText="1"/>
    </x:xf>
    <x:xf numFmtId="202" fontId="8" fillId="0" borderId="1" xfId="0" applyNumberFormat="1" applyFont="1" applyFill="1" applyBorder="1" applyAlignment="1">
      <x:alignment wrapText="1"/>
    </x:xf>
    <x:xf numFmtId="202" fontId="10" fillId="0" borderId="1" xfId="0" applyNumberFormat="1" applyFont="1" applyFill="1" applyBorder="1" applyAlignment="1">
      <x:alignment wrapText="1"/>
    </x:xf>
    <x:xf numFmtId="0" fontId="8" fillId="0" borderId="1" xfId="0" applyNumberFormat="1" applyFont="1" applyFill="1" applyBorder="1" applyAlignment="1">
      <x:alignment wrapText="1"/>
    </x:xf>
    <x:xf numFmtId="0" fontId="7" fillId="2" borderId="1" xfId="0" applyNumberFormat="1" applyFont="1" applyFill="1" applyBorder="1" applyAlignment="1">
      <x:alignment horizontal="center" vertical="center" wrapText="1"/>
    </x:xf>
    <x:xf numFmtId="0" fontId="7" fillId="3" borderId="1" xfId="0" applyNumberFormat="1" applyFont="1" applyFill="1" applyBorder="1" applyAlignment="1">
      <x:alignment vertical="center" wrapText="1"/>
    </x:xf>
    <x:xf numFmtId="0" fontId="8" fillId="5" borderId="0" xfId="0" applyNumberFormat="1" applyFont="1" applyFill="1" applyBorder="1" applyAlignment="1">
      <x:alignment wrapText="1"/>
    </x:xf>
    <x:xf numFmtId="202" fontId="8" fillId="5" borderId="0" xfId="0" applyNumberFormat="1" applyFont="1" applyFill="1" applyBorder="1" applyAlignment="1">
      <x:alignment wrapText="1"/>
    </x:xf>
    <x:xf numFmtId="202" fontId="10" fillId="5" borderId="0" xfId="0" applyNumberFormat="1" applyFont="1" applyFill="1" applyBorder="1" applyAlignment="1">
      <x:alignment wrapText="1"/>
    </x:xf>
    <x:xf numFmtId="0" fontId="8" fillId="5" borderId="1" xfId="0" applyNumberFormat="1" applyFont="1" applyFill="1" applyBorder="1" applyAlignment="1">
      <x:alignment wrapText="1"/>
    </x:xf>
    <x:xf numFmtId="202" fontId="8" fillId="5" borderId="1" xfId="0" applyNumberFormat="1" applyFont="1" applyFill="1" applyBorder="1" applyAlignment="1">
      <x:alignment wrapText="1"/>
    </x:xf>
    <x:xf numFmtId="202" fontId="10" fillId="5" borderId="1" xfId="0" applyNumberFormat="1" applyFont="1" applyFill="1" applyBorder="1" applyAlignment="1">
      <x:alignment wrapText="1"/>
    </x:xf>
    <x:xf numFmtId="0" fontId="14" fillId="3" borderId="0" xfId="0" applyNumberFormat="1" applyFont="1" applyFill="1" applyBorder="1" applyAlignment="1">
      <x:alignment vertical="center"/>
    </x:xf>
    <x:xf numFmtId="0" fontId="14" fillId="3" borderId="1" xfId="0" applyNumberFormat="1" applyFont="1" applyFill="1" applyBorder="1" applyAlignment="1">
      <x:alignment vertical="center"/>
    </x:xf>
    <x:xf numFmtId="202" fontId="14" fillId="3" borderId="0" xfId="0" applyNumberFormat="1" applyFont="1" applyFill="1" applyBorder="1" applyAlignment="1">
      <x:alignment vertical="center"/>
    </x:xf>
    <x:xf numFmtId="202" fontId="14" fillId="3" borderId="1" xfId="0" applyNumberFormat="1" applyFont="1" applyFill="1" applyBorder="1" applyAlignment="1">
      <x:alignment vertical="center"/>
    </x:xf>
    <x:xf numFmtId="0" fontId="11" fillId="4" borderId="0" xfId="0" applyNumberFormat="1" applyFont="1" applyFill="1" applyBorder="1" applyAlignment="1">
      <x:alignment vertical="top" wrapText="1"/>
    </x:xf>
    <x:xf numFmtId="0" fontId="11" fillId="4" borderId="1" xfId="0" applyNumberFormat="1" applyFont="1" applyFill="1" applyBorder="1" applyAlignment="1">
      <x:alignment vertical="top" wrapText="1"/>
    </x:xf>
    <x:xf numFmtId="202" fontId="7" fillId="3" borderId="0" xfId="0" applyNumberFormat="1" applyFont="1" applyFill="1" applyBorder="1" applyAlignment="1">
      <x:alignment vertical="center"/>
    </x:xf>
    <x:xf numFmtId="0" fontId="12" fillId="4" borderId="0" xfId="0" applyNumberFormat="1" applyFont="1" applyFill="1" applyBorder="1" applyAlignment="1">
      <x:alignment vertical="top" wrapText="1"/>
    </x:xf>
    <x:xf numFmtId="202" fontId="7" fillId="3" borderId="1" xfId="0" applyNumberFormat="1" applyFont="1" applyFill="1" applyBorder="1" applyAlignment="1">
      <x:alignment vertical="center"/>
    </x:xf>
    <x:xf numFmtId="0" fontId="12" fillId="4" borderId="1" xfId="0" applyNumberFormat="1" applyFont="1" applyFill="1" applyBorder="1" applyAlignment="1">
      <x:alignment vertical="top" wrapText="1"/>
    </x:xf>
    <x:xf numFmtId="202" fontId="15" fillId="3" borderId="0" xfId="0" applyNumberFormat="1" applyFont="1" applyFill="1" applyBorder="1" applyAlignment="1">
      <x:alignment vertical="center"/>
    </x:xf>
    <x:xf numFmtId="202" fontId="15" fillId="3" borderId="1" xfId="0" applyNumberFormat="1" applyFont="1" applyFill="1" applyBorder="1" applyAlignment="1">
      <x:alignment vertical="center"/>
    </x:xf>
    <x:xf numFmtId="202" fontId="15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ebd232a3b8463d" /><Relationship Type="http://schemas.openxmlformats.org/officeDocument/2006/relationships/theme" Target="/xl/theme/theme1.xml" Id="R13ac063247924367" /><Relationship Type="http://schemas.openxmlformats.org/officeDocument/2006/relationships/sharedStrings" Target="/xl/sharedStrings.xml" Id="Rb4f1b571710041ef" /><Relationship Type="http://schemas.openxmlformats.org/officeDocument/2006/relationships/worksheet" Target="/xl/worksheets/sheet1.xml" Id="R72127e24480f4465" /><Relationship Type="http://schemas.openxmlformats.org/officeDocument/2006/relationships/worksheet" Target="/xl/worksheets/sheet2.xml" Id="R6d983fefb8e845d8" /><Relationship Type="http://schemas.openxmlformats.org/officeDocument/2006/relationships/worksheet" Target="/xl/worksheets/sheet3.xml" Id="R3c8dc8b6d943475a" /><Relationship Type="http://schemas.openxmlformats.org/officeDocument/2006/relationships/worksheet" Target="/xl/worksheets/sheet4.xml" Id="R4acb11b21d1848a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0de42172b7a4235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Retirement Net Worth</c:v>
          </c:tx>
          <c:marker>
            <c:symbol val="none"/>
          </c:marker>
          <c:cat>
            <c:strRef>
              <c:f>'NetworthCalc'!$A$2:$A$42</c:f>
              <c:strCache>
                <c:ptCount val="0"/>
              </c:strCache>
            </c:strRef>
          </c:cat>
          <c:val>
            <c:numRef>
              <c:f>'NetworthCalc'!$I$2:$I$42</c:f>
              <c:numCache>
                <c:formatCode>$#,##0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12</xdr:col>
      <xdr:colOff>0</xdr:colOff>
      <xdr:row>1</xdr:row>
      <xdr:rowOff>0</xdr:rowOff>
    </xdr:from>
    <xdr:to>
      <xdr:col>21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0de42172b7a423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3a881d0c641d499c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52" hidden="0" customWidth="1"/>
    <x:col min="4" max="4" width="3" hidden="0" customWidth="1"/>
    <x:col min="5" max="5" width="14" hidden="0" customWidth="1"/>
    <x:col min="6" max="6" width="22" hidden="0" customWidth="1"/>
    <x:col min="7" max="7" width="3" hidden="0" customWidth="1"/>
    <x:col min="8" max="8" width="28" hidden="0" customWidth="1"/>
    <x:col min="9" max="9" width="24" hidden="0" customWidth="1"/>
  </x:cols>
  <x:sheetData>
    <x:row r="1">
      <x:c r="A1" s="22" t="str">
        <x:v>PUBLIC-SAFE DEMONSTRATION ASSUMPTIONS</x:v>
      </x:c>
      <x:c r="B1" s="22"/>
      <x:c r="C1" s="22"/>
      <x:c r="D1" s="23"/>
      <x:c r="E1" s="22" t="str">
        <x:v>BI-WEEKLY CONTRIBUTION SCHEDULE</x:v>
      </x:c>
      <x:c r="F1" s="22"/>
      <x:c r="G1" s="23"/>
      <x:c r="H1" s="22" t="str">
        <x:v>MODEL SUMMARY</x:v>
      </x:c>
      <x:c r="I1" s="22"/>
    </x:row>
    <x:row r="2">
      <x:c r="A2" s="24" t="str">
        <x:v>Assumption</x:v>
      </x:c>
      <x:c r="B2" s="24" t="str">
        <x:v>Value</x:v>
      </x:c>
      <x:c r="C2" s="24" t="str">
        <x:v>Public-safe note</x:v>
      </x:c>
      <x:c r="D2" s="23"/>
      <x:c r="E2" s="24" t="str">
        <x:v>Year</x:v>
      </x:c>
      <x:c r="F2" s="24" t="str">
        <x:v>Bi-Weekly Contribution</x:v>
      </x:c>
      <x:c r="G2" s="23"/>
      <x:c r="H2" s="23" t="str">
        <x:v>Final Retirement Net Worth</x:v>
      </x:c>
      <x:c r="I2" s="38" t="n">
        <x:f>NetworthCalc!I42</x:f>
        <x:v>2993963.387084739</x:v>
      </x:c>
    </x:row>
    <x:row r="3">
      <x:c r="A3" s="23" t="str">
        <x:v>Start Year</x:v>
      </x:c>
      <x:c r="B3" s="28" t="n">
        <x:v>2027</x:v>
      </x:c>
      <x:c r="C3" s="23" t="str">
        <x:v>Hypothetical demo value</x:v>
      </x:c>
      <x:c r="D3" s="23"/>
      <x:c r="E3" s="23" t="n">
        <x:v>2027</x:v>
      </x:c>
      <x:c r="F3" s="36" t="n">
        <x:v>800</x:v>
      </x:c>
      <x:c r="G3" s="23"/>
      <x:c r="H3" s="23" t="str">
        <x:v>Total Contributions</x:v>
      </x:c>
      <x:c r="I3" s="38" t="n">
        <x:f>SUM(NetworthCalc!G2:G42)</x:f>
        <x:v>786661.2244897957</x:v>
      </x:c>
    </x:row>
    <x:row r="4">
      <x:c r="A4" s="23" t="str">
        <x:v>Investment Horizon (years)</x:v>
      </x:c>
      <x:c r="B4" s="28" t="n">
        <x:v>41</x:v>
      </x:c>
      <x:c r="C4" s="23" t="str">
        <x:v>Workbook is fixed to 41 annual rows / 1,066 pay periods</x:v>
      </x:c>
      <x:c r="D4" s="23"/>
      <x:c r="E4" s="23" t="n">
        <x:v>2028</x:v>
      </x:c>
      <x:c r="F4" s="36" t="n">
        <x:v>800</x:v>
      </x:c>
      <x:c r="G4" s="23"/>
      <x:c r="H4" s="23" t="str">
        <x:v>Total Investment Gains</x:v>
      </x:c>
      <x:c r="I4" s="38" t="n">
        <x:f>SUM(NetworthCalc!H2:H42)</x:f>
        <x:v>2147302.1625949424</x:v>
      </x:c>
    </x:row>
    <x:row r="5">
      <x:c r="A5" s="23" t="str">
        <x:v>Expected Annual Return</x:v>
      </x:c>
      <x:c r="B5" s="32" t="n">
        <x:v>0.05</x:v>
      </x:c>
      <x:c r="C5" s="23" t="str">
        <x:v>Hypothetical nominal assumption for the private-model demo</x:v>
      </x:c>
      <x:c r="D5" s="23"/>
      <x:c r="E5" s="23" t="n">
        <x:v>2029</x:v>
      </x:c>
      <x:c r="F5" s="36" t="n">
        <x:v>800</x:v>
      </x:c>
      <x:c r="G5" s="23"/>
      <x:c r="H5" s="23"/>
      <x:c r="I5" s="23"/>
    </x:row>
    <x:row r="6">
      <x:c r="A6" s="23" t="str">
        <x:v>Marginal Tax Rate</x:v>
      </x:c>
      <x:c r="B6" s="32" t="n">
        <x:v>0.3</x:v>
      </x:c>
      <x:c r="C6" s="23" t="str">
        <x:v>Used as a simplified tax proxy in refund/after-tax logic</x:v>
      </x:c>
      <x:c r="D6" s="23"/>
      <x:c r="E6" s="23" t="n">
        <x:v>2030</x:v>
      </x:c>
      <x:c r="F6" s="36" t="n">
        <x:v>600</x:v>
      </x:c>
      <x:c r="G6" s="23"/>
      <x:c r="H6" s="23" t="str">
        <x:v>Scope note</x:v>
      </x:c>
      <x:c r="I6" s="23" t="str">
        <x:v>Retirement net worth excludes FHSA by design.</x:v>
      </x:c>
    </x:row>
    <x:row r="7">
      <x:c r="A7" s="23" t="str">
        <x:v>Annual TFSA Capacity (Demo)</x:v>
      </x:c>
      <x:c r="B7" s="28" t="n">
        <x:v>8000</x:v>
      </x:c>
      <x:c r="C7" s="23" t="str">
        <x:v>Simplified annual capacity; carryforward is not modeled</x:v>
      </x:c>
      <x:c r="D7" s="23"/>
      <x:c r="E7" s="23" t="n">
        <x:v>2031</x:v>
      </x:c>
      <x:c r="F7" s="36" t="n">
        <x:v>600</x:v>
      </x:c>
      <x:c r="G7" s="23"/>
      <x:c r="H7" s="23" t="str">
        <x:v>Tax note</x:v>
      </x:c>
      <x:c r="I7" s="23" t="str">
        <x:v>Tax treatment is illustrative and simplified.</x:v>
      </x:c>
    </x:row>
    <x:row r="8">
      <x:c r="A8" s="23" t="str">
        <x:v>FHSA Withdrawal Year</x:v>
      </x:c>
      <x:c r="B8" s="28" t="n">
        <x:v>2034</x:v>
      </x:c>
      <x:c r="C8" s="23" t="str">
        <x:v>Existing FHSA balance is tracked then removed from the retirement model</x:v>
      </x:c>
      <x:c r="D8" s="23"/>
      <x:c r="E8" s="23" t="n">
        <x:v>2032</x:v>
      </x:c>
      <x:c r="F8" s="36" t="n">
        <x:v>600</x:v>
      </x:c>
      <x:c r="G8" s="23"/>
      <x:c r="H8" s="23" t="str">
        <x:v>Model note</x:v>
      </x:c>
      <x:c r="I8" s="23" t="str">
        <x:v>This workbook is a sanitized demonstration of the private model, not the proposed public web calculator.</x:v>
      </x:c>
    </x:row>
    <x:row r="9">
      <x:c r="A9" s="23" t="str">
        <x:v>Annual Tax Drag — Non-Registered</x:v>
      </x:c>
      <x:c r="B9" s="32" t="n">
        <x:v>0.0035</x:v>
      </x:c>
      <x:c r="C9" s="23" t="str">
        <x:v>Simplified annual return drag</x:v>
      </x:c>
      <x:c r="D9" s="23"/>
      <x:c r="E9" s="23" t="n">
        <x:v>2033</x:v>
      </x:c>
      <x:c r="F9" s="36" t="n">
        <x:v>600</x:v>
      </x:c>
      <x:c r="G9" s="23"/>
      <x:c r="H9" s="23" t="str">
        <x:v>Advice note</x:v>
      </x:c>
      <x:c r="I9" s="23" t="str">
        <x:v>Educational demonstration only; not financial advice.</x:v>
      </x:c>
    </x:row>
    <x:row r="10">
      <x:c r="A10" s="23"/>
      <x:c r="B10" s="23"/>
      <x:c r="C10" s="23"/>
      <x:c r="D10" s="23"/>
      <x:c r="E10" s="23" t="n">
        <x:v>2034</x:v>
      </x:c>
      <x:c r="F10" s="36" t="n">
        <x:v>600</x:v>
      </x:c>
      <x:c r="G10" s="23"/>
      <x:c r="H10" s="23"/>
      <x:c r="I10" s="23"/>
    </x:row>
    <x:row r="11">
      <x:c r="A11" s="22" t="str">
        <x:v>DERIVED PERIODIC RATES</x:v>
      </x:c>
      <x:c r="B11" s="22"/>
      <x:c r="C11" s="22"/>
      <x:c r="D11" s="23"/>
      <x:c r="E11" s="23" t="n">
        <x:v>2035</x:v>
      </x:c>
      <x:c r="F11" s="36" t="n">
        <x:v>600</x:v>
      </x:c>
      <x:c r="G11" s="23"/>
      <x:c r="H11" s="23"/>
      <x:c r="I11" s="23"/>
    </x:row>
    <x:row r="12">
      <x:c r="A12" s="23" t="str">
        <x:v>Bi-Weekly Rate (Registered)</x:v>
      </x:c>
      <x:c r="B12" s="34" t="n">
        <x:f>(1+B5)^(1/26)-1</x:f>
        <x:v>0.001878306587762335</x:v>
      </x:c>
      <x:c r="C12" s="23" t="str">
        <x:v>Derived from annual expected return</x:v>
      </x:c>
      <x:c r="D12" s="23"/>
      <x:c r="E12" s="23" t="n">
        <x:v>2036</x:v>
      </x:c>
      <x:c r="F12" s="36" t="n">
        <x:v>600</x:v>
      </x:c>
      <x:c r="G12" s="23"/>
      <x:c r="H12" s="23"/>
      <x:c r="I12" s="23"/>
    </x:row>
    <x:row r="13">
      <x:c r="A13" s="23" t="str">
        <x:v>Bi-Weekly Rate (Non-Registered)</x:v>
      </x:c>
      <x:c r="B13" s="34" t="n">
        <x:f>(1+(B5-B9))^(1/26)-1</x:f>
        <x:v>0.0017496543584309965</x:v>
      </x:c>
      <x:c r="C13" s="23" t="str">
        <x:v>Derived after annual tax drag</x:v>
      </x:c>
      <x:c r="D13" s="23"/>
      <x:c r="E13" s="23" t="n">
        <x:v>2037</x:v>
      </x:c>
      <x:c r="F13" s="36" t="n">
        <x:v>600</x:v>
      </x:c>
      <x:c r="G13" s="23"/>
      <x:c r="H13" s="23"/>
      <x:c r="I13" s="23"/>
    </x:row>
    <x:row r="14">
      <x:c r="A14" s="23"/>
      <x:c r="B14" s="23"/>
      <x:c r="C14" s="23"/>
      <x:c r="D14" s="23"/>
      <x:c r="E14" s="23" t="n">
        <x:v>2038</x:v>
      </x:c>
      <x:c r="F14" s="36" t="n">
        <x:v>600</x:v>
      </x:c>
      <x:c r="G14" s="23"/>
      <x:c r="H14" s="23"/>
      <x:c r="I14" s="23"/>
    </x:row>
    <x:row r="15">
      <x:c r="A15" s="22" t="str">
        <x:v>STARTING BALANCES &amp; CAPACITIES</x:v>
      </x:c>
      <x:c r="B15" s="22"/>
      <x:c r="C15" s="22"/>
      <x:c r="D15" s="23"/>
      <x:c r="E15" s="23" t="n">
        <x:v>2039</x:v>
      </x:c>
      <x:c r="F15" s="36" t="n">
        <x:v>600</x:v>
      </x:c>
      <x:c r="G15" s="23"/>
      <x:c r="H15" s="23"/>
      <x:c r="I15" s="23"/>
    </x:row>
    <x:row r="16">
      <x:c r="A16" s="23" t="str">
        <x:v>TFSA Start Balance</x:v>
      </x:c>
      <x:c r="B16" s="36" t="n">
        <x:v>35000</x:v>
      </x:c>
      <x:c r="C16" s="23" t="str">
        <x:v>Hypothetical demo balance</x:v>
      </x:c>
      <x:c r="D16" s="23"/>
      <x:c r="E16" s="23" t="n">
        <x:v>2040</x:v>
      </x:c>
      <x:c r="F16" s="36" t="n">
        <x:v>600</x:v>
      </x:c>
      <x:c r="G16" s="23"/>
      <x:c r="H16" s="23"/>
      <x:c r="I16" s="23"/>
    </x:row>
    <x:row r="17">
      <x:c r="A17" s="23" t="str">
        <x:v>RRSP / Pension Start Balance</x:v>
      </x:c>
      <x:c r="B17" s="36" t="n">
        <x:v>20000</x:v>
      </x:c>
      <x:c r="C17" s="23" t="str">
        <x:v>Hypothetical demo balance</x:v>
      </x:c>
      <x:c r="D17" s="23"/>
      <x:c r="E17" s="23" t="n">
        <x:v>2041</x:v>
      </x:c>
      <x:c r="F17" s="36" t="n">
        <x:v>600</x:v>
      </x:c>
      <x:c r="G17" s="23"/>
      <x:c r="H17" s="23"/>
      <x:c r="I17" s="23"/>
    </x:row>
    <x:row r="18">
      <x:c r="A18" s="23" t="str">
        <x:v>Non-Registered Start Balance</x:v>
      </x:c>
      <x:c r="B18" s="36" t="n">
        <x:v>5000</x:v>
      </x:c>
      <x:c r="C18" s="23" t="str">
        <x:v>Hypothetical demo balance</x:v>
      </x:c>
      <x:c r="D18" s="23"/>
      <x:c r="E18" s="23" t="n">
        <x:v>2042</x:v>
      </x:c>
      <x:c r="F18" s="36" t="n">
        <x:v>600</x:v>
      </x:c>
      <x:c r="G18" s="23"/>
      <x:c r="H18" s="23"/>
      <x:c r="I18" s="23"/>
    </x:row>
    <x:row r="19">
      <x:c r="A19" s="23" t="str">
        <x:v>FHSA Start Balance</x:v>
      </x:c>
      <x:c r="B19" s="36" t="n">
        <x:v>16000</x:v>
      </x:c>
      <x:c r="C19" s="23" t="str">
        <x:v>Hypothetical demo balance; excluded from retirement net-worth total</x:v>
      </x:c>
      <x:c r="D19" s="23"/>
      <x:c r="E19" s="23" t="n">
        <x:v>2043</x:v>
      </x:c>
      <x:c r="F19" s="36" t="n">
        <x:v>600</x:v>
      </x:c>
      <x:c r="G19" s="23"/>
      <x:c r="H19" s="23"/>
      <x:c r="I19" s="23"/>
    </x:row>
    <x:row r="20">
      <x:c r="A20" s="23" t="str">
        <x:v>Annual RRSP Capacity (Demo)</x:v>
      </x:c>
      <x:c r="B20" s="36" t="n">
        <x:v>12000</x:v>
      </x:c>
      <x:c r="C20" s="23" t="str">
        <x:v>Simplified annual capacity; carryforward is not modeled</x:v>
      </x:c>
      <x:c r="D20" s="23"/>
      <x:c r="E20" s="23" t="n">
        <x:v>2044</x:v>
      </x:c>
      <x:c r="F20" s="36" t="n">
        <x:v>600</x:v>
      </x:c>
      <x:c r="G20" s="23"/>
      <x:c r="H20" s="23"/>
      <x:c r="I20" s="23"/>
    </x:row>
    <x:row r="21">
      <x:c r="A21" s="23" t="str">
        <x:v>Opening RRSP Refund Seed</x:v>
      </x:c>
      <x:c r="B21" s="36" t="n">
        <x:v>0</x:v>
      </x:c>
      <x:c r="C21" s="23" t="str">
        <x:v>Explicit replacement for the source workbook’s hidden first-year refund hardcode</x:v>
      </x:c>
      <x:c r="D21" s="23"/>
      <x:c r="E21" s="23" t="n">
        <x:v>2045</x:v>
      </x:c>
      <x:c r="F21" s="36" t="n">
        <x:v>600</x:v>
      </x:c>
      <x:c r="G21" s="23"/>
      <x:c r="H21" s="23"/>
      <x:c r="I21" s="23"/>
    </x:row>
    <x:row r="22">
      <x:c r="A22" s="23"/>
      <x:c r="B22" s="23"/>
      <x:c r="C22" s="23"/>
      <x:c r="D22" s="23"/>
      <x:c r="E22" s="23" t="n">
        <x:v>2046</x:v>
      </x:c>
      <x:c r="F22" s="36" t="n">
        <x:v>600</x:v>
      </x:c>
      <x:c r="G22" s="23"/>
      <x:c r="H22" s="23"/>
      <x:c r="I22" s="23"/>
    </x:row>
    <x:row r="23">
      <x:c r="A23" s="23"/>
      <x:c r="B23" s="23"/>
      <x:c r="C23" s="23"/>
      <x:c r="D23" s="23"/>
      <x:c r="E23" s="23" t="n">
        <x:v>2047</x:v>
      </x:c>
      <x:c r="F23" s="36" t="n">
        <x:v>600</x:v>
      </x:c>
      <x:c r="G23" s="23"/>
      <x:c r="H23" s="23"/>
      <x:c r="I23" s="23"/>
    </x:row>
    <x:row r="24">
      <x:c r="A24" s="23"/>
      <x:c r="B24" s="23"/>
      <x:c r="C24" s="23"/>
      <x:c r="D24" s="23"/>
      <x:c r="E24" s="23" t="n">
        <x:v>2048</x:v>
      </x:c>
      <x:c r="F24" s="36" t="n">
        <x:v>600</x:v>
      </x:c>
      <x:c r="G24" s="23"/>
      <x:c r="H24" s="23"/>
      <x:c r="I24" s="23"/>
    </x:row>
    <x:row r="25">
      <x:c r="A25" s="23"/>
      <x:c r="B25" s="23"/>
      <x:c r="C25" s="23"/>
      <x:c r="D25" s="23"/>
      <x:c r="E25" s="23" t="n">
        <x:v>2049</x:v>
      </x:c>
      <x:c r="F25" s="36" t="n">
        <x:v>600</x:v>
      </x:c>
      <x:c r="G25" s="23"/>
      <x:c r="H25" s="23"/>
      <x:c r="I25" s="23"/>
    </x:row>
    <x:row r="26">
      <x:c r="A26" s="23"/>
      <x:c r="B26" s="23"/>
      <x:c r="C26" s="23"/>
      <x:c r="D26" s="23"/>
      <x:c r="E26" s="23" t="n">
        <x:v>2050</x:v>
      </x:c>
      <x:c r="F26" s="36" t="n">
        <x:v>600</x:v>
      </x:c>
      <x:c r="G26" s="23"/>
      <x:c r="H26" s="23"/>
      <x:c r="I26" s="23"/>
    </x:row>
    <x:row r="27">
      <x:c r="A27" s="23"/>
      <x:c r="B27" s="23"/>
      <x:c r="C27" s="23"/>
      <x:c r="D27" s="23"/>
      <x:c r="E27" s="23" t="n">
        <x:v>2051</x:v>
      </x:c>
      <x:c r="F27" s="36" t="n">
        <x:v>600</x:v>
      </x:c>
      <x:c r="G27" s="23"/>
      <x:c r="H27" s="23"/>
      <x:c r="I27" s="23"/>
    </x:row>
    <x:row r="28">
      <x:c r="A28" s="23"/>
      <x:c r="B28" s="23"/>
      <x:c r="C28" s="23"/>
      <x:c r="D28" s="23"/>
      <x:c r="E28" s="23" t="n">
        <x:v>2052</x:v>
      </x:c>
      <x:c r="F28" s="36" t="n">
        <x:v>600</x:v>
      </x:c>
      <x:c r="G28" s="23"/>
      <x:c r="H28" s="23"/>
      <x:c r="I28" s="23"/>
    </x:row>
    <x:row r="29">
      <x:c r="A29" s="23"/>
      <x:c r="B29" s="23"/>
      <x:c r="C29" s="23"/>
      <x:c r="D29" s="23"/>
      <x:c r="E29" s="23" t="n">
        <x:v>2053</x:v>
      </x:c>
      <x:c r="F29" s="36" t="n">
        <x:v>600</x:v>
      </x:c>
      <x:c r="G29" s="23"/>
      <x:c r="H29" s="23"/>
      <x:c r="I29" s="23"/>
    </x:row>
    <x:row r="30">
      <x:c r="A30" s="23"/>
      <x:c r="B30" s="23"/>
      <x:c r="C30" s="23"/>
      <x:c r="D30" s="23"/>
      <x:c r="E30" s="23" t="n">
        <x:v>2054</x:v>
      </x:c>
      <x:c r="F30" s="36" t="n">
        <x:v>600</x:v>
      </x:c>
      <x:c r="G30" s="23"/>
      <x:c r="H30" s="23"/>
      <x:c r="I30" s="23"/>
    </x:row>
    <x:row r="31">
      <x:c r="A31" s="23"/>
      <x:c r="B31" s="23"/>
      <x:c r="C31" s="23"/>
      <x:c r="D31" s="23"/>
      <x:c r="E31" s="23" t="n">
        <x:v>2055</x:v>
      </x:c>
      <x:c r="F31" s="36" t="n">
        <x:v>600</x:v>
      </x:c>
      <x:c r="G31" s="23"/>
      <x:c r="H31" s="23"/>
      <x:c r="I31" s="23"/>
    </x:row>
    <x:row r="32">
      <x:c r="A32" s="23"/>
      <x:c r="B32" s="23"/>
      <x:c r="C32" s="23"/>
      <x:c r="D32" s="23"/>
      <x:c r="E32" s="23" t="n">
        <x:v>2056</x:v>
      </x:c>
      <x:c r="F32" s="36" t="n">
        <x:v>600</x:v>
      </x:c>
      <x:c r="G32" s="23"/>
      <x:c r="H32" s="23"/>
      <x:c r="I32" s="23"/>
    </x:row>
    <x:row r="33">
      <x:c r="A33" s="23"/>
      <x:c r="B33" s="23"/>
      <x:c r="C33" s="23"/>
      <x:c r="D33" s="23"/>
      <x:c r="E33" s="23" t="n">
        <x:v>2057</x:v>
      </x:c>
      <x:c r="F33" s="36" t="n">
        <x:v>600</x:v>
      </x:c>
      <x:c r="G33" s="23"/>
      <x:c r="H33" s="23"/>
      <x:c r="I33" s="23"/>
    </x:row>
    <x:row r="34">
      <x:c r="A34" s="23"/>
      <x:c r="B34" s="23"/>
      <x:c r="C34" s="23"/>
      <x:c r="D34" s="23"/>
      <x:c r="E34" s="23" t="n">
        <x:v>2058</x:v>
      </x:c>
      <x:c r="F34" s="36" t="n">
        <x:v>600</x:v>
      </x:c>
      <x:c r="G34" s="23"/>
      <x:c r="H34" s="23"/>
      <x:c r="I34" s="23"/>
    </x:row>
    <x:row r="35">
      <x:c r="A35" s="23"/>
      <x:c r="B35" s="23"/>
      <x:c r="C35" s="23"/>
      <x:c r="D35" s="23"/>
      <x:c r="E35" s="23" t="n">
        <x:v>2059</x:v>
      </x:c>
      <x:c r="F35" s="36" t="n">
        <x:v>600</x:v>
      </x:c>
      <x:c r="G35" s="23"/>
      <x:c r="H35" s="23"/>
      <x:c r="I35" s="23"/>
    </x:row>
    <x:row r="36">
      <x:c r="A36" s="23"/>
      <x:c r="B36" s="23"/>
      <x:c r="C36" s="23"/>
      <x:c r="D36" s="23"/>
      <x:c r="E36" s="23" t="n">
        <x:v>2060</x:v>
      </x:c>
      <x:c r="F36" s="36" t="n">
        <x:v>600</x:v>
      </x:c>
      <x:c r="G36" s="23"/>
      <x:c r="H36" s="23"/>
      <x:c r="I36" s="23"/>
    </x:row>
    <x:row r="37">
      <x:c r="A37" s="23"/>
      <x:c r="B37" s="23"/>
      <x:c r="C37" s="23"/>
      <x:c r="D37" s="23"/>
      <x:c r="E37" s="23" t="n">
        <x:v>2061</x:v>
      </x:c>
      <x:c r="F37" s="36" t="n">
        <x:v>600</x:v>
      </x:c>
      <x:c r="G37" s="23"/>
      <x:c r="H37" s="23"/>
      <x:c r="I37" s="23"/>
    </x:row>
    <x:row r="38">
      <x:c r="A38" s="23"/>
      <x:c r="B38" s="23"/>
      <x:c r="C38" s="23"/>
      <x:c r="D38" s="23"/>
      <x:c r="E38" s="23" t="n">
        <x:v>2062</x:v>
      </x:c>
      <x:c r="F38" s="36" t="n">
        <x:v>600</x:v>
      </x:c>
      <x:c r="G38" s="23"/>
      <x:c r="H38" s="23"/>
      <x:c r="I38" s="23"/>
    </x:row>
    <x:row r="39">
      <x:c r="A39" s="23"/>
      <x:c r="B39" s="23"/>
      <x:c r="C39" s="23"/>
      <x:c r="D39" s="23"/>
      <x:c r="E39" s="23" t="n">
        <x:v>2063</x:v>
      </x:c>
      <x:c r="F39" s="36" t="n">
        <x:v>600</x:v>
      </x:c>
      <x:c r="G39" s="23"/>
      <x:c r="H39" s="23"/>
      <x:c r="I39" s="23"/>
    </x:row>
    <x:row r="40">
      <x:c r="A40" s="23"/>
      <x:c r="B40" s="23"/>
      <x:c r="C40" s="23"/>
      <x:c r="D40" s="23"/>
      <x:c r="E40" s="23" t="n">
        <x:v>2064</x:v>
      </x:c>
      <x:c r="F40" s="36" t="n">
        <x:v>600</x:v>
      </x:c>
      <x:c r="G40" s="23"/>
      <x:c r="H40" s="23"/>
      <x:c r="I40" s="23"/>
    </x:row>
    <x:row r="41">
      <x:c r="A41" s="23"/>
      <x:c r="B41" s="23"/>
      <x:c r="C41" s="23"/>
      <x:c r="D41" s="23"/>
      <x:c r="E41" s="23" t="n">
        <x:v>2065</x:v>
      </x:c>
      <x:c r="F41" s="36" t="n">
        <x:v>600</x:v>
      </x:c>
      <x:c r="G41" s="23"/>
      <x:c r="H41" s="23"/>
      <x:c r="I41" s="23"/>
    </x:row>
    <x:row r="42">
      <x:c r="A42" s="23"/>
      <x:c r="B42" s="23"/>
      <x:c r="C42" s="23"/>
      <x:c r="D42" s="23"/>
      <x:c r="E42" s="23" t="n">
        <x:v>2066</x:v>
      </x:c>
      <x:c r="F42" s="36" t="n">
        <x:v>600</x:v>
      </x:c>
      <x:c r="G42" s="23"/>
      <x:c r="H42" s="23"/>
      <x:c r="I42" s="23"/>
    </x:row>
    <x:row r="43">
      <x:c r="A43" s="23"/>
      <x:c r="B43" s="23"/>
      <x:c r="C43" s="23"/>
      <x:c r="D43" s="23"/>
      <x:c r="E43" s="23" t="n">
        <x:v>2067</x:v>
      </x:c>
      <x:c r="F43" s="36" t="n">
        <x:v>600</x:v>
      </x:c>
      <x:c r="G43" s="23"/>
      <x:c r="H43" s="23"/>
      <x:c r="I43" s="23"/>
    </x:row>
  </x:sheetData>
  <x:mergeCells>
    <x:mergeCell ref="A1:C1"/>
    <x:mergeCell ref="A11:C11"/>
    <x:mergeCell ref="A15:C15"/>
    <x:mergeCell ref="E1:F1"/>
    <x:mergeCell ref="H1:I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" hidden="0" customWidth="1"/>
    <x:col min="3" max="3" width="15" hidden="0" customWidth="1"/>
    <x:col min="4" max="4" width="18" hidden="0" customWidth="1"/>
    <x:col min="5" max="5" width="13" hidden="0" customWidth="1"/>
    <x:col min="6" max="6" width="13" hidden="0" customWidth="1"/>
    <x:col min="7" max="7" width="14" hidden="0" customWidth="1"/>
    <x:col min="8" max="8" width="18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23" hidden="0" customWidth="1"/>
    <x:col min="14" max="14" width="19" hidden="0" customWidth="1"/>
    <x:col min="15" max="15" width="20" hidden="0" customWidth="1"/>
    <x:col min="16" max="16" width="15" hidden="0" customWidth="1"/>
    <x:col min="17" max="17" width="14" hidden="0" customWidth="1"/>
  </x:cols>
  <x:sheetData>
    <x:row r="1">
      <x:c r="A1" s="44" t="str">
        <x:v>Year</x:v>
      </x:c>
      <x:c r="B1" s="44" t="str">
        <x:v>Period</x:v>
      </x:c>
      <x:c r="C1" s="44" t="str">
        <x:v>Bi-Weekly Pay</x:v>
      </x:c>
      <x:c r="D1" s="44" t="str">
        <x:v>TFSA YTD Before Pay</x:v>
      </x:c>
      <x:c r="E1" s="44" t="str">
        <x:v>To TFSA</x:v>
      </x:c>
      <x:c r="F1" s="44" t="str">
        <x:v>To RRSP</x:v>
      </x:c>
      <x:c r="G1" s="44" t="str">
        <x:v>RRSP Refund</x:v>
      </x:c>
      <x:c r="H1" s="44" t="str">
        <x:v>FHSA Withdrawal Flag</x:v>
      </x:c>
      <x:c r="I1" s="44" t="str">
        <x:v>TFSA Balance</x:v>
      </x:c>
      <x:c r="J1" s="44" t="str">
        <x:v>RRSP Balance</x:v>
      </x:c>
      <x:c r="K1" s="44" t="str">
        <x:v>FHSA Balance</x:v>
      </x:c>
      <x:c r="L1" s="44" t="str">
        <x:v>Non-Reg Balance</x:v>
      </x:c>
      <x:c r="M1" s="44" t="str">
        <x:v>Retirement Net Worth (ex-FHSA)</x:v>
      </x:c>
      <x:c r="N1" s="44" t="str">
        <x:v>RRSP Contrib for Refund</x:v>
      </x:c>
      <x:c r="O1" s="44" t="str">
        <x:v>RRSP YTD Before Pay</x:v>
      </x:c>
      <x:c r="P1" s="44" t="str">
        <x:v>Refund to RRSP</x:v>
      </x:c>
      <x:c r="Q1" s="44" t="str">
        <x:v>To Non-Reg</x:v>
      </x:c>
    </x:row>
    <x:row r="2">
      <x:c r="A2" s="46" t="n">
        <x:f>Inputs!$B$3</x:f>
        <x:v>2027</x:v>
      </x:c>
      <x:c r="B2" s="41" t="n">
        <x:f>1</x:f>
        <x:v>1</x:v>
      </x:c>
      <x:c r="C2" s="48" t="n">
        <x:f>Inputs!$F$3</x:f>
        <x:v>800</x:v>
      </x:c>
      <x:c r="D2" s="50" t="n">
        <x:f>0</x:f>
        <x:v>0</x:v>
      </x:c>
      <x:c r="E2" s="50" t="n">
        <x:f>MIN(C2,MAX(0,Inputs!$B$7-D2))</x:f>
        <x:v>800</x:v>
      </x:c>
      <x:c r="F2" s="50" t="n">
        <x:f>MIN(C2-E2,MAX(0,Inputs!$B$20-O2))</x:f>
        <x:v>0</x:v>
      </x:c>
      <x:c r="G2" s="50" t="n">
        <x:f>0</x:f>
        <x:v>0</x:v>
      </x:c>
      <x:c r="H2" s="41" t="n">
        <x:f>0</x:f>
        <x:v>0</x:v>
      </x:c>
      <x:c r="I2" s="50" t="n">
        <x:f>(Inputs!$B$16*(1+Inputs!$B$12))+E2</x:f>
        <x:v>35865.740730571684</x:v>
      </x:c>
      <x:c r="J2" s="50" t="n">
        <x:f>(Inputs!$B$17*(1+Inputs!$B$12))+F2+P2</x:f>
        <x:v>20037.566131755248</x:v>
      </x:c>
      <x:c r="K2" s="50" t="n">
        <x:f>(Inputs!$B$19*(1+Inputs!$B$12))*(1-H2)</x:f>
        <x:v>16030.052905404198</x:v>
      </x:c>
      <x:c r="L2" s="50" t="n">
        <x:f>Inputs!$B$18*(1+Inputs!$B$13)+Q2</x:f>
        <x:v>5008.748271792155</x:v>
      </x:c>
      <x:c r="M2" s="50" t="n">
        <x:f>I2+J2+L2</x:f>
        <x:v>60912.05513411909</x:v>
      </x:c>
      <x:c r="N2" s="50" t="n">
        <x:f>F2+P2</x:f>
        <x:v>0</x:v>
      </x:c>
      <x:c r="O2" s="50" t="n">
        <x:f>0</x:f>
        <x:v>0</x:v>
      </x:c>
      <x:c r="P2" s="50" t="n">
        <x:f>MIN(G2,MAX(0,Inputs!$B$20-O2-F2))</x:f>
        <x:v>0</x:v>
      </x:c>
      <x:c r="Q2" s="50" t="n">
        <x:f>(C2-E2-F2)+(G2-P2)</x:f>
        <x:v>0</x:v>
      </x:c>
    </x:row>
    <x:row r="3">
      <x:c r="A3" s="41" t="n">
        <x:f>IF(B3=1,A2+1,A2)</x:f>
        <x:v>2027</x:v>
      </x:c>
      <x:c r="B3" s="41" t="n">
        <x:f>IF(B2=26,1,B2+1)</x:f>
        <x:v>2</x:v>
      </x:c>
      <x:c r="C3" s="48" t="n">
        <x:f>Inputs!$F$3</x:f>
        <x:v>800</x:v>
      </x:c>
      <x:c r="D3" s="50" t="n">
        <x:f>IF(B3=1,0,D2+E2)</x:f>
        <x:v>800</x:v>
      </x:c>
      <x:c r="E3" s="50" t="n">
        <x:f>MIN(C3,MAX(0,Inputs!$B$7-D3))</x:f>
        <x:v>800</x:v>
      </x:c>
      <x:c r="F3" s="50" t="n">
        <x:f>MIN(C3-E3,MAX(0,Inputs!$B$20-O3))</x:f>
        <x:v>0</x:v>
      </x:c>
      <x:c r="G3" s="50" t="n">
        <x:f>0</x:f>
        <x:v>0</x:v>
      </x:c>
      <x:c r="H3" s="41" t="n">
        <x:f>0</x:f>
        <x:v>0</x:v>
      </x:c>
      <x:c r="I3" s="50" t="n">
        <x:f>(I2*(1+Inputs!$B$12))+E3</x:f>
        <x:v>36733.107587660896</x:v>
      </x:c>
      <x:c r="J3" s="50" t="n">
        <x:f>(J2*(1+Inputs!$B$12))+F3+P3</x:f>
        <x:v>20075.202824223248</x:v>
      </x:c>
      <x:c r="K3" s="50" t="n">
        <x:f>(K2*(1+Inputs!$B$12))*(1-H3)</x:f>
        <x:v>16060.162259378598</x:v>
      </x:c>
      <x:c r="L3" s="50" t="n">
        <x:f>L2*(1+Inputs!$B$13)+Q3</x:f>
        <x:v>5017.51185003618</x:v>
      </x:c>
      <x:c r="M3" s="50" t="n">
        <x:f>I3+J3+L3</x:f>
        <x:v>61825.82226192032</x:v>
      </x:c>
      <x:c r="N3" s="50" t="n">
        <x:f>F3+P3</x:f>
        <x:v>0</x:v>
      </x:c>
      <x:c r="O3" s="50" t="n">
        <x:f>IF(B3=1,0,O2+F2+P2)</x:f>
        <x:v>0</x:v>
      </x:c>
      <x:c r="P3" s="50" t="n">
        <x:f>MIN(G3,MAX(0,Inputs!$B$20-O3-F3))</x:f>
        <x:v>0</x:v>
      </x:c>
      <x:c r="Q3" s="50" t="n">
        <x:f>(C3-E3-F3)+(G3-P3)</x:f>
        <x:v>0</x:v>
      </x:c>
    </x:row>
    <x:row r="4">
      <x:c r="A4" s="41" t="n">
        <x:f>IF(B4=1,A3+1,A3)</x:f>
        <x:v>2027</x:v>
      </x:c>
      <x:c r="B4" s="41" t="n">
        <x:f>IF(B3=26,1,B3+1)</x:f>
        <x:v>3</x:v>
      </x:c>
      <x:c r="C4" s="48" t="n">
        <x:f>Inputs!$F$3</x:f>
        <x:v>800</x:v>
      </x:c>
      <x:c r="D4" s="50" t="n">
        <x:f>IF(B4=1,0,D3+E3)</x:f>
        <x:v>1600</x:v>
      </x:c>
      <x:c r="E4" s="50" t="n">
        <x:f>MIN(C4,MAX(0,Inputs!$B$7-D4))</x:f>
        <x:v>800</x:v>
      </x:c>
      <x:c r="F4" s="50" t="n">
        <x:f>MIN(C4-E4,MAX(0,Inputs!$B$20-O4))</x:f>
        <x:v>0</x:v>
      </x:c>
      <x:c r="G4" s="50" t="n">
        <x:f>0</x:f>
        <x:v>0</x:v>
      </x:c>
      <x:c r="H4" s="41" t="n">
        <x:f>0</x:f>
        <x:v>0</x:v>
      </x:c>
      <x:c r="I4" s="50" t="n">
        <x:f>(I3*(1+Inputs!$B$12))+E4</x:f>
        <x:v>37602.10362563178</x:v>
      </x:c>
      <x:c r="J4" s="50" t="n">
        <x:f>(J3*(1+Inputs!$B$12))+F4+P4</x:f>
        <x:v>20112.91020993865</x:v>
      </x:c>
      <x:c r="K4" s="50" t="n">
        <x:f>(K3*(1+Inputs!$B$12))*(1-H4)</x:f>
        <x:v>16090.32816795092</x:v>
      </x:c>
      <x:c r="L4" s="50" t="n">
        <x:f>L3*(1+Inputs!$B$13)+Q4</x:f>
        <x:v>5026.290761513074</x:v>
      </x:c>
      <x:c r="M4" s="50" t="n">
        <x:f>I4+J4+L4</x:f>
        <x:v>62741.30459708351</x:v>
      </x:c>
      <x:c r="N4" s="50" t="n">
        <x:f>F4+P4</x:f>
        <x:v>0</x:v>
      </x:c>
      <x:c r="O4" s="50" t="n">
        <x:f>IF(B4=1,0,O3+F3+P3)</x:f>
        <x:v>0</x:v>
      </x:c>
      <x:c r="P4" s="50" t="n">
        <x:f>MIN(G4,MAX(0,Inputs!$B$20-O4-F4))</x:f>
        <x:v>0</x:v>
      </x:c>
      <x:c r="Q4" s="50" t="n">
        <x:f>(C4-E4-F4)+(G4-P4)</x:f>
        <x:v>0</x:v>
      </x:c>
    </x:row>
    <x:row r="5">
      <x:c r="A5" s="41" t="n">
        <x:f>IF(B5=1,A4+1,A4)</x:f>
        <x:v>2027</x:v>
      </x:c>
      <x:c r="B5" s="41" t="n">
        <x:f>IF(B4=26,1,B4+1)</x:f>
        <x:v>4</x:v>
      </x:c>
      <x:c r="C5" s="48" t="n">
        <x:f>Inputs!$F$3</x:f>
        <x:v>800</x:v>
      </x:c>
      <x:c r="D5" s="50" t="n">
        <x:f>IF(B5=1,0,D4+E4)</x:f>
        <x:v>2400</x:v>
      </x:c>
      <x:c r="E5" s="50" t="n">
        <x:f>MIN(C5,MAX(0,Inputs!$B$7-D5))</x:f>
        <x:v>800</x:v>
      </x:c>
      <x:c r="F5" s="50" t="n">
        <x:f>MIN(C5-E5,MAX(0,Inputs!$B$20-O5))</x:f>
        <x:v>0</x:v>
      </x:c>
      <x:c r="G5" s="50" t="n">
        <x:f>0</x:f>
        <x:v>0</x:v>
      </x:c>
      <x:c r="H5" s="41" t="n">
        <x:f>0</x:f>
        <x:v>0</x:v>
      </x:c>
      <x:c r="I5" s="50" t="n">
        <x:f>(I4*(1+Inputs!$B$12))+E5</x:f>
        <x:v>38472.731904585526</x:v>
      </x:c>
      <x:c r="J5" s="50" t="n">
        <x:f>(J4*(1+Inputs!$B$12))+F5+P5</x:f>
        <x:v>20150.688421685052</x:v>
      </x:c>
      <x:c r="K5" s="50" t="n">
        <x:f>(K4*(1+Inputs!$B$12))*(1-H5)</x:f>
        <x:v>16120.55073734804</x:v>
      </x:c>
      <x:c r="L5" s="50" t="n">
        <x:f>L4*(1+Inputs!$B$13)+Q5</x:f>
        <x:v>5035.085033050697</x:v>
      </x:c>
      <x:c r="M5" s="50" t="n">
        <x:f>I5+J5+L5</x:f>
        <x:v>63658.50535932127</x:v>
      </x:c>
      <x:c r="N5" s="50" t="n">
        <x:f>F5+P5</x:f>
        <x:v>0</x:v>
      </x:c>
      <x:c r="O5" s="50" t="n">
        <x:f>IF(B5=1,0,O4+F4+P4)</x:f>
        <x:v>0</x:v>
      </x:c>
      <x:c r="P5" s="50" t="n">
        <x:f>MIN(G5,MAX(0,Inputs!$B$20-O5-F5))</x:f>
        <x:v>0</x:v>
      </x:c>
      <x:c r="Q5" s="50" t="n">
        <x:f>(C5-E5-F5)+(G5-P5)</x:f>
        <x:v>0</x:v>
      </x:c>
    </x:row>
    <x:row r="6">
      <x:c r="A6" s="41" t="n">
        <x:f>IF(B6=1,A5+1,A5)</x:f>
        <x:v>2027</x:v>
      </x:c>
      <x:c r="B6" s="41" t="n">
        <x:f>IF(B5=26,1,B5+1)</x:f>
        <x:v>5</x:v>
      </x:c>
      <x:c r="C6" s="48" t="n">
        <x:f>Inputs!$F$3</x:f>
        <x:v>800</x:v>
      </x:c>
      <x:c r="D6" s="50" t="n">
        <x:f>IF(B6=1,0,D5+E5)</x:f>
        <x:v>3200</x:v>
      </x:c>
      <x:c r="E6" s="50" t="n">
        <x:f>MIN(C6,MAX(0,Inputs!$B$7-D6))</x:f>
        <x:v>800</x:v>
      </x:c>
      <x:c r="F6" s="50" t="n">
        <x:f>MIN(C6-E6,MAX(0,Inputs!$B$20-O6))</x:f>
        <x:v>0</x:v>
      </x:c>
      <x:c r="G6" s="50" t="n">
        <x:f>0</x:f>
        <x:v>0</x:v>
      </x:c>
      <x:c r="H6" s="41" t="n">
        <x:f>0</x:f>
        <x:v>0</x:v>
      </x:c>
      <x:c r="I6" s="50" t="n">
        <x:f>(I5*(1+Inputs!$B$12))+E6</x:f>
        <x:v>39344.995490371126</x:v>
      </x:c>
      <x:c r="J6" s="50" t="n">
        <x:f>(J5*(1+Inputs!$B$12))+F6+P6</x:f>
        <x:v>20188.53759249545</x:v>
      </x:c>
      <x:c r="K6" s="50" t="n">
        <x:f>(K5*(1+Inputs!$B$12))*(1-H6)</x:f>
        <x:v>16150.830073996358</x:v>
      </x:c>
      <x:c r="L6" s="50" t="n">
        <x:f>L5*(1+Inputs!$B$13)+Q6</x:f>
        <x:v>5043.894691523845</x:v>
      </x:c>
      <x:c r="M6" s="50" t="n">
        <x:f>I6+J6+L6</x:f>
        <x:v>64577.427774390424</x:v>
      </x:c>
      <x:c r="N6" s="50" t="n">
        <x:f>F6+P6</x:f>
        <x:v>0</x:v>
      </x:c>
      <x:c r="O6" s="50" t="n">
        <x:f>IF(B6=1,0,O5+F5+P5)</x:f>
        <x:v>0</x:v>
      </x:c>
      <x:c r="P6" s="50" t="n">
        <x:f>MIN(G6,MAX(0,Inputs!$B$20-O6-F6))</x:f>
        <x:v>0</x:v>
      </x:c>
      <x:c r="Q6" s="50" t="n">
        <x:f>(C6-E6-F6)+(G6-P6)</x:f>
        <x:v>0</x:v>
      </x:c>
    </x:row>
    <x:row r="7">
      <x:c r="A7" s="41" t="n">
        <x:f>IF(B7=1,A6+1,A6)</x:f>
        <x:v>2027</x:v>
      </x:c>
      <x:c r="B7" s="41" t="n">
        <x:f>IF(B6=26,1,B6+1)</x:f>
        <x:v>6</x:v>
      </x:c>
      <x:c r="C7" s="48" t="n">
        <x:f>Inputs!$F$3</x:f>
        <x:v>800</x:v>
      </x:c>
      <x:c r="D7" s="50" t="n">
        <x:f>IF(B7=1,0,D6+E6)</x:f>
        <x:v>4000</x:v>
      </x:c>
      <x:c r="E7" s="50" t="n">
        <x:f>MIN(C7,MAX(0,Inputs!$B$7-D7))</x:f>
        <x:v>800</x:v>
      </x:c>
      <x:c r="F7" s="50" t="n">
        <x:f>MIN(C7-E7,MAX(0,Inputs!$B$20-O7))</x:f>
        <x:v>0</x:v>
      </x:c>
      <x:c r="G7" s="50" t="n">
        <x:f>0</x:f>
        <x:v>0</x:v>
      </x:c>
      <x:c r="H7" s="41" t="n">
        <x:f>0</x:f>
        <x:v>0</x:v>
      </x:c>
      <x:c r="I7" s="50" t="n">
        <x:f>(I6*(1+Inputs!$B$12))+E7</x:f>
        <x:v>40218.89745459617</x:v>
      </x:c>
      <x:c r="J7" s="50" t="n">
        <x:f>(J6*(1+Inputs!$B$12))+F7+P7</x:f>
        <x:v>20226.457855652723</x:v>
      </x:c>
      <x:c r="K7" s="50" t="n">
        <x:f>(K6*(1+Inputs!$B$12))*(1-H7)</x:f>
        <x:v>16181.166284522174</x:v>
      </x:c>
      <x:c r="L7" s="50" t="n">
        <x:f>L6*(1+Inputs!$B$13)+Q7</x:f>
        <x:v>5052.719763854337</x:v>
      </x:c>
      <x:c r="M7" s="50" t="n">
        <x:f>I7+J7+L7</x:f>
        <x:v>65498.07507410323</x:v>
      </x:c>
      <x:c r="N7" s="50" t="n">
        <x:f>F7+P7</x:f>
        <x:v>0</x:v>
      </x:c>
      <x:c r="O7" s="50" t="n">
        <x:f>IF(B7=1,0,O6+F6+P6)</x:f>
        <x:v>0</x:v>
      </x:c>
      <x:c r="P7" s="50" t="n">
        <x:f>MIN(G7,MAX(0,Inputs!$B$20-O7-F7))</x:f>
        <x:v>0</x:v>
      </x:c>
      <x:c r="Q7" s="50" t="n">
        <x:f>(C7-E7-F7)+(G7-P7)</x:f>
        <x:v>0</x:v>
      </x:c>
    </x:row>
    <x:row r="8">
      <x:c r="A8" s="41" t="n">
        <x:f>IF(B8=1,A7+1,A7)</x:f>
        <x:v>2027</x:v>
      </x:c>
      <x:c r="B8" s="41" t="n">
        <x:f>IF(B7=26,1,B7+1)</x:f>
        <x:v>7</x:v>
      </x:c>
      <x:c r="C8" s="48" t="n">
        <x:f>Inputs!$F$3</x:f>
        <x:v>800</x:v>
      </x:c>
      <x:c r="D8" s="50" t="n">
        <x:f>IF(B8=1,0,D7+E7)</x:f>
        <x:v>4800</x:v>
      </x:c>
      <x:c r="E8" s="50" t="n">
        <x:f>MIN(C8,MAX(0,Inputs!$B$7-D8))</x:f>
        <x:v>800</x:v>
      </x:c>
      <x:c r="F8" s="50" t="n">
        <x:f>MIN(C8-E8,MAX(0,Inputs!$B$20-O8))</x:f>
        <x:v>0</x:v>
      </x:c>
      <x:c r="G8" s="50" t="n">
        <x:f>0</x:f>
        <x:v>0</x:v>
      </x:c>
      <x:c r="H8" s="41" t="n">
        <x:f>0</x:f>
        <x:v>0</x:v>
      </x:c>
      <x:c r="I8" s="50" t="n">
        <x:f>(I7*(1+Inputs!$B$12))+E8</x:f>
        <x:v>41094.44087463767</x:v>
      </x:c>
      <x:c r="J8" s="50" t="n">
        <x:f>(J7*(1+Inputs!$B$12))+F8+P8</x:f>
        <x:v>20264.449344690092</x:v>
      </x:c>
      <x:c r="K8" s="50" t="n">
        <x:f>(K7*(1+Inputs!$B$12))*(1-H8)</x:f>
        <x:v>16211.55947575207</x:v>
      </x:c>
      <x:c r="L8" s="50" t="n">
        <x:f>L7*(1+Inputs!$B$13)+Q8</x:f>
        <x:v>5061.5602770110945</x:v>
      </x:c>
      <x:c r="M8" s="50" t="n">
        <x:f>I8+J8+L8</x:f>
        <x:v>66420.45049633886</x:v>
      </x:c>
      <x:c r="N8" s="50" t="n">
        <x:f>F8+P8</x:f>
        <x:v>0</x:v>
      </x:c>
      <x:c r="O8" s="50" t="n">
        <x:f>IF(B8=1,0,O7+F7+P7)</x:f>
        <x:v>0</x:v>
      </x:c>
      <x:c r="P8" s="50" t="n">
        <x:f>MIN(G8,MAX(0,Inputs!$B$20-O8-F8))</x:f>
        <x:v>0</x:v>
      </x:c>
      <x:c r="Q8" s="50" t="n">
        <x:f>(C8-E8-F8)+(G8-P8)</x:f>
        <x:v>0</x:v>
      </x:c>
    </x:row>
    <x:row r="9">
      <x:c r="A9" s="41" t="n">
        <x:f>IF(B9=1,A8+1,A8)</x:f>
        <x:v>2027</x:v>
      </x:c>
      <x:c r="B9" s="41" t="n">
        <x:f>IF(B8=26,1,B8+1)</x:f>
        <x:v>8</x:v>
      </x:c>
      <x:c r="C9" s="48" t="n">
        <x:f>Inputs!$F$3</x:f>
        <x:v>800</x:v>
      </x:c>
      <x:c r="D9" s="50" t="n">
        <x:f>IF(B9=1,0,D8+E8)</x:f>
        <x:v>5600</x:v>
      </x:c>
      <x:c r="E9" s="50" t="n">
        <x:f>MIN(C9,MAX(0,Inputs!$B$7-D9))</x:f>
        <x:v>800</x:v>
      </x:c>
      <x:c r="F9" s="50" t="n">
        <x:f>MIN(C9-E9,MAX(0,Inputs!$B$20-O9))</x:f>
        <x:v>0</x:v>
      </x:c>
      <x:c r="G9" s="50" t="n">
        <x:f>Inputs!$B$21</x:f>
        <x:v>0</x:v>
      </x:c>
      <x:c r="H9" s="41" t="n">
        <x:f>0</x:f>
        <x:v>0</x:v>
      </x:c>
      <x:c r="I9" s="50" t="n">
        <x:f>(I8*(1+Inputs!$B$12))+E9</x:f>
        <x:v>41971.62883365291</x:v>
      </x:c>
      <x:c r="J9" s="50" t="n">
        <x:f>(J8*(1+Inputs!$B$12))+F9+P9</x:f>
        <x:v>20302.5121933916</x:v>
      </x:c>
      <x:c r="K9" s="50" t="n">
        <x:f>(K8*(1+Inputs!$B$12))*(1-H9)</x:f>
        <x:v>16242.009754713275</x:v>
      </x:c>
      <x:c r="L9" s="50" t="n">
        <x:f>L8*(1+Inputs!$B$13)+Q9</x:f>
        <x:v>5070.416258010228</x:v>
      </x:c>
      <x:c r="M9" s="50" t="n">
        <x:f>I9+J9+L9</x:f>
        <x:v>67344.55728505475</x:v>
      </x:c>
      <x:c r="N9" s="50" t="n">
        <x:f>F9+P9</x:f>
        <x:v>0</x:v>
      </x:c>
      <x:c r="O9" s="50" t="n">
        <x:f>IF(B9=1,0,O8+F8+P8)</x:f>
        <x:v>0</x:v>
      </x:c>
      <x:c r="P9" s="50" t="n">
        <x:f>MIN(G9,MAX(0,Inputs!$B$20-O9-F9))</x:f>
        <x:v>0</x:v>
      </x:c>
      <x:c r="Q9" s="50" t="n">
        <x:f>(C9-E9-F9)+(G9-P9)</x:f>
        <x:v>0</x:v>
      </x:c>
    </x:row>
    <x:row r="10">
      <x:c r="A10" s="41" t="n">
        <x:f>IF(B10=1,A9+1,A9)</x:f>
        <x:v>2027</x:v>
      </x:c>
      <x:c r="B10" s="41" t="n">
        <x:f>IF(B9=26,1,B9+1)</x:f>
        <x:v>9</x:v>
      </x:c>
      <x:c r="C10" s="48" t="n">
        <x:f>Inputs!$F$3</x:f>
        <x:v>800</x:v>
      </x:c>
      <x:c r="D10" s="50" t="n">
        <x:f>IF(B10=1,0,D9+E9)</x:f>
        <x:v>6400</x:v>
      </x:c>
      <x:c r="E10" s="50" t="n">
        <x:f>MIN(C10,MAX(0,Inputs!$B$7-D10))</x:f>
        <x:v>800</x:v>
      </x:c>
      <x:c r="F10" s="50" t="n">
        <x:f>MIN(C10-E10,MAX(0,Inputs!$B$20-O10))</x:f>
        <x:v>0</x:v>
      </x:c>
      <x:c r="G10" s="50" t="n">
        <x:f>0</x:f>
        <x:v>0</x:v>
      </x:c>
      <x:c r="H10" s="41" t="n">
        <x:f>0</x:f>
        <x:v>0</x:v>
      </x:c>
      <x:c r="I10" s="50" t="n">
        <x:f>(I9*(1+Inputs!$B$12))+E10</x:f>
        <x:v>42850.46442059027</x:v>
      </x:c>
      <x:c r="J10" s="50" t="n">
        <x:f>(J9*(1+Inputs!$B$12))+F10+P10</x:f>
        <x:v>20340.646535792574</x:v>
      </x:c>
      <x:c r="K10" s="50" t="n">
        <x:f>(K9*(1+Inputs!$B$12))*(1-H10)</x:f>
        <x:v>16272.517228634053</x:v>
      </x:c>
      <x:c r="L10" s="50" t="n">
        <x:f>L9*(1+Inputs!$B$13)+Q10</x:f>
        <x:v>5079.2877339151155</x:v>
      </x:c>
      <x:c r="M10" s="50" t="n">
        <x:f>I10+J10+L10</x:f>
        <x:v>68270.39869029797</x:v>
      </x:c>
      <x:c r="N10" s="50" t="n">
        <x:f>F10+P10</x:f>
        <x:v>0</x:v>
      </x:c>
      <x:c r="O10" s="50" t="n">
        <x:f>IF(B10=1,0,O9+F9+P9)</x:f>
        <x:v>0</x:v>
      </x:c>
      <x:c r="P10" s="50" t="n">
        <x:f>MIN(G10,MAX(0,Inputs!$B$20-O10-F10))</x:f>
        <x:v>0</x:v>
      </x:c>
      <x:c r="Q10" s="50" t="n">
        <x:f>(C10-E10-F10)+(G10-P10)</x:f>
        <x:v>0</x:v>
      </x:c>
    </x:row>
    <x:row r="11">
      <x:c r="A11" s="41" t="n">
        <x:f>IF(B11=1,A10+1,A10)</x:f>
        <x:v>2027</x:v>
      </x:c>
      <x:c r="B11" s="41" t="n">
        <x:f>IF(B10=26,1,B10+1)</x:f>
        <x:v>10</x:v>
      </x:c>
      <x:c r="C11" s="48" t="n">
        <x:f>Inputs!$F$3</x:f>
        <x:v>800</x:v>
      </x:c>
      <x:c r="D11" s="50" t="n">
        <x:f>IF(B11=1,0,D10+E10)</x:f>
        <x:v>7200</x:v>
      </x:c>
      <x:c r="E11" s="50" t="n">
        <x:f>MIN(C11,MAX(0,Inputs!$B$7-D11))</x:f>
        <x:v>800</x:v>
      </x:c>
      <x:c r="F11" s="50" t="n">
        <x:f>MIN(C11-E11,MAX(0,Inputs!$B$20-O11))</x:f>
        <x:v>0</x:v>
      </x:c>
      <x:c r="G11" s="50" t="n">
        <x:f>0</x:f>
        <x:v>0</x:v>
      </x:c>
      <x:c r="H11" s="41" t="n">
        <x:f>0</x:f>
        <x:v>0</x:v>
      </x:c>
      <x:c r="I11" s="50" t="n">
        <x:f>(I10*(1+Inputs!$B$12))+E11</x:f>
        <x:v>43730.950730200144</x:v>
      </x:c>
      <x:c r="J11" s="50" t="n">
        <x:f>(J10*(1+Inputs!$B$12))+F11+P11</x:f>
        <x:v>20378.852506180097</x:v>
      </x:c>
      <x:c r="K11" s="50" t="n">
        <x:f>(K10*(1+Inputs!$B$12))*(1-H11)</x:f>
        <x:v>16303.082004944072</x:v>
      </x:c>
      <x:c r="L11" s="50" t="n">
        <x:f>L10*(1+Inputs!$B$13)+Q11</x:f>
        <x:v>5088.174731836485</x:v>
      </x:c>
      <x:c r="M11" s="50" t="n">
        <x:f>I11+J11+L11</x:f>
        <x:v>69197.97796821673</x:v>
      </x:c>
      <x:c r="N11" s="50" t="n">
        <x:f>F11+P11</x:f>
        <x:v>0</x:v>
      </x:c>
      <x:c r="O11" s="50" t="n">
        <x:f>IF(B11=1,0,O10+F10+P10)</x:f>
        <x:v>0</x:v>
      </x:c>
      <x:c r="P11" s="50" t="n">
        <x:f>MIN(G11,MAX(0,Inputs!$B$20-O11-F11))</x:f>
        <x:v>0</x:v>
      </x:c>
      <x:c r="Q11" s="50" t="n">
        <x:f>(C11-E11-F11)+(G11-P11)</x:f>
        <x:v>0</x:v>
      </x:c>
    </x:row>
    <x:row r="12">
      <x:c r="A12" s="41" t="n">
        <x:f>IF(B12=1,A11+1,A11)</x:f>
        <x:v>2027</x:v>
      </x:c>
      <x:c r="B12" s="41" t="n">
        <x:f>IF(B11=26,1,B11+1)</x:f>
        <x:v>11</x:v>
      </x:c>
      <x:c r="C12" s="48" t="n">
        <x:f>Inputs!$F$3</x:f>
        <x:v>800</x:v>
      </x:c>
      <x:c r="D12" s="50" t="n">
        <x:f>IF(B12=1,0,D11+E11)</x:f>
        <x:v>8000</x:v>
      </x:c>
      <x:c r="E12" s="50" t="n">
        <x:f>MIN(C12,MAX(0,Inputs!$B$7-D12))</x:f>
        <x:v>0</x:v>
      </x:c>
      <x:c r="F12" s="50" t="n">
        <x:f>MIN(C12-E12,MAX(0,Inputs!$B$20-O12))</x:f>
        <x:v>800</x:v>
      </x:c>
      <x:c r="G12" s="50" t="n">
        <x:f>0</x:f>
        <x:v>0</x:v>
      </x:c>
      <x:c r="H12" s="41" t="n">
        <x:f>0</x:f>
        <x:v>0</x:v>
      </x:c>
      <x:c r="I12" s="50" t="n">
        <x:f>(I11*(1+Inputs!$B$12))+E12</x:f>
        <x:v>43813.09086304579</x:v>
      </x:c>
      <x:c r="J12" s="50" t="n">
        <x:f>(J11*(1+Inputs!$B$12))+F12+P12</x:f>
        <x:v>21217.13023909349</x:v>
      </x:c>
      <x:c r="K12" s="50" t="n">
        <x:f>(K11*(1+Inputs!$B$12))*(1-H12)</x:f>
        <x:v>16333.704191274788</x:v>
      </x:c>
      <x:c r="L12" s="50" t="n">
        <x:f>L11*(1+Inputs!$B$13)+Q12</x:f>
        <x:v>5097.077278932501</x:v>
      </x:c>
      <x:c r="M12" s="50" t="n">
        <x:f>I12+J12+L12</x:f>
        <x:v>70127.29838107179</x:v>
      </x:c>
      <x:c r="N12" s="50" t="n">
        <x:f>F12+P12</x:f>
        <x:v>800</x:v>
      </x:c>
      <x:c r="O12" s="50" t="n">
        <x:f>IF(B12=1,0,O11+F11+P11)</x:f>
        <x:v>0</x:v>
      </x:c>
      <x:c r="P12" s="50" t="n">
        <x:f>MIN(G12,MAX(0,Inputs!$B$20-O12-F12))</x:f>
        <x:v>0</x:v>
      </x:c>
      <x:c r="Q12" s="50" t="n">
        <x:f>(C12-E12-F12)+(G12-P12)</x:f>
        <x:v>0</x:v>
      </x:c>
    </x:row>
    <x:row r="13">
      <x:c r="A13" s="41" t="n">
        <x:f>IF(B13=1,A12+1,A12)</x:f>
        <x:v>2027</x:v>
      </x:c>
      <x:c r="B13" s="41" t="n">
        <x:f>IF(B12=26,1,B12+1)</x:f>
        <x:v>12</x:v>
      </x:c>
      <x:c r="C13" s="48" t="n">
        <x:f>Inputs!$F$3</x:f>
        <x:v>800</x:v>
      </x:c>
      <x:c r="D13" s="50" t="n">
        <x:f>IF(B13=1,0,D12+E12)</x:f>
        <x:v>8000</x:v>
      </x:c>
      <x:c r="E13" s="50" t="n">
        <x:f>MIN(C13,MAX(0,Inputs!$B$7-D13))</x:f>
        <x:v>0</x:v>
      </x:c>
      <x:c r="F13" s="50" t="n">
        <x:f>MIN(C13-E13,MAX(0,Inputs!$B$20-O13))</x:f>
        <x:v>800</x:v>
      </x:c>
      <x:c r="G13" s="50" t="n">
        <x:f>0</x:f>
        <x:v>0</x:v>
      </x:c>
      <x:c r="H13" s="41" t="n">
        <x:f>0</x:f>
        <x:v>0</x:v>
      </x:c>
      <x:c r="I13" s="50" t="n">
        <x:f>(I12*(1+Inputs!$B$12))+E13</x:f>
        <x:v>43895.38528024408</x:v>
      </x:c>
      <x:c r="J13" s="50" t="n">
        <x:f>(J12*(1+Inputs!$B$12))+F13+P13</x:f>
        <x:v>22056.98251459499</x:v>
      </x:c>
      <x:c r="K13" s="50" t="n">
        <x:f>(K12*(1+Inputs!$B$12))*(1-H13)</x:f>
        <x:v>16364.383895459821</x:v>
      </x:c>
      <x:c r="L13" s="50" t="n">
        <x:f>L12*(1+Inputs!$B$13)+Q13</x:f>
        <x:v>5105.995402408845</x:v>
      </x:c>
      <x:c r="M13" s="50" t="n">
        <x:f>I13+J13+L13</x:f>
        <x:v>71058.36319724792</x:v>
      </x:c>
      <x:c r="N13" s="50" t="n">
        <x:f>F13+P13</x:f>
        <x:v>800</x:v>
      </x:c>
      <x:c r="O13" s="50" t="n">
        <x:f>IF(B13=1,0,O12+F12+P12)</x:f>
        <x:v>800</x:v>
      </x:c>
      <x:c r="P13" s="50" t="n">
        <x:f>MIN(G13,MAX(0,Inputs!$B$20-O13-F13))</x:f>
        <x:v>0</x:v>
      </x:c>
      <x:c r="Q13" s="50" t="n">
        <x:f>(C13-E13-F13)+(G13-P13)</x:f>
        <x:v>0</x:v>
      </x:c>
    </x:row>
    <x:row r="14">
      <x:c r="A14" s="41" t="n">
        <x:f>IF(B14=1,A13+1,A13)</x:f>
        <x:v>2027</x:v>
      </x:c>
      <x:c r="B14" s="41" t="n">
        <x:f>IF(B13=26,1,B13+1)</x:f>
        <x:v>13</x:v>
      </x:c>
      <x:c r="C14" s="48" t="n">
        <x:f>Inputs!$F$3</x:f>
        <x:v>800</x:v>
      </x:c>
      <x:c r="D14" s="50" t="n">
        <x:f>IF(B14=1,0,D13+E13)</x:f>
        <x:v>8000</x:v>
      </x:c>
      <x:c r="E14" s="50" t="n">
        <x:f>MIN(C14,MAX(0,Inputs!$B$7-D14))</x:f>
        <x:v>0</x:v>
      </x:c>
      <x:c r="F14" s="50" t="n">
        <x:f>MIN(C14-E14,MAX(0,Inputs!$B$20-O14))</x:f>
        <x:v>800</x:v>
      </x:c>
      <x:c r="G14" s="50" t="n">
        <x:f>0</x:f>
        <x:v>0</x:v>
      </x:c>
      <x:c r="H14" s="41" t="n">
        <x:f>0</x:f>
        <x:v>0</x:v>
      </x:c>
      <x:c r="I14" s="50" t="n">
        <x:f>(I13*(1+Inputs!$B$12))+E14</x:f>
        <x:v>43977.83427158833</x:v>
      </x:c>
      <x:c r="J14" s="50" t="n">
        <x:f>(J13*(1+Inputs!$B$12))+F14+P14</x:f>
        <x:v>22898.412290158314</x:v>
      </x:c>
      <x:c r="K14" s="50" t="n">
        <x:f>(K13*(1+Inputs!$B$12))*(1-H14)</x:f>
        <x:v>16395.121225535335</x:v>
      </x:c>
      <x:c r="L14" s="50" t="n">
        <x:f>L13*(1+Inputs!$B$13)+Q14</x:f>
        <x:v>5114.929129518798</x:v>
      </x:c>
      <x:c r="M14" s="50" t="n">
        <x:f>I14+J14+L14</x:f>
        <x:v>71991.17569126544</x:v>
      </x:c>
      <x:c r="N14" s="50" t="n">
        <x:f>F14+P14</x:f>
        <x:v>800</x:v>
      </x:c>
      <x:c r="O14" s="50" t="n">
        <x:f>IF(B14=1,0,O13+F13+P13)</x:f>
        <x:v>1600</x:v>
      </x:c>
      <x:c r="P14" s="50" t="n">
        <x:f>MIN(G14,MAX(0,Inputs!$B$20-O14-F14))</x:f>
        <x:v>0</x:v>
      </x:c>
      <x:c r="Q14" s="50" t="n">
        <x:f>(C14-E14-F14)+(G14-P14)</x:f>
        <x:v>0</x:v>
      </x:c>
    </x:row>
    <x:row r="15">
      <x:c r="A15" s="41" t="n">
        <x:f>IF(B15=1,A14+1,A14)</x:f>
        <x:v>2027</x:v>
      </x:c>
      <x:c r="B15" s="41" t="n">
        <x:f>IF(B14=26,1,B14+1)</x:f>
        <x:v>14</x:v>
      </x:c>
      <x:c r="C15" s="48" t="n">
        <x:f>Inputs!$F$3</x:f>
        <x:v>800</x:v>
      </x:c>
      <x:c r="D15" s="50" t="n">
        <x:f>IF(B15=1,0,D14+E14)</x:f>
        <x:v>8000</x:v>
      </x:c>
      <x:c r="E15" s="50" t="n">
        <x:f>MIN(C15,MAX(0,Inputs!$B$7-D15))</x:f>
        <x:v>0</x:v>
      </x:c>
      <x:c r="F15" s="50" t="n">
        <x:f>MIN(C15-E15,MAX(0,Inputs!$B$20-O15))</x:f>
        <x:v>800</x:v>
      </x:c>
      <x:c r="G15" s="50" t="n">
        <x:f>0</x:f>
        <x:v>0</x:v>
      </x:c>
      <x:c r="H15" s="41" t="n">
        <x:f>0</x:f>
        <x:v>0</x:v>
      </x:c>
      <x:c r="I15" s="50" t="n">
        <x:f>(I14*(1+Inputs!$B$12))+E15</x:f>
        <x:v>44060.43812741617</x:v>
      </x:c>
      <x:c r="J15" s="50" t="n">
        <x:f>(J14*(1+Inputs!$B$12))+F15+P15</x:f>
        <x:v>23741.422528812218</x:v>
      </x:c>
      <x:c r="K15" s="50" t="n">
        <x:f>(K14*(1+Inputs!$B$12))*(1-H15)</x:f>
        <x:v>16425.91628974042</x:v>
      </x:c>
      <x:c r="L15" s="50" t="n">
        <x:f>L14*(1+Inputs!$B$13)+Q15</x:f>
        <x:v>5123.8784875633255</x:v>
      </x:c>
      <x:c r="M15" s="50" t="n">
        <x:f>I15+J15+L15</x:f>
        <x:v>72925.73914379171</x:v>
      </x:c>
      <x:c r="N15" s="50" t="n">
        <x:f>F15+P15</x:f>
        <x:v>800</x:v>
      </x:c>
      <x:c r="O15" s="50" t="n">
        <x:f>IF(B15=1,0,O14+F14+P14)</x:f>
        <x:v>2400</x:v>
      </x:c>
      <x:c r="P15" s="50" t="n">
        <x:f>MIN(G15,MAX(0,Inputs!$B$20-O15-F15))</x:f>
        <x:v>0</x:v>
      </x:c>
      <x:c r="Q15" s="50" t="n">
        <x:f>(C15-E15-F15)+(G15-P15)</x:f>
        <x:v>0</x:v>
      </x:c>
    </x:row>
    <x:row r="16">
      <x:c r="A16" s="41" t="n">
        <x:f>IF(B16=1,A15+1,A15)</x:f>
        <x:v>2027</x:v>
      </x:c>
      <x:c r="B16" s="41" t="n">
        <x:f>IF(B15=26,1,B15+1)</x:f>
        <x:v>15</x:v>
      </x:c>
      <x:c r="C16" s="48" t="n">
        <x:f>Inputs!$F$3</x:f>
        <x:v>800</x:v>
      </x:c>
      <x:c r="D16" s="50" t="n">
        <x:f>IF(B16=1,0,D15+E15)</x:f>
        <x:v>8000</x:v>
      </x:c>
      <x:c r="E16" s="50" t="n">
        <x:f>MIN(C16,MAX(0,Inputs!$B$7-D16))</x:f>
        <x:v>0</x:v>
      </x:c>
      <x:c r="F16" s="50" t="n">
        <x:f>MIN(C16-E16,MAX(0,Inputs!$B$20-O16))</x:f>
        <x:v>800</x:v>
      </x:c>
      <x:c r="G16" s="50" t="n">
        <x:f>0</x:f>
        <x:v>0</x:v>
      </x:c>
      <x:c r="H16" s="41" t="n">
        <x:f>0</x:f>
        <x:v>0</x:v>
      </x:c>
      <x:c r="I16" s="50" t="n">
        <x:f>(I15*(1+Inputs!$B$12))+E16</x:f>
        <x:v>44143.197138610594</x:v>
      </x:c>
      <x:c r="J16" s="50" t="n">
        <x:f>(J15*(1+Inputs!$B$12))+F16+P16</x:f>
        <x:v>24586.016199150934</x:v>
      </x:c>
      <x:c r="K16" s="50" t="n">
        <x:f>(K15*(1+Inputs!$B$12))*(1-H16)</x:f>
        <x:v>16456.76919651747</x:v>
      </x:c>
      <x:c r="L16" s="50" t="n">
        <x:f>L15*(1+Inputs!$B$13)+Q16</x:f>
        <x:v>5132.843503891161</x:v>
      </x:c>
      <x:c r="M16" s="50" t="n">
        <x:f>I16+J16+L16</x:f>
        <x:v>73862.05684165268</x:v>
      </x:c>
      <x:c r="N16" s="50" t="n">
        <x:f>F16+P16</x:f>
        <x:v>800</x:v>
      </x:c>
      <x:c r="O16" s="50" t="n">
        <x:f>IF(B16=1,0,O15+F15+P15)</x:f>
        <x:v>3200</x:v>
      </x:c>
      <x:c r="P16" s="50" t="n">
        <x:f>MIN(G16,MAX(0,Inputs!$B$20-O16-F16))</x:f>
        <x:v>0</x:v>
      </x:c>
      <x:c r="Q16" s="50" t="n">
        <x:f>(C16-E16-F16)+(G16-P16)</x:f>
        <x:v>0</x:v>
      </x:c>
    </x:row>
    <x:row r="17">
      <x:c r="A17" s="41" t="n">
        <x:f>IF(B17=1,A16+1,A16)</x:f>
        <x:v>2027</x:v>
      </x:c>
      <x:c r="B17" s="41" t="n">
        <x:f>IF(B16=26,1,B16+1)</x:f>
        <x:v>16</x:v>
      </x:c>
      <x:c r="C17" s="48" t="n">
        <x:f>Inputs!$F$3</x:f>
        <x:v>800</x:v>
      </x:c>
      <x:c r="D17" s="50" t="n">
        <x:f>IF(B17=1,0,D16+E16)</x:f>
        <x:v>8000</x:v>
      </x:c>
      <x:c r="E17" s="50" t="n">
        <x:f>MIN(C17,MAX(0,Inputs!$B$7-D17))</x:f>
        <x:v>0</x:v>
      </x:c>
      <x:c r="F17" s="50" t="n">
        <x:f>MIN(C17-E17,MAX(0,Inputs!$B$20-O17))</x:f>
        <x:v>800</x:v>
      </x:c>
      <x:c r="G17" s="50" t="n">
        <x:f>0</x:f>
        <x:v>0</x:v>
      </x:c>
      <x:c r="H17" s="41" t="n">
        <x:f>0</x:f>
        <x:v>0</x:v>
      </x:c>
      <x:c r="I17" s="50" t="n">
        <x:f>(I16*(1+Inputs!$B$12))+E17</x:f>
        <x:v>44226.11159660094</x:v>
      </x:c>
      <x:c r="J17" s="50" t="n">
        <x:f>(J16*(1+Inputs!$B$12))+F17+P17</x:f>
        <x:v>25432.19627534463</x:v>
      </x:c>
      <x:c r="K17" s="50" t="n">
        <x:f>(K16*(1+Inputs!$B$12))*(1-H17)</x:f>
        <x:v>16487.680054512573</x:v>
      </x:c>
      <x:c r="L17" s="50" t="n">
        <x:f>L16*(1+Inputs!$B$13)+Q17</x:f>
        <x:v>5141.824205898889</x:v>
      </x:c>
      <x:c r="M17" s="50" t="n">
        <x:f>I17+J17+L17</x:f>
        <x:v>74800.13207784445</x:v>
      </x:c>
      <x:c r="N17" s="50" t="n">
        <x:f>F17+P17</x:f>
        <x:v>800</x:v>
      </x:c>
      <x:c r="O17" s="50" t="n">
        <x:f>IF(B17=1,0,O16+F16+P16)</x:f>
        <x:v>4000</x:v>
      </x:c>
      <x:c r="P17" s="50" t="n">
        <x:f>MIN(G17,MAX(0,Inputs!$B$20-O17-F17))</x:f>
        <x:v>0</x:v>
      </x:c>
      <x:c r="Q17" s="50" t="n">
        <x:f>(C17-E17-F17)+(G17-P17)</x:f>
        <x:v>0</x:v>
      </x:c>
    </x:row>
    <x:row r="18">
      <x:c r="A18" s="41" t="n">
        <x:f>IF(B18=1,A17+1,A17)</x:f>
        <x:v>2027</x:v>
      </x:c>
      <x:c r="B18" s="41" t="n">
        <x:f>IF(B17=26,1,B17+1)</x:f>
        <x:v>17</x:v>
      </x:c>
      <x:c r="C18" s="48" t="n">
        <x:f>Inputs!$F$3</x:f>
        <x:v>800</x:v>
      </x:c>
      <x:c r="D18" s="50" t="n">
        <x:f>IF(B18=1,0,D17+E17)</x:f>
        <x:v>8000</x:v>
      </x:c>
      <x:c r="E18" s="50" t="n">
        <x:f>MIN(C18,MAX(0,Inputs!$B$7-D18))</x:f>
        <x:v>0</x:v>
      </x:c>
      <x:c r="F18" s="50" t="n">
        <x:f>MIN(C18-E18,MAX(0,Inputs!$B$20-O18))</x:f>
        <x:v>800</x:v>
      </x:c>
      <x:c r="G18" s="50" t="n">
        <x:f>0</x:f>
        <x:v>0</x:v>
      </x:c>
      <x:c r="H18" s="41" t="n">
        <x:f>0</x:f>
        <x:v>0</x:v>
      </x:c>
      <x:c r="I18" s="50" t="n">
        <x:f>(I17*(1+Inputs!$B$12))+E18</x:f>
        <x:v>44309.18179336395</x:v>
      </x:c>
      <x:c r="J18" s="50" t="n">
        <x:f>(J17*(1+Inputs!$B$12))+F18+P18</x:f>
        <x:v>26279.965737149876</x:v>
      </x:c>
      <x:c r="K18" s="50" t="n">
        <x:f>(K17*(1+Inputs!$B$12))*(1-H18)</x:f>
        <x:v>16518.648972575884</x:v>
      </x:c>
      <x:c r="L18" s="50" t="n">
        <x:f>L17*(1+Inputs!$B$13)+Q18</x:f>
        <x:v>5150.820621031026</x:v>
      </x:c>
      <x:c r="M18" s="50" t="n">
        <x:f>I18+J18+L18</x:f>
        <x:v>75739.96815154485</x:v>
      </x:c>
      <x:c r="N18" s="50" t="n">
        <x:f>F18+P18</x:f>
        <x:v>800</x:v>
      </x:c>
      <x:c r="O18" s="50" t="n">
        <x:f>IF(B18=1,0,O17+F17+P17)</x:f>
        <x:v>4800</x:v>
      </x:c>
      <x:c r="P18" s="50" t="n">
        <x:f>MIN(G18,MAX(0,Inputs!$B$20-O18-F18))</x:f>
        <x:v>0</x:v>
      </x:c>
      <x:c r="Q18" s="50" t="n">
        <x:f>(C18-E18-F18)+(G18-P18)</x:f>
        <x:v>0</x:v>
      </x:c>
    </x:row>
    <x:row r="19">
      <x:c r="A19" s="41" t="n">
        <x:f>IF(B19=1,A18+1,A18)</x:f>
        <x:v>2027</x:v>
      </x:c>
      <x:c r="B19" s="41" t="n">
        <x:f>IF(B18=26,1,B18+1)</x:f>
        <x:v>18</x:v>
      </x:c>
      <x:c r="C19" s="48" t="n">
        <x:f>Inputs!$F$3</x:f>
        <x:v>800</x:v>
      </x:c>
      <x:c r="D19" s="50" t="n">
        <x:f>IF(B19=1,0,D18+E18)</x:f>
        <x:v>8000</x:v>
      </x:c>
      <x:c r="E19" s="50" t="n">
        <x:f>MIN(C19,MAX(0,Inputs!$B$7-D19))</x:f>
        <x:v>0</x:v>
      </x:c>
      <x:c r="F19" s="50" t="n">
        <x:f>MIN(C19-E19,MAX(0,Inputs!$B$20-O19))</x:f>
        <x:v>800</x:v>
      </x:c>
      <x:c r="G19" s="50" t="n">
        <x:f>0</x:f>
        <x:v>0</x:v>
      </x:c>
      <x:c r="H19" s="41" t="n">
        <x:f>0</x:f>
        <x:v>0</x:v>
      </x:c>
      <x:c r="I19" s="50" t="n">
        <x:f>(I18*(1+Inputs!$B$12))+E19</x:f>
        <x:v>44392.40802142478</x:v>
      </x:c>
      <x:c r="J19" s="50" t="n">
        <x:f>(J18*(1+Inputs!$B$12))+F19+P19</x:f>
        <x:v>27129.327569920133</x:v>
      </x:c>
      <x:c r="K19" s="50" t="n">
        <x:f>(K18*(1+Inputs!$B$12))*(1-H19)</x:f>
        <x:v>16549.676059762005</x:v>
      </x:c>
      <x:c r="L19" s="50" t="n">
        <x:f>L18*(1+Inputs!$B$13)+Q19</x:f>
        <x:v>5159.832776780109</x:v>
      </x:c>
      <x:c r="M19" s="50" t="n">
        <x:f>I19+J19+L19</x:f>
        <x:v>76681.56836812502</x:v>
      </x:c>
      <x:c r="N19" s="50" t="n">
        <x:f>F19+P19</x:f>
        <x:v>800</x:v>
      </x:c>
      <x:c r="O19" s="50" t="n">
        <x:f>IF(B19=1,0,O18+F18+P18)</x:f>
        <x:v>5600</x:v>
      </x:c>
      <x:c r="P19" s="50" t="n">
        <x:f>MIN(G19,MAX(0,Inputs!$B$20-O19-F19))</x:f>
        <x:v>0</x:v>
      </x:c>
      <x:c r="Q19" s="50" t="n">
        <x:f>(C19-E19-F19)+(G19-P19)</x:f>
        <x:v>0</x:v>
      </x:c>
    </x:row>
    <x:row r="20">
      <x:c r="A20" s="41" t="n">
        <x:f>IF(B20=1,A19+1,A19)</x:f>
        <x:v>2027</x:v>
      </x:c>
      <x:c r="B20" s="41" t="n">
        <x:f>IF(B19=26,1,B19+1)</x:f>
        <x:v>19</x:v>
      </x:c>
      <x:c r="C20" s="48" t="n">
        <x:f>Inputs!$F$3</x:f>
        <x:v>800</x:v>
      </x:c>
      <x:c r="D20" s="50" t="n">
        <x:f>IF(B20=1,0,D19+E19)</x:f>
        <x:v>8000</x:v>
      </x:c>
      <x:c r="E20" s="50" t="n">
        <x:f>MIN(C20,MAX(0,Inputs!$B$7-D20))</x:f>
        <x:v>0</x:v>
      </x:c>
      <x:c r="F20" s="50" t="n">
        <x:f>MIN(C20-E20,MAX(0,Inputs!$B$20-O20))</x:f>
        <x:v>800</x:v>
      </x:c>
      <x:c r="G20" s="50" t="n">
        <x:f>0</x:f>
        <x:v>0</x:v>
      </x:c>
      <x:c r="H20" s="41" t="n">
        <x:f>0</x:f>
        <x:v>0</x:v>
      </x:c>
      <x:c r="I20" s="50" t="n">
        <x:f>(I19*(1+Inputs!$B$12))+E20</x:f>
        <x:v>44475.79057385806</x:v>
      </x:c>
      <x:c r="J20" s="50" t="n">
        <x:f>(J19*(1+Inputs!$B$12))+F20+P20</x:f>
        <x:v>27980.284764616277</x:v>
      </x:c>
      <x:c r="K20" s="50" t="n">
        <x:f>(K19*(1+Inputs!$B$12))*(1-H20)</x:f>
        <x:v>16580.761425330387</x:v>
      </x:c>
      <x:c r="L20" s="50" t="n">
        <x:f>L19*(1+Inputs!$B$13)+Q20</x:f>
        <x:v>5168.860700686778</x:v>
      </x:c>
      <x:c r="M20" s="50" t="n">
        <x:f>I20+J20+L20</x:f>
        <x:v>77624.93603916111</x:v>
      </x:c>
      <x:c r="N20" s="50" t="n">
        <x:f>F20+P20</x:f>
        <x:v>800</x:v>
      </x:c>
      <x:c r="O20" s="50" t="n">
        <x:f>IF(B20=1,0,O19+F19+P19)</x:f>
        <x:v>6400</x:v>
      </x:c>
      <x:c r="P20" s="50" t="n">
        <x:f>MIN(G20,MAX(0,Inputs!$B$20-O20-F20))</x:f>
        <x:v>0</x:v>
      </x:c>
      <x:c r="Q20" s="50" t="n">
        <x:f>(C20-E20-F20)+(G20-P20)</x:f>
        <x:v>0</x:v>
      </x:c>
    </x:row>
    <x:row r="21">
      <x:c r="A21" s="41" t="n">
        <x:f>IF(B21=1,A20+1,A20)</x:f>
        <x:v>2027</x:v>
      </x:c>
      <x:c r="B21" s="41" t="n">
        <x:f>IF(B20=26,1,B20+1)</x:f>
        <x:v>20</x:v>
      </x:c>
      <x:c r="C21" s="48" t="n">
        <x:f>Inputs!$F$3</x:f>
        <x:v>800</x:v>
      </x:c>
      <x:c r="D21" s="50" t="n">
        <x:f>IF(B21=1,0,D20+E20)</x:f>
        <x:v>8000</x:v>
      </x:c>
      <x:c r="E21" s="50" t="n">
        <x:f>MIN(C21,MAX(0,Inputs!$B$7-D21))</x:f>
        <x:v>0</x:v>
      </x:c>
      <x:c r="F21" s="50" t="n">
        <x:f>MIN(C21-E21,MAX(0,Inputs!$B$20-O21))</x:f>
        <x:v>800</x:v>
      </x:c>
      <x:c r="G21" s="50" t="n">
        <x:f>0</x:f>
        <x:v>0</x:v>
      </x:c>
      <x:c r="H21" s="41" t="n">
        <x:f>0</x:f>
        <x:v>0</x:v>
      </x:c>
      <x:c r="I21" s="50" t="n">
        <x:f>(I20*(1+Inputs!$B$12))+E21</x:f>
        <x:v>44559.32974428887</x:v>
      </x:c>
      <x:c r="J21" s="50" t="n">
        <x:f>(J20*(1+Inputs!$B$12))+F21+P21</x:f>
        <x:v>28832.84031781712</x:v>
      </x:c>
      <x:c r="K21" s="50" t="n">
        <x:f>(K20*(1+Inputs!$B$12))*(1-H21)</x:f>
        <x:v>16611.9051787457</x:v>
      </x:c>
      <x:c r="L21" s="50" t="n">
        <x:f>L20*(1+Inputs!$B$13)+Q21</x:f>
        <x:v>5177.904420339857</x:v>
      </x:c>
      <x:c r="M21" s="50" t="n">
        <x:f>I21+J21+L21</x:f>
        <x:v>78570.07448244584</x:v>
      </x:c>
      <x:c r="N21" s="50" t="n">
        <x:f>F21+P21</x:f>
        <x:v>800</x:v>
      </x:c>
      <x:c r="O21" s="50" t="n">
        <x:f>IF(B21=1,0,O20+F20+P20)</x:f>
        <x:v>7200</x:v>
      </x:c>
      <x:c r="P21" s="50" t="n">
        <x:f>MIN(G21,MAX(0,Inputs!$B$20-O21-F21))</x:f>
        <x:v>0</x:v>
      </x:c>
      <x:c r="Q21" s="50" t="n">
        <x:f>(C21-E21-F21)+(G21-P21)</x:f>
        <x:v>0</x:v>
      </x:c>
    </x:row>
    <x:row r="22">
      <x:c r="A22" s="41" t="n">
        <x:f>IF(B22=1,A21+1,A21)</x:f>
        <x:v>2027</x:v>
      </x:c>
      <x:c r="B22" s="41" t="n">
        <x:f>IF(B21=26,1,B21+1)</x:f>
        <x:v>21</x:v>
      </x:c>
      <x:c r="C22" s="48" t="n">
        <x:f>Inputs!$F$3</x:f>
        <x:v>800</x:v>
      </x:c>
      <x:c r="D22" s="50" t="n">
        <x:f>IF(B22=1,0,D21+E21)</x:f>
        <x:v>8000</x:v>
      </x:c>
      <x:c r="E22" s="50" t="n">
        <x:f>MIN(C22,MAX(0,Inputs!$B$7-D22))</x:f>
        <x:v>0</x:v>
      </x:c>
      <x:c r="F22" s="50" t="n">
        <x:f>MIN(C22-E22,MAX(0,Inputs!$B$20-O22))</x:f>
        <x:v>800</x:v>
      </x:c>
      <x:c r="G22" s="50" t="n">
        <x:f>0</x:f>
        <x:v>0</x:v>
      </x:c>
      <x:c r="H22" s="41" t="n">
        <x:f>0</x:f>
        <x:v>0</x:v>
      </x:c>
      <x:c r="I22" s="50" t="n">
        <x:f>(I21*(1+Inputs!$B$12))+E22</x:f>
        <x:v>44643.02582689384</x:v>
      </x:c>
      <x:c r="J22" s="50" t="n">
        <x:f>(J21*(1+Inputs!$B$12))+F22+P22</x:f>
        <x:v>29686.997231729976</x:v>
      </x:c>
      <x:c r="K22" s="50" t="n">
        <x:f>(K21*(1+Inputs!$B$12))*(1-H22)</x:f>
        <x:v>16643.10742967822</x:v>
      </x:c>
      <x:c r="L22" s="50" t="n">
        <x:f>L21*(1+Inputs!$B$13)+Q22</x:f>
        <x:v>5186.963963376444</x:v>
      </x:c>
      <x:c r="M22" s="50" t="n">
        <x:f>I22+J22+L22</x:f>
        <x:v>79516.98702200026</x:v>
      </x:c>
      <x:c r="N22" s="50" t="n">
        <x:f>F22+P22</x:f>
        <x:v>800</x:v>
      </x:c>
      <x:c r="O22" s="50" t="n">
        <x:f>IF(B22=1,0,O21+F21+P21)</x:f>
        <x:v>8000</x:v>
      </x:c>
      <x:c r="P22" s="50" t="n">
        <x:f>MIN(G22,MAX(0,Inputs!$B$20-O22-F22))</x:f>
        <x:v>0</x:v>
      </x:c>
      <x:c r="Q22" s="50" t="n">
        <x:f>(C22-E22-F22)+(G22-P22)</x:f>
        <x:v>0</x:v>
      </x:c>
    </x:row>
    <x:row r="23">
      <x:c r="A23" s="41" t="n">
        <x:f>IF(B23=1,A22+1,A22)</x:f>
        <x:v>2027</x:v>
      </x:c>
      <x:c r="B23" s="41" t="n">
        <x:f>IF(B22=26,1,B22+1)</x:f>
        <x:v>22</x:v>
      </x:c>
      <x:c r="C23" s="48" t="n">
        <x:f>Inputs!$F$3</x:f>
        <x:v>800</x:v>
      </x:c>
      <x:c r="D23" s="50" t="n">
        <x:f>IF(B23=1,0,D22+E22)</x:f>
        <x:v>8000</x:v>
      </x:c>
      <x:c r="E23" s="50" t="n">
        <x:f>MIN(C23,MAX(0,Inputs!$B$7-D23))</x:f>
        <x:v>0</x:v>
      </x:c>
      <x:c r="F23" s="50" t="n">
        <x:f>MIN(C23-E23,MAX(0,Inputs!$B$20-O23))</x:f>
        <x:v>800</x:v>
      </x:c>
      <x:c r="G23" s="50" t="n">
        <x:f>0</x:f>
        <x:v>0</x:v>
      </x:c>
      <x:c r="H23" s="41" t="n">
        <x:f>0</x:f>
        <x:v>0</x:v>
      </x:c>
      <x:c r="I23" s="50" t="n">
        <x:f>(I22*(1+Inputs!$B$12))+E23</x:f>
        <x:v>44726.87911640214</x:v>
      </x:c>
      <x:c r="J23" s="50" t="n">
        <x:f>(J22*(1+Inputs!$B$12))+F23+P23</x:f>
        <x:v>30542.758514201218</x:v>
      </x:c>
      <x:c r="K23" s="50" t="n">
        <x:f>(K22*(1+Inputs!$B$12))*(1-H23)</x:f>
        <x:v>16674.36828800422</x:v>
      </x:c>
      <x:c r="L23" s="50" t="n">
        <x:f>L22*(1+Inputs!$B$13)+Q23</x:f>
        <x:v>5196.03935748199</x:v>
      </x:c>
      <x:c r="M23" s="50" t="n">
        <x:f>I23+J23+L23</x:f>
        <x:v>80465.67698808535</x:v>
      </x:c>
      <x:c r="N23" s="50" t="n">
        <x:f>F23+P23</x:f>
        <x:v>800</x:v>
      </x:c>
      <x:c r="O23" s="50" t="n">
        <x:f>IF(B23=1,0,O22+F22+P22)</x:f>
        <x:v>8800</x:v>
      </x:c>
      <x:c r="P23" s="50" t="n">
        <x:f>MIN(G23,MAX(0,Inputs!$B$20-O23-F23))</x:f>
        <x:v>0</x:v>
      </x:c>
      <x:c r="Q23" s="50" t="n">
        <x:f>(C23-E23-F23)+(G23-P23)</x:f>
        <x:v>0</x:v>
      </x:c>
    </x:row>
    <x:row r="24">
      <x:c r="A24" s="41" t="n">
        <x:f>IF(B24=1,A23+1,A23)</x:f>
        <x:v>2027</x:v>
      </x:c>
      <x:c r="B24" s="41" t="n">
        <x:f>IF(B23=26,1,B23+1)</x:f>
        <x:v>23</x:v>
      </x:c>
      <x:c r="C24" s="48" t="n">
        <x:f>Inputs!$F$3</x:f>
        <x:v>800</x:v>
      </x:c>
      <x:c r="D24" s="50" t="n">
        <x:f>IF(B24=1,0,D23+E23)</x:f>
        <x:v>8000</x:v>
      </x:c>
      <x:c r="E24" s="50" t="n">
        <x:f>MIN(C24,MAX(0,Inputs!$B$7-D24))</x:f>
        <x:v>0</x:v>
      </x:c>
      <x:c r="F24" s="50" t="n">
        <x:f>MIN(C24-E24,MAX(0,Inputs!$B$20-O24))</x:f>
        <x:v>800</x:v>
      </x:c>
      <x:c r="G24" s="50" t="n">
        <x:f>0</x:f>
        <x:v>0</x:v>
      </x:c>
      <x:c r="H24" s="41" t="n">
        <x:f>0</x:f>
        <x:v>0</x:v>
      </x:c>
      <x:c r="I24" s="50" t="n">
        <x:f>(I23*(1+Inputs!$B$12))+E24</x:f>
        <x:v>44810.88990809653</x:v>
      </x:c>
      <x:c r="J24" s="50" t="n">
        <x:f>(J23*(1+Inputs!$B$12))+F24+P24</x:f>
        <x:v>31400.127178726874</x:v>
      </x:c>
      <x:c r="K24" s="50" t="n">
        <x:f>(K23*(1+Inputs!$B$12))*(1-H24)</x:f>
        <x:v>16705.687863806354</x:v>
      </x:c>
      <x:c r="L24" s="50" t="n">
        <x:f>L23*(1+Inputs!$B$13)+Q24</x:f>
        <x:v>5205.1306303903875</x:v>
      </x:c>
      <x:c r="M24" s="50" t="n">
        <x:f>I24+J24+L24</x:f>
        <x:v>81416.14771721378</x:v>
      </x:c>
      <x:c r="N24" s="50" t="n">
        <x:f>F24+P24</x:f>
        <x:v>800</x:v>
      </x:c>
      <x:c r="O24" s="50" t="n">
        <x:f>IF(B24=1,0,O23+F23+P23)</x:f>
        <x:v>9600</x:v>
      </x:c>
      <x:c r="P24" s="50" t="n">
        <x:f>MIN(G24,MAX(0,Inputs!$B$20-O24-F24))</x:f>
        <x:v>0</x:v>
      </x:c>
      <x:c r="Q24" s="50" t="n">
        <x:f>(C24-E24-F24)+(G24-P24)</x:f>
        <x:v>0</x:v>
      </x:c>
    </x:row>
    <x:row r="25">
      <x:c r="A25" s="41" t="n">
        <x:f>IF(B25=1,A24+1,A24)</x:f>
        <x:v>2027</x:v>
      </x:c>
      <x:c r="B25" s="41" t="n">
        <x:f>IF(B24=26,1,B24+1)</x:f>
        <x:v>24</x:v>
      </x:c>
      <x:c r="C25" s="48" t="n">
        <x:f>Inputs!$F$3</x:f>
        <x:v>800</x:v>
      </x:c>
      <x:c r="D25" s="50" t="n">
        <x:f>IF(B25=1,0,D24+E24)</x:f>
        <x:v>8000</x:v>
      </x:c>
      <x:c r="E25" s="50" t="n">
        <x:f>MIN(C25,MAX(0,Inputs!$B$7-D25))</x:f>
        <x:v>0</x:v>
      </x:c>
      <x:c r="F25" s="50" t="n">
        <x:f>MIN(C25-E25,MAX(0,Inputs!$B$20-O25))</x:f>
        <x:v>800</x:v>
      </x:c>
      <x:c r="G25" s="50" t="n">
        <x:f>0</x:f>
        <x:v>0</x:v>
      </x:c>
      <x:c r="H25" s="41" t="n">
        <x:f>0</x:f>
        <x:v>0</x:v>
      </x:c>
      <x:c r="I25" s="50" t="n">
        <x:f>(I24*(1+Inputs!$B$12))+E25</x:f>
        <x:v>44895.058497814396</x:v>
      </x:c>
      <x:c r="J25" s="50" t="n">
        <x:f>(J24*(1+Inputs!$B$12))+F25+P25</x:f>
        <x:v>32259.10624446325</x:v>
      </x:c>
      <x:c r="K25" s="50" t="n">
        <x:f>(K24*(1+Inputs!$B$12))*(1-H25)</x:f>
        <x:v>16737.06626737404</x:v>
      </x:c>
      <x:c r="L25" s="50" t="n">
        <x:f>L24*(1+Inputs!$B$13)+Q25</x:f>
        <x:v>5214.237809884053</x:v>
      </x:c>
      <x:c r="M25" s="50" t="n">
        <x:f>I25+J25+L25</x:f>
        <x:v>82368.4025521617</x:v>
      </x:c>
      <x:c r="N25" s="50" t="n">
        <x:f>F25+P25</x:f>
        <x:v>800</x:v>
      </x:c>
      <x:c r="O25" s="50" t="n">
        <x:f>IF(B25=1,0,O24+F24+P24)</x:f>
        <x:v>10400</x:v>
      </x:c>
      <x:c r="P25" s="50" t="n">
        <x:f>MIN(G25,MAX(0,Inputs!$B$20-O25-F25))</x:f>
        <x:v>0</x:v>
      </x:c>
      <x:c r="Q25" s="50" t="n">
        <x:f>(C25-E25-F25)+(G25-P25)</x:f>
        <x:v>0</x:v>
      </x:c>
    </x:row>
    <x:row r="26">
      <x:c r="A26" s="41" t="n">
        <x:f>IF(B26=1,A25+1,A25)</x:f>
        <x:v>2027</x:v>
      </x:c>
      <x:c r="B26" s="41" t="n">
        <x:f>IF(B25=26,1,B25+1)</x:f>
        <x:v>25</x:v>
      </x:c>
      <x:c r="C26" s="48" t="n">
        <x:f>Inputs!$F$3</x:f>
        <x:v>800</x:v>
      </x:c>
      <x:c r="D26" s="50" t="n">
        <x:f>IF(B26=1,0,D25+E25)</x:f>
        <x:v>8000</x:v>
      </x:c>
      <x:c r="E26" s="50" t="n">
        <x:f>MIN(C26,MAX(0,Inputs!$B$7-D26))</x:f>
        <x:v>0</x:v>
      </x:c>
      <x:c r="F26" s="50" t="n">
        <x:f>MIN(C26-E26,MAX(0,Inputs!$B$20-O26))</x:f>
        <x:v>800</x:v>
      </x:c>
      <x:c r="G26" s="50" t="n">
        <x:f>0</x:f>
        <x:v>0</x:v>
      </x:c>
      <x:c r="H26" s="41" t="n">
        <x:f>0</x:f>
        <x:v>0</x:v>
      </x:c>
      <x:c r="I26" s="50" t="n">
        <x:f>(I25*(1+Inputs!$B$12))+E26</x:f>
        <x:v>44979.38518194882</x:v>
      </x:c>
      <x:c r="J26" s="50" t="n">
        <x:f>(J25*(1+Inputs!$B$12))+F26+P26</x:f>
        <x:v>33119.69873623755</x:v>
      </x:c>
      <x:c r="K26" s="50" t="n">
        <x:f>(K25*(1+Inputs!$B$12))*(1-H26)</x:f>
        <x:v>16768.503609203864</x:v>
      </x:c>
      <x:c r="L26" s="50" t="n">
        <x:f>L25*(1+Inputs!$B$13)+Q26</x:f>
        <x:v>5223.360923794012</x:v>
      </x:c>
      <x:c r="M26" s="50" t="n">
        <x:f>I26+J26+L26</x:f>
        <x:v>83322.44484198038</x:v>
      </x:c>
      <x:c r="N26" s="50" t="n">
        <x:f>F26+P26</x:f>
        <x:v>800</x:v>
      </x:c>
      <x:c r="O26" s="50" t="n">
        <x:f>IF(B26=1,0,O25+F25+P25)</x:f>
        <x:v>11200</x:v>
      </x:c>
      <x:c r="P26" s="50" t="n">
        <x:f>MIN(G26,MAX(0,Inputs!$B$20-O26-F26))</x:f>
        <x:v>0</x:v>
      </x:c>
      <x:c r="Q26" s="50" t="n">
        <x:f>(C26-E26-F26)+(G26-P26)</x:f>
        <x:v>0</x:v>
      </x:c>
    </x:row>
    <x:row r="27">
      <x:c r="A27" s="41" t="n">
        <x:f>IF(B27=1,A26+1,A26)</x:f>
        <x:v>2027</x:v>
      </x:c>
      <x:c r="B27" s="41" t="n">
        <x:f>IF(B26=26,1,B26+1)</x:f>
        <x:v>26</x:v>
      </x:c>
      <x:c r="C27" s="48" t="n">
        <x:f>Inputs!$F$3</x:f>
        <x:v>800</x:v>
      </x:c>
      <x:c r="D27" s="50" t="n">
        <x:f>IF(B27=1,0,D26+E26)</x:f>
        <x:v>8000</x:v>
      </x:c>
      <x:c r="E27" s="50" t="n">
        <x:f>MIN(C27,MAX(0,Inputs!$B$7-D27))</x:f>
        <x:v>0</x:v>
      </x:c>
      <x:c r="F27" s="50" t="n">
        <x:f>MIN(C27-E27,MAX(0,Inputs!$B$20-O27))</x:f>
        <x:v>0</x:v>
      </x:c>
      <x:c r="G27" s="50" t="n">
        <x:f>0</x:f>
        <x:v>0</x:v>
      </x:c>
      <x:c r="H27" s="41" t="n">
        <x:f>IF(A27=Inputs!$B$8,1,0)</x:f>
        <x:v>0</x:v>
      </x:c>
      <x:c r="I27" s="50" t="n">
        <x:f>(I26*(1+Inputs!$B$12))+E27</x:f>
        <x:v>45063.87025744958</x:v>
      </x:c>
      <x:c r="J27" s="50" t="n">
        <x:f>(J26*(1+Inputs!$B$12))+F27+P27</x:f>
        <x:v>33181.90768455853</x:v>
      </x:c>
      <x:c r="K27" s="50" t="n">
        <x:f>(K26*(1+Inputs!$B$12))*(1-H27)</x:f>
        <x:v>16799.99999999995</x:v>
      </x:c>
      <x:c r="L27" s="50" t="n">
        <x:f>L26*(1+Inputs!$B$13)+Q27</x:f>
        <x:v>6032.499999999986</x:v>
      </x:c>
      <x:c r="M27" s="50" t="n">
        <x:f>I27+J27+L27</x:f>
        <x:v>84278.27794200809</x:v>
      </x:c>
      <x:c r="N27" s="50" t="n">
        <x:f>F27+P27</x:f>
        <x:v>0</x:v>
      </x:c>
      <x:c r="O27" s="50" t="n">
        <x:f>IF(B27=1,0,O26+F26+P26)</x:f>
        <x:v>12000</x:v>
      </x:c>
      <x:c r="P27" s="50" t="n">
        <x:f>MIN(G27,MAX(0,Inputs!$B$20-O27-F27))</x:f>
        <x:v>0</x:v>
      </x:c>
      <x:c r="Q27" s="50" t="n">
        <x:f>(C27-E27-F27)+(G27-P27)</x:f>
        <x:v>800</x:v>
      </x:c>
    </x:row>
    <x:row r="28">
      <x:c r="A28" s="41" t="n">
        <x:f>IF(B28=1,A27+1,A27)</x:f>
        <x:v>2028</x:v>
      </x:c>
      <x:c r="B28" s="41" t="n">
        <x:f>IF(B27=26,1,B27+1)</x:f>
        <x:v>1</x:v>
      </x:c>
      <x:c r="C28" s="48" t="n">
        <x:f>Inputs!$F$4</x:f>
        <x:v>800</x:v>
      </x:c>
      <x:c r="D28" s="50" t="n">
        <x:f>IF(B28=1,0,D27+E27)</x:f>
        <x:v>0</x:v>
      </x:c>
      <x:c r="E28" s="50" t="n">
        <x:f>MIN(C28,MAX(0,Inputs!$B$7-D28))</x:f>
        <x:v>800</x:v>
      </x:c>
      <x:c r="F28" s="50" t="n">
        <x:f>MIN(C28-E28,MAX(0,Inputs!$B$20-O28))</x:f>
        <x:v>0</x:v>
      </x:c>
      <x:c r="G28" s="50" t="n">
        <x:f>0</x:f>
        <x:v>0</x:v>
      </x:c>
      <x:c r="H28" s="41" t="n">
        <x:f>0</x:f>
        <x:v>0</x:v>
      </x:c>
      <x:c r="I28" s="50" t="n">
        <x:f>(I27*(1+Inputs!$B$12))+E28</x:f>
        <x:v>45948.51402182421</x:v>
      </x:c>
      <x:c r="J28" s="50" t="n">
        <x:f>(J27*(1+Inputs!$B$12))+F28+P28</x:f>
        <x:v>33244.23348035696</x:v>
      </x:c>
      <x:c r="K28" s="50" t="n">
        <x:f>(K27*(1+Inputs!$B$12))*(1-H28)</x:f>
        <x:v>16831.555550674355</x:v>
      </x:c>
      <x:c r="L28" s="50" t="n">
        <x:f>L27*(1+Inputs!$B$13)+Q28</x:f>
        <x:v>6043.054789917222</x:v>
      </x:c>
      <x:c r="M28" s="50" t="n">
        <x:f>I28+J28+L28</x:f>
        <x:v>85235.8022920984</x:v>
      </x:c>
      <x:c r="N28" s="50" t="n">
        <x:f>F28+P28</x:f>
        <x:v>0</x:v>
      </x:c>
      <x:c r="O28" s="50" t="n">
        <x:f>IF(B28=1,0,O27+F27+P27)</x:f>
        <x:v>0</x:v>
      </x:c>
      <x:c r="P28" s="50" t="n">
        <x:f>MIN(G28,MAX(0,Inputs!$B$20-O28-F28))</x:f>
        <x:v>0</x:v>
      </x:c>
      <x:c r="Q28" s="50" t="n">
        <x:f>(C28-E28-F28)+(G28-P28)</x:f>
        <x:v>0</x:v>
      </x:c>
    </x:row>
    <x:row r="29">
      <x:c r="A29" s="41" t="n">
        <x:f>IF(B29=1,A28+1,A28)</x:f>
        <x:v>2028</x:v>
      </x:c>
      <x:c r="B29" s="41" t="n">
        <x:f>IF(B28=26,1,B28+1)</x:f>
        <x:v>2</x:v>
      </x:c>
      <x:c r="C29" s="48" t="n">
        <x:f>Inputs!$F$4</x:f>
        <x:v>800</x:v>
      </x:c>
      <x:c r="D29" s="50" t="n">
        <x:f>IF(B29=1,0,D28+E28)</x:f>
        <x:v>800</x:v>
      </x:c>
      <x:c r="E29" s="50" t="n">
        <x:f>MIN(C29,MAX(0,Inputs!$B$7-D29))</x:f>
        <x:v>800</x:v>
      </x:c>
      <x:c r="F29" s="50" t="n">
        <x:f>MIN(C29-E29,MAX(0,Inputs!$B$20-O29))</x:f>
        <x:v>0</x:v>
      </x:c>
      <x:c r="G29" s="50" t="n">
        <x:f>0</x:f>
        <x:v>0</x:v>
      </x:c>
      <x:c r="H29" s="41" t="n">
        <x:f>0</x:f>
        <x:v>0</x:v>
      </x:c>
      <x:c r="I29" s="50" t="n">
        <x:f>(I28*(1+Inputs!$B$12))+E29</x:f>
        <x:v>46834.81941840929</x:v>
      </x:c>
      <x:c r="J29" s="50" t="n">
        <x:f>(J28*(1+Inputs!$B$12))+F29+P29</x:f>
        <x:v>33306.67634310822</x:v>
      </x:c>
      <x:c r="K29" s="50" t="n">
        <x:f>(K28*(1+Inputs!$B$12))*(1-H29)</x:f>
        <x:v>16863.170372347475</x:v>
      </x:c>
      <x:c r="L29" s="50" t="n">
        <x:f>L28*(1+Inputs!$B$13)+Q29</x:f>
        <x:v>6053.628047068638</x:v>
      </x:c>
      <x:c r="M29" s="50" t="n">
        <x:f>I29+J29+L29</x:f>
        <x:v>86195.12380858616</x:v>
      </x:c>
      <x:c r="N29" s="50" t="n">
        <x:f>F29+P29</x:f>
        <x:v>0</x:v>
      </x:c>
      <x:c r="O29" s="50" t="n">
        <x:f>IF(B29=1,0,O28+F28+P28)</x:f>
        <x:v>0</x:v>
      </x:c>
      <x:c r="P29" s="50" t="n">
        <x:f>MIN(G29,MAX(0,Inputs!$B$20-O29-F29))</x:f>
        <x:v>0</x:v>
      </x:c>
      <x:c r="Q29" s="50" t="n">
        <x:f>(C29-E29-F29)+(G29-P29)</x:f>
        <x:v>0</x:v>
      </x:c>
    </x:row>
    <x:row r="30">
      <x:c r="A30" s="41" t="n">
        <x:f>IF(B30=1,A29+1,A29)</x:f>
        <x:v>2028</x:v>
      </x:c>
      <x:c r="B30" s="41" t="n">
        <x:f>IF(B29=26,1,B29+1)</x:f>
        <x:v>3</x:v>
      </x:c>
      <x:c r="C30" s="48" t="n">
        <x:f>Inputs!$F$4</x:f>
        <x:v>800</x:v>
      </x:c>
      <x:c r="D30" s="50" t="n">
        <x:f>IF(B30=1,0,D29+E29)</x:f>
        <x:v>1600</x:v>
      </x:c>
      <x:c r="E30" s="50" t="n">
        <x:f>MIN(C30,MAX(0,Inputs!$B$7-D30))</x:f>
        <x:v>800</x:v>
      </x:c>
      <x:c r="F30" s="50" t="n">
        <x:f>MIN(C30-E30,MAX(0,Inputs!$B$20-O30))</x:f>
        <x:v>0</x:v>
      </x:c>
      <x:c r="G30" s="50" t="n">
        <x:f>0</x:f>
        <x:v>0</x:v>
      </x:c>
      <x:c r="H30" s="41" t="n">
        <x:f>0</x:f>
        <x:v>0</x:v>
      </x:c>
      <x:c r="I30" s="50" t="n">
        <x:f>(I29*(1+Inputs!$B$12))+E30</x:f>
        <x:v>47722.78956825955</x:v>
      </x:c>
      <x:c r="J30" s="50" t="n">
        <x:f>(J29*(1+Inputs!$B$12))+F30+P30</x:f>
        <x:v>33369.23649269995</x:v>
      </x:c>
      <x:c r="K30" s="50" t="n">
        <x:f>(K29*(1+Inputs!$B$12))*(1-H30)</x:f>
        <x:v>16894.844576348412</x:v>
      </x:c>
      <x:c r="L30" s="50" t="n">
        <x:f>L29*(1+Inputs!$B$13)+Q30</x:f>
        <x:v>6064.219803765512</x:v>
      </x:c>
      <x:c r="M30" s="50" t="n">
        <x:f>I30+J30+L30</x:f>
        <x:v>87156.24586472502</x:v>
      </x:c>
      <x:c r="N30" s="50" t="n">
        <x:f>F30+P30</x:f>
        <x:v>0</x:v>
      </x:c>
      <x:c r="O30" s="50" t="n">
        <x:f>IF(B30=1,0,O29+F29+P29)</x:f>
        <x:v>0</x:v>
      </x:c>
      <x:c r="P30" s="50" t="n">
        <x:f>MIN(G30,MAX(0,Inputs!$B$20-O30-F30))</x:f>
        <x:v>0</x:v>
      </x:c>
      <x:c r="Q30" s="50" t="n">
        <x:f>(C30-E30-F30)+(G30-P30)</x:f>
        <x:v>0</x:v>
      </x:c>
    </x:row>
    <x:row r="31">
      <x:c r="A31" s="41" t="n">
        <x:f>IF(B31=1,A30+1,A30)</x:f>
        <x:v>2028</x:v>
      </x:c>
      <x:c r="B31" s="41" t="n">
        <x:f>IF(B30=26,1,B30+1)</x:f>
        <x:v>4</x:v>
      </x:c>
      <x:c r="C31" s="48" t="n">
        <x:f>Inputs!$F$4</x:f>
        <x:v>800</x:v>
      </x:c>
      <x:c r="D31" s="50" t="n">
        <x:f>IF(B31=1,0,D30+E30)</x:f>
        <x:v>2400</x:v>
      </x:c>
      <x:c r="E31" s="50" t="n">
        <x:f>MIN(C31,MAX(0,Inputs!$B$7-D31))</x:f>
        <x:v>800</x:v>
      </x:c>
      <x:c r="F31" s="50" t="n">
        <x:f>MIN(C31-E31,MAX(0,Inputs!$B$20-O31))</x:f>
        <x:v>0</x:v>
      </x:c>
      <x:c r="G31" s="50" t="n">
        <x:f>0</x:f>
        <x:v>0</x:v>
      </x:c>
      <x:c r="H31" s="41" t="n">
        <x:f>0</x:f>
        <x:v>0</x:v>
      </x:c>
      <x:c r="I31" s="50" t="n">
        <x:f>(I30*(1+Inputs!$B$12))+E31</x:f>
        <x:v>48612.42759829201</x:v>
      </x:c>
      <x:c r="J31" s="50" t="n">
        <x:f>(J30*(1+Inputs!$B$12))+F31+P31</x:f>
        <x:v>33431.914149432785</x:v>
      </x:c>
      <x:c r="K31" s="50" t="n">
        <x:f>(K30*(1+Inputs!$B$12))*(1-H31)</x:f>
        <x:v>16926.57827421539</x:v>
      </x:c>
      <x:c r="L31" s="50" t="n">
        <x:f>L30*(1+Inputs!$B$13)+Q31</x:f>
        <x:v>6074.830092375653</x:v>
      </x:c>
      <x:c r="M31" s="50" t="n">
        <x:f>I31+J31+L31</x:f>
        <x:v>88119.17184010045</x:v>
      </x:c>
      <x:c r="N31" s="50" t="n">
        <x:f>F31+P31</x:f>
        <x:v>0</x:v>
      </x:c>
      <x:c r="O31" s="50" t="n">
        <x:f>IF(B31=1,0,O30+F30+P30)</x:f>
        <x:v>0</x:v>
      </x:c>
      <x:c r="P31" s="50" t="n">
        <x:f>MIN(G31,MAX(0,Inputs!$B$20-O31-F31))</x:f>
        <x:v>0</x:v>
      </x:c>
      <x:c r="Q31" s="50" t="n">
        <x:f>(C31-E31-F31)+(G31-P31)</x:f>
        <x:v>0</x:v>
      </x:c>
    </x:row>
    <x:row r="32">
      <x:c r="A32" s="41" t="n">
        <x:f>IF(B32=1,A31+1,A31)</x:f>
        <x:v>2028</x:v>
      </x:c>
      <x:c r="B32" s="41" t="n">
        <x:f>IF(B31=26,1,B31+1)</x:f>
        <x:v>5</x:v>
      </x:c>
      <x:c r="C32" s="48" t="n">
        <x:f>Inputs!$F$4</x:f>
        <x:v>800</x:v>
      </x:c>
      <x:c r="D32" s="50" t="n">
        <x:f>IF(B32=1,0,D31+E31)</x:f>
        <x:v>3200</x:v>
      </x:c>
      <x:c r="E32" s="50" t="n">
        <x:f>MIN(C32,MAX(0,Inputs!$B$7-D32))</x:f>
        <x:v>800</x:v>
      </x:c>
      <x:c r="F32" s="50" t="n">
        <x:f>MIN(C32-E32,MAX(0,Inputs!$B$20-O32))</x:f>
        <x:v>0</x:v>
      </x:c>
      <x:c r="G32" s="50" t="n">
        <x:f>0</x:f>
        <x:v>0</x:v>
      </x:c>
      <x:c r="H32" s="41" t="n">
        <x:f>0</x:f>
        <x:v>0</x:v>
      </x:c>
      <x:c r="I32" s="50" t="n">
        <x:f>(I31*(1+Inputs!$B$12))+E32</x:f>
        <x:v>49503.736641297</x:v>
      </x:c>
      <x:c r="J32" s="50" t="n">
        <x:f>(J31*(1+Inputs!$B$12))+F32+P32</x:f>
        <x:v>33494.70953402117</x:v>
      </x:c>
      <x:c r="K32" s="50" t="n">
        <x:f>(K31*(1+Inputs!$B$12))*(1-H32)</x:f>
        <x:v>16958.37157769612</x:v>
      </x:c>
      <x:c r="L32" s="50" t="n">
        <x:f>L31*(1+Inputs!$B$13)+Q32</x:f>
        <x:v>6085.458945323506</x:v>
      </x:c>
      <x:c r="M32" s="50" t="n">
        <x:f>I32+J32+L32</x:f>
        <x:v>89083.90512064168</x:v>
      </x:c>
      <x:c r="N32" s="50" t="n">
        <x:f>F32+P32</x:f>
        <x:v>0</x:v>
      </x:c>
      <x:c r="O32" s="50" t="n">
        <x:f>IF(B32=1,0,O31+F31+P31)</x:f>
        <x:v>0</x:v>
      </x:c>
      <x:c r="P32" s="50" t="n">
        <x:f>MIN(G32,MAX(0,Inputs!$B$20-O32-F32))</x:f>
        <x:v>0</x:v>
      </x:c>
      <x:c r="Q32" s="50" t="n">
        <x:f>(C32-E32-F32)+(G32-P32)</x:f>
        <x:v>0</x:v>
      </x:c>
    </x:row>
    <x:row r="33">
      <x:c r="A33" s="41" t="n">
        <x:f>IF(B33=1,A32+1,A32)</x:f>
        <x:v>2028</x:v>
      </x:c>
      <x:c r="B33" s="41" t="n">
        <x:f>IF(B32=26,1,B32+1)</x:f>
        <x:v>6</x:v>
      </x:c>
      <x:c r="C33" s="48" t="n">
        <x:f>Inputs!$F$4</x:f>
        <x:v>800</x:v>
      </x:c>
      <x:c r="D33" s="50" t="n">
        <x:f>IF(B33=1,0,D32+E32)</x:f>
        <x:v>4000</x:v>
      </x:c>
      <x:c r="E33" s="50" t="n">
        <x:f>MIN(C33,MAX(0,Inputs!$B$7-D33))</x:f>
        <x:v>800</x:v>
      </x:c>
      <x:c r="F33" s="50" t="n">
        <x:f>MIN(C33-E33,MAX(0,Inputs!$B$20-O33))</x:f>
        <x:v>0</x:v>
      </x:c>
      <x:c r="G33" s="50" t="n">
        <x:f>0</x:f>
        <x:v>0</x:v>
      </x:c>
      <x:c r="H33" s="41" t="n">
        <x:f>0</x:f>
        <x:v>0</x:v>
      </x:c>
      <x:c r="I33" s="50" t="n">
        <x:f>(I32*(1+Inputs!$B$12))+E33</x:f>
        <x:v>50396.7198359492</x:v>
      </x:c>
      <x:c r="J33" s="50" t="n">
        <x:f>(J32*(1+Inputs!$B$12))+F33+P33</x:f>
        <x:v>33557.6228675941</x:v>
      </x:c>
      <x:c r="K33" s="50" t="n">
        <x:f>(K32*(1+Inputs!$B$12))*(1-H33)</x:f>
        <x:v>16990.22459874823</x:v>
      </x:c>
      <x:c r="L33" s="50" t="n">
        <x:f>L32*(1+Inputs!$B$13)+Q33</x:f>
        <x:v>6096.1063950902435</x:v>
      </x:c>
      <x:c r="M33" s="50" t="n">
        <x:f>I33+J33+L33</x:f>
        <x:v>90050.44909863356</x:v>
      </x:c>
      <x:c r="N33" s="50" t="n">
        <x:f>F33+P33</x:f>
        <x:v>0</x:v>
      </x:c>
      <x:c r="O33" s="50" t="n">
        <x:f>IF(B33=1,0,O32+F32+P32)</x:f>
        <x:v>0</x:v>
      </x:c>
      <x:c r="P33" s="50" t="n">
        <x:f>MIN(G33,MAX(0,Inputs!$B$20-O33-F33))</x:f>
        <x:v>0</x:v>
      </x:c>
      <x:c r="Q33" s="50" t="n">
        <x:f>(C33-E33-F33)+(G33-P33)</x:f>
        <x:v>0</x:v>
      </x:c>
    </x:row>
    <x:row r="34">
      <x:c r="A34" s="41" t="n">
        <x:f>IF(B34=1,A33+1,A33)</x:f>
        <x:v>2028</x:v>
      </x:c>
      <x:c r="B34" s="41" t="n">
        <x:f>IF(B33=26,1,B33+1)</x:f>
        <x:v>7</x:v>
      </x:c>
      <x:c r="C34" s="48" t="n">
        <x:f>Inputs!$F$4</x:f>
        <x:v>800</x:v>
      </x:c>
      <x:c r="D34" s="50" t="n">
        <x:f>IF(B34=1,0,D33+E33)</x:f>
        <x:v>4800</x:v>
      </x:c>
      <x:c r="E34" s="50" t="n">
        <x:f>MIN(C34,MAX(0,Inputs!$B$7-D34))</x:f>
        <x:v>800</x:v>
      </x:c>
      <x:c r="F34" s="50" t="n">
        <x:f>MIN(C34-E34,MAX(0,Inputs!$B$20-O34))</x:f>
        <x:v>0</x:v>
      </x:c>
      <x:c r="G34" s="50" t="n">
        <x:f>0</x:f>
        <x:v>0</x:v>
      </x:c>
      <x:c r="H34" s="41" t="n">
        <x:f>0</x:f>
        <x:v>0</x:v>
      </x:c>
      <x:c r="I34" s="50" t="n">
        <x:f>(I33*(1+Inputs!$B$12))+E34</x:f>
        <x:v>51291.38032681868</x:v>
      </x:c>
      <x:c r="J34" s="50" t="n">
        <x:f>(J33*(1+Inputs!$B$12))+F34+P34</x:f>
        <x:v>33620.65437169595</x:v>
      </x:c>
      <x:c r="K34" s="50" t="n">
        <x:f>(K33*(1+Inputs!$B$12))*(1-H34)</x:f>
        <x:v>17022.137449539623</x:v>
      </x:c>
      <x:c r="L34" s="50" t="n">
        <x:f>L33*(1+Inputs!$B$13)+Q34</x:f>
        <x:v>6106.772474213873</x:v>
      </x:c>
      <x:c r="M34" s="50" t="n">
        <x:f>I34+J34+L34</x:f>
        <x:v>91018.8071727285</x:v>
      </x:c>
      <x:c r="N34" s="50" t="n">
        <x:f>F34+P34</x:f>
        <x:v>0</x:v>
      </x:c>
      <x:c r="O34" s="50" t="n">
        <x:f>IF(B34=1,0,O33+F33+P33)</x:f>
        <x:v>0</x:v>
      </x:c>
      <x:c r="P34" s="50" t="n">
        <x:f>MIN(G34,MAX(0,Inputs!$B$20-O34-F34))</x:f>
        <x:v>0</x:v>
      </x:c>
      <x:c r="Q34" s="50" t="n">
        <x:f>(C34-E34-F34)+(G34-P34)</x:f>
        <x:v>0</x:v>
      </x:c>
    </x:row>
    <x:row r="35">
      <x:c r="A35" s="41" t="n">
        <x:f>IF(B35=1,A34+1,A34)</x:f>
        <x:v>2028</x:v>
      </x:c>
      <x:c r="B35" s="41" t="n">
        <x:f>IF(B34=26,1,B34+1)</x:f>
        <x:v>8</x:v>
      </x:c>
      <x:c r="C35" s="48" t="n">
        <x:f>Inputs!$F$4</x:f>
        <x:v>800</x:v>
      </x:c>
      <x:c r="D35" s="50" t="n">
        <x:f>IF(B35=1,0,D34+E34)</x:f>
        <x:v>5600</x:v>
      </x:c>
      <x:c r="E35" s="50" t="n">
        <x:f>MIN(C35,MAX(0,Inputs!$B$7-D35))</x:f>
        <x:v>800</x:v>
      </x:c>
      <x:c r="F35" s="50" t="n">
        <x:f>MIN(C35-E35,MAX(0,Inputs!$B$20-O35))</x:f>
        <x:v>0</x:v>
      </x:c>
      <x:c r="G35" s="50" t="n">
        <x:f>0</x:f>
        <x:v>0</x:v>
      </x:c>
      <x:c r="H35" s="41" t="n">
        <x:f>0</x:f>
        <x:v>0</x:v>
      </x:c>
      <x:c r="I35" s="50" t="n">
        <x:f>(I34*(1+Inputs!$B$12))+E35</x:f>
        <x:v>52187.721264381966</x:v>
      </x:c>
      <x:c r="J35" s="50" t="n">
        <x:f>(J34*(1+Inputs!$B$12))+F35+P35</x:f>
        <x:v>33683.80426828719</x:v>
      </x:c>
      <x:c r="K35" s="50" t="n">
        <x:f>(K34*(1+Inputs!$B$12))*(1-H35)</x:f>
        <x:v>17054.11024244889</x:v>
      </x:c>
      <x:c r="L35" s="50" t="n">
        <x:f>L34*(1+Inputs!$B$13)+Q35</x:f>
        <x:v>6117.457215289327</x:v>
      </x:c>
      <x:c r="M35" s="50" t="n">
        <x:f>I35+J35+L35</x:f>
        <x:v>91988.98274795848</x:v>
      </x:c>
      <x:c r="N35" s="50" t="n">
        <x:f>F35+P35</x:f>
        <x:v>0</x:v>
      </x:c>
      <x:c r="O35" s="50" t="n">
        <x:f>IF(B35=1,0,O34+F34+P34)</x:f>
        <x:v>0</x:v>
      </x:c>
      <x:c r="P35" s="50" t="n">
        <x:f>MIN(G35,MAX(0,Inputs!$B$20-O35-F35))</x:f>
        <x:v>0</x:v>
      </x:c>
      <x:c r="Q35" s="50" t="n">
        <x:f>(C35-E35-F35)+(G35-P35)</x:f>
        <x:v>0</x:v>
      </x:c>
    </x:row>
    <x:row r="36">
      <x:c r="A36" s="41" t="n">
        <x:f>IF(B36=1,A35+1,A35)</x:f>
        <x:v>2028</x:v>
      </x:c>
      <x:c r="B36" s="41" t="n">
        <x:f>IF(B35=26,1,B35+1)</x:f>
        <x:v>9</x:v>
      </x:c>
      <x:c r="C36" s="48" t="n">
        <x:f>Inputs!$F$4</x:f>
        <x:v>800</x:v>
      </x:c>
      <x:c r="D36" s="50" t="n">
        <x:f>IF(B36=1,0,D35+E35)</x:f>
        <x:v>6400</x:v>
      </x:c>
      <x:c r="E36" s="50" t="n">
        <x:f>MIN(C36,MAX(0,Inputs!$B$7-D36))</x:f>
        <x:v>800</x:v>
      </x:c>
      <x:c r="F36" s="50" t="n">
        <x:f>MIN(C36-E36,MAX(0,Inputs!$B$20-O36))</x:f>
        <x:v>0</x:v>
      </x:c>
      <x:c r="G36" s="50" t="n">
        <x:f>SUM(N2:N27)*Inputs!$B$6</x:f>
        <x:v>3600</x:v>
      </x:c>
      <x:c r="H36" s="41" t="n">
        <x:f>0</x:f>
        <x:v>0</x:v>
      </x:c>
      <x:c r="I36" s="50" t="n">
        <x:f>(I35*(1+Inputs!$B$12))+E36</x:f>
        <x:v>53085.74580503316</x:v>
      </x:c>
      <x:c r="J36" s="50" t="n">
        <x:f>(J35*(1+Inputs!$B$12))+F36+P36</x:f>
        <x:v>37347.07277974521</x:v>
      </x:c>
      <x:c r="K36" s="50" t="n">
        <x:f>(K35*(1+Inputs!$B$12))*(1-H36)</x:f>
        <x:v>17086.143090065707</x:v>
      </x:c>
      <x:c r="L36" s="50" t="n">
        <x:f>L35*(1+Inputs!$B$13)+Q36</x:f>
        <x:v>6128.1606509685735</x:v>
      </x:c>
      <x:c r="M36" s="50" t="n">
        <x:f>I36+J36+L36</x:f>
        <x:v>96560.97923574696</x:v>
      </x:c>
      <x:c r="N36" s="50" t="n">
        <x:f>F36+P36</x:f>
        <x:v>3600</x:v>
      </x:c>
      <x:c r="O36" s="50" t="n">
        <x:f>IF(B36=1,0,O35+F35+P35)</x:f>
        <x:v>0</x:v>
      </x:c>
      <x:c r="P36" s="50" t="n">
        <x:f>MIN(G36,MAX(0,Inputs!$B$20-O36-F36))</x:f>
        <x:v>3600</x:v>
      </x:c>
      <x:c r="Q36" s="50" t="n">
        <x:f>(C36-E36-F36)+(G36-P36)</x:f>
        <x:v>0</x:v>
      </x:c>
    </x:row>
    <x:row r="37">
      <x:c r="A37" s="41" t="n">
        <x:f>IF(B37=1,A36+1,A36)</x:f>
        <x:v>2028</x:v>
      </x:c>
      <x:c r="B37" s="41" t="n">
        <x:f>IF(B36=26,1,B36+1)</x:f>
        <x:v>10</x:v>
      </x:c>
      <x:c r="C37" s="48" t="n">
        <x:f>Inputs!$F$4</x:f>
        <x:v>800</x:v>
      </x:c>
      <x:c r="D37" s="50" t="n">
        <x:f>IF(B37=1,0,D36+E36)</x:f>
        <x:v>7200</x:v>
      </x:c>
      <x:c r="E37" s="50" t="n">
        <x:f>MIN(C37,MAX(0,Inputs!$B$7-D37))</x:f>
        <x:v>800</x:v>
      </x:c>
      <x:c r="F37" s="50" t="n">
        <x:f>MIN(C37-E37,MAX(0,Inputs!$B$20-O37))</x:f>
        <x:v>0</x:v>
      </x:c>
      <x:c r="G37" s="50" t="n">
        <x:f>0</x:f>
        <x:v>0</x:v>
      </x:c>
      <x:c r="H37" s="41" t="n">
        <x:f>0</x:f>
        <x:v>0</x:v>
      </x:c>
      <x:c r="I37" s="50" t="n">
        <x:f>(I36*(1+Inputs!$B$12))+E37</x:f>
        <x:v>53985.457111095035</x:v>
      </x:c>
      <x:c r="J37" s="50" t="n">
        <x:f>(J36*(1+Inputs!$B$12))+F37+P37</x:f>
        <x:v>37417.22203258105</x:v>
      </x:c>
      <x:c r="K37" s="50" t="n">
        <x:f>(K36*(1+Inputs!$B$12))*(1-H37)</x:f>
        <x:v>17118.236105191227</x:v>
      </x:c>
      <x:c r="L37" s="50" t="n">
        <x:f>L36*(1+Inputs!$B$13)+Q37</x:f>
        <x:v>6138.882813960706</x:v>
      </x:c>
      <x:c r="M37" s="50" t="n">
        <x:f>I37+J37+L37</x:f>
        <x:v>97541.56195763679</x:v>
      </x:c>
      <x:c r="N37" s="50" t="n">
        <x:f>F37+P37</x:f>
        <x:v>0</x:v>
      </x:c>
      <x:c r="O37" s="50" t="n">
        <x:f>IF(B37=1,0,O36+F36+P36)</x:f>
        <x:v>3600</x:v>
      </x:c>
      <x:c r="P37" s="50" t="n">
        <x:f>MIN(G37,MAX(0,Inputs!$B$20-O37-F37))</x:f>
        <x:v>0</x:v>
      </x:c>
      <x:c r="Q37" s="50" t="n">
        <x:f>(C37-E37-F37)+(G37-P37)</x:f>
        <x:v>0</x:v>
      </x:c>
    </x:row>
    <x:row r="38">
      <x:c r="A38" s="41" t="n">
        <x:f>IF(B38=1,A37+1,A37)</x:f>
        <x:v>2028</x:v>
      </x:c>
      <x:c r="B38" s="41" t="n">
        <x:f>IF(B37=26,1,B37+1)</x:f>
        <x:v>11</x:v>
      </x:c>
      <x:c r="C38" s="48" t="n">
        <x:f>Inputs!$F$4</x:f>
        <x:v>800</x:v>
      </x:c>
      <x:c r="D38" s="50" t="n">
        <x:f>IF(B38=1,0,D37+E37)</x:f>
        <x:v>8000</x:v>
      </x:c>
      <x:c r="E38" s="50" t="n">
        <x:f>MIN(C38,MAX(0,Inputs!$B$7-D38))</x:f>
        <x:v>0</x:v>
      </x:c>
      <x:c r="F38" s="50" t="n">
        <x:f>MIN(C38-E38,MAX(0,Inputs!$B$20-O38))</x:f>
        <x:v>800</x:v>
      </x:c>
      <x:c r="G38" s="50" t="n">
        <x:f>0</x:f>
        <x:v>0</x:v>
      </x:c>
      <x:c r="H38" s="41" t="n">
        <x:f>0</x:f>
        <x:v>0</x:v>
      </x:c>
      <x:c r="I38" s="50" t="n">
        <x:f>(I37*(1+Inputs!$B$12))+E38</x:f>
        <x:v>54086.85835083017</x:v>
      </x:c>
      <x:c r="J38" s="50" t="n">
        <x:f>(J37*(1+Inputs!$B$12))+F38+P38</x:f>
        <x:v>38287.50304722061</x:v>
      </x:c>
      <x:c r="K38" s="50" t="n">
        <x:f>(K37*(1+Inputs!$B$12))*(1-H38)</x:f>
        <x:v>17150.389400838478</x:v>
      </x:c>
      <x:c r="L38" s="50" t="n">
        <x:f>L37*(1+Inputs!$B$13)+Q38</x:f>
        <x:v>6149.62373703205</x:v>
      </x:c>
      <x:c r="M38" s="50" t="n">
        <x:f>I38+J38+L38</x:f>
        <x:v>98523.98513508282</x:v>
      </x:c>
      <x:c r="N38" s="50" t="n">
        <x:f>F38+P38</x:f>
        <x:v>800</x:v>
      </x:c>
      <x:c r="O38" s="50" t="n">
        <x:f>IF(B38=1,0,O37+F37+P37)</x:f>
        <x:v>3600</x:v>
      </x:c>
      <x:c r="P38" s="50" t="n">
        <x:f>MIN(G38,MAX(0,Inputs!$B$20-O38-F38))</x:f>
        <x:v>0</x:v>
      </x:c>
      <x:c r="Q38" s="50" t="n">
        <x:f>(C38-E38-F38)+(G38-P38)</x:f>
        <x:v>0</x:v>
      </x:c>
    </x:row>
    <x:row r="39">
      <x:c r="A39" s="41" t="n">
        <x:f>IF(B39=1,A38+1,A38)</x:f>
        <x:v>2028</x:v>
      </x:c>
      <x:c r="B39" s="41" t="n">
        <x:f>IF(B38=26,1,B38+1)</x:f>
        <x:v>12</x:v>
      </x:c>
      <x:c r="C39" s="48" t="n">
        <x:f>Inputs!$F$4</x:f>
        <x:v>800</x:v>
      </x:c>
      <x:c r="D39" s="50" t="n">
        <x:f>IF(B39=1,0,D38+E38)</x:f>
        <x:v>8000</x:v>
      </x:c>
      <x:c r="E39" s="50" t="n">
        <x:f>MIN(C39,MAX(0,Inputs!$B$7-D39))</x:f>
        <x:v>0</x:v>
      </x:c>
      <x:c r="F39" s="50" t="n">
        <x:f>MIN(C39-E39,MAX(0,Inputs!$B$20-O39))</x:f>
        <x:v>800</x:v>
      </x:c>
      <x:c r="G39" s="50" t="n">
        <x:f>0</x:f>
        <x:v>0</x:v>
      </x:c>
      <x:c r="H39" s="41" t="n">
        <x:f>0</x:f>
        <x:v>0</x:v>
      </x:c>
      <x:c r="I39" s="50" t="n">
        <x:f>(I38*(1+Inputs!$B$12))+E39</x:f>
        <x:v>54188.4500531819</x:v>
      </x:c>
      <x:c r="J39" s="50" t="n">
        <x:f>(J38*(1+Inputs!$B$12))+F39+P39</x:f>
        <x:v>39159.41871642318</x:v>
      </x:c>
      <x:c r="K39" s="50" t="n">
        <x:f>(K38*(1+Inputs!$B$12))*(1-H39)</x:f>
        <x:v>17182.603090232762</x:v>
      </x:c>
      <x:c r="L39" s="50" t="n">
        <x:f>L38*(1+Inputs!$B$13)+Q39</x:f>
        <x:v>6160.383453006259</x:v>
      </x:c>
      <x:c r="M39" s="50" t="n">
        <x:f>I39+J39+L39</x:f>
        <x:v>99508.25222261134</x:v>
      </x:c>
      <x:c r="N39" s="50" t="n">
        <x:f>F39+P39</x:f>
        <x:v>800</x:v>
      </x:c>
      <x:c r="O39" s="50" t="n">
        <x:f>IF(B39=1,0,O38+F38+P38)</x:f>
        <x:v>4400</x:v>
      </x:c>
      <x:c r="P39" s="50" t="n">
        <x:f>MIN(G39,MAX(0,Inputs!$B$20-O39-F39))</x:f>
        <x:v>0</x:v>
      </x:c>
      <x:c r="Q39" s="50" t="n">
        <x:f>(C39-E39-F39)+(G39-P39)</x:f>
        <x:v>0</x:v>
      </x:c>
    </x:row>
    <x:row r="40">
      <x:c r="A40" s="41" t="n">
        <x:f>IF(B40=1,A39+1,A39)</x:f>
        <x:v>2028</x:v>
      </x:c>
      <x:c r="B40" s="41" t="n">
        <x:f>IF(B39=26,1,B39+1)</x:f>
        <x:v>13</x:v>
      </x:c>
      <x:c r="C40" s="48" t="n">
        <x:f>Inputs!$F$4</x:f>
        <x:v>800</x:v>
      </x:c>
      <x:c r="D40" s="50" t="n">
        <x:f>IF(B40=1,0,D39+E39)</x:f>
        <x:v>8000</x:v>
      </x:c>
      <x:c r="E40" s="50" t="n">
        <x:f>MIN(C40,MAX(0,Inputs!$B$7-D40))</x:f>
        <x:v>0</x:v>
      </x:c>
      <x:c r="F40" s="50" t="n">
        <x:f>MIN(C40-E40,MAX(0,Inputs!$B$20-O40))</x:f>
        <x:v>800</x:v>
      </x:c>
      <x:c r="G40" s="50" t="n">
        <x:f>0</x:f>
        <x:v>0</x:v>
      </x:c>
      <x:c r="H40" s="41" t="n">
        <x:f>0</x:f>
        <x:v>0</x:v>
      </x:c>
      <x:c r="I40" s="50" t="n">
        <x:f>(I39*(1+Inputs!$B$12))+E40</x:f>
        <x:v>54290.23257589742</x:v>
      </x:c>
      <x:c r="J40" s="50" t="n">
        <x:f>(J39*(1+Inputs!$B$12))+F40+P40</x:f>
        <x:v>40032.97211057118</x:v>
      </x:c>
      <x:c r="K40" s="50" t="n">
        <x:f>(K39*(1+Inputs!$B$12))*(1-H40)</x:f>
        <x:v>17214.87728681205</x:v>
      </x:c>
      <x:c r="L40" s="50" t="n">
        <x:f>L39*(1+Inputs!$B$13)+Q40</x:f>
        <x:v>6171.161994764418</x:v>
      </x:c>
      <x:c r="M40" s="50" t="n">
        <x:f>I40+J40+L40</x:f>
        <x:v>100494.36668123302</x:v>
      </x:c>
      <x:c r="N40" s="50" t="n">
        <x:f>F40+P40</x:f>
        <x:v>800</x:v>
      </x:c>
      <x:c r="O40" s="50" t="n">
        <x:f>IF(B40=1,0,O39+F39+P39)</x:f>
        <x:v>5200</x:v>
      </x:c>
      <x:c r="P40" s="50" t="n">
        <x:f>MIN(G40,MAX(0,Inputs!$B$20-O40-F40))</x:f>
        <x:v>0</x:v>
      </x:c>
      <x:c r="Q40" s="50" t="n">
        <x:f>(C40-E40-F40)+(G40-P40)</x:f>
        <x:v>0</x:v>
      </x:c>
    </x:row>
    <x:row r="41">
      <x:c r="A41" s="41" t="n">
        <x:f>IF(B41=1,A40+1,A40)</x:f>
        <x:v>2028</x:v>
      </x:c>
      <x:c r="B41" s="41" t="n">
        <x:f>IF(B40=26,1,B40+1)</x:f>
        <x:v>14</x:v>
      </x:c>
      <x:c r="C41" s="48" t="n">
        <x:f>Inputs!$F$4</x:f>
        <x:v>800</x:v>
      </x:c>
      <x:c r="D41" s="50" t="n">
        <x:f>IF(B41=1,0,D40+E40)</x:f>
        <x:v>8000</x:v>
      </x:c>
      <x:c r="E41" s="50" t="n">
        <x:f>MIN(C41,MAX(0,Inputs!$B$7-D41))</x:f>
        <x:v>0</x:v>
      </x:c>
      <x:c r="F41" s="50" t="n">
        <x:f>MIN(C41-E41,MAX(0,Inputs!$B$20-O41))</x:f>
        <x:v>800</x:v>
      </x:c>
      <x:c r="G41" s="50" t="n">
        <x:f>0</x:f>
        <x:v>0</x:v>
      </x:c>
      <x:c r="H41" s="41" t="n">
        <x:f>0</x:f>
        <x:v>0</x:v>
      </x:c>
      <x:c r="I41" s="50" t="n">
        <x:f>(I40*(1+Inputs!$B$12))+E41</x:f>
        <x:v>54392.206277395875</x:v>
      </x:c>
      <x:c r="J41" s="50" t="n">
        <x:f>(J40*(1+Inputs!$B$12))+F41+P41</x:f>
        <x:v>40908.16630581417</x:v>
      </x:c>
      <x:c r="K41" s="50" t="n">
        <x:f>(K40*(1+Inputs!$B$12))*(1-H41)</x:f>
        <x:v>17247.21210422739</x:v>
      </x:c>
      <x:c r="L41" s="50" t="n">
        <x:f>L40*(1+Inputs!$B$13)+Q41</x:f>
        <x:v>6181.9593952451405</x:v>
      </x:c>
      <x:c r="M41" s="50" t="n">
        <x:f>I41+J41+L41</x:f>
        <x:v>101482.33197845519</x:v>
      </x:c>
      <x:c r="N41" s="50" t="n">
        <x:f>F41+P41</x:f>
        <x:v>800</x:v>
      </x:c>
      <x:c r="O41" s="50" t="n">
        <x:f>IF(B41=1,0,O40+F40+P40)</x:f>
        <x:v>6000</x:v>
      </x:c>
      <x:c r="P41" s="50" t="n">
        <x:f>MIN(G41,MAX(0,Inputs!$B$20-O41-F41))</x:f>
        <x:v>0</x:v>
      </x:c>
      <x:c r="Q41" s="50" t="n">
        <x:f>(C41-E41-F41)+(G41-P41)</x:f>
        <x:v>0</x:v>
      </x:c>
    </x:row>
    <x:row r="42">
      <x:c r="A42" s="41" t="n">
        <x:f>IF(B42=1,A41+1,A41)</x:f>
        <x:v>2028</x:v>
      </x:c>
      <x:c r="B42" s="41" t="n">
        <x:f>IF(B41=26,1,B41+1)</x:f>
        <x:v>15</x:v>
      </x:c>
      <x:c r="C42" s="48" t="n">
        <x:f>Inputs!$F$4</x:f>
        <x:v>800</x:v>
      </x:c>
      <x:c r="D42" s="50" t="n">
        <x:f>IF(B42=1,0,D41+E41)</x:f>
        <x:v>8000</x:v>
      </x:c>
      <x:c r="E42" s="50" t="n">
        <x:f>MIN(C42,MAX(0,Inputs!$B$7-D42))</x:f>
        <x:v>0</x:v>
      </x:c>
      <x:c r="F42" s="50" t="n">
        <x:f>MIN(C42-E42,MAX(0,Inputs!$B$20-O42))</x:f>
        <x:v>800</x:v>
      </x:c>
      <x:c r="G42" s="50" t="n">
        <x:f>0</x:f>
        <x:v>0</x:v>
      </x:c>
      <x:c r="H42" s="41" t="n">
        <x:f>0</x:f>
        <x:v>0</x:v>
      </x:c>
      <x:c r="I42" s="50" t="n">
        <x:f>(I41*(1+Inputs!$B$12))+E42</x:f>
        <x:v>54494.371516769635</x:v>
      </x:c>
      <x:c r="J42" s="50" t="n">
        <x:f>(J41*(1+Inputs!$B$12))+F42+P42</x:f>
        <x:v>41785.00438407966</x:v>
      </x:c>
      <x:c r="K42" s="50" t="n">
        <x:f>(K41*(1+Inputs!$B$12))*(1-H42)</x:f>
        <x:v>17279.607656343294</x:v>
      </x:c>
      <x:c r="L42" s="50" t="n">
        <x:f>L41*(1+Inputs!$B$13)+Q42</x:f>
        <x:v>6192.775687444675</x:v>
      </x:c>
      <x:c r="M42" s="50" t="n">
        <x:f>I42+J42+L42</x:f>
        <x:v>102472.15158829397</x:v>
      </x:c>
      <x:c r="N42" s="50" t="n">
        <x:f>F42+P42</x:f>
        <x:v>800</x:v>
      </x:c>
      <x:c r="O42" s="50" t="n">
        <x:f>IF(B42=1,0,O41+F41+P41)</x:f>
        <x:v>6800</x:v>
      </x:c>
      <x:c r="P42" s="50" t="n">
        <x:f>MIN(G42,MAX(0,Inputs!$B$20-O42-F42))</x:f>
        <x:v>0</x:v>
      </x:c>
      <x:c r="Q42" s="50" t="n">
        <x:f>(C42-E42-F42)+(G42-P42)</x:f>
        <x:v>0</x:v>
      </x:c>
    </x:row>
    <x:row r="43">
      <x:c r="A43" s="41" t="n">
        <x:f>IF(B43=1,A42+1,A42)</x:f>
        <x:v>2028</x:v>
      </x:c>
      <x:c r="B43" s="41" t="n">
        <x:f>IF(B42=26,1,B42+1)</x:f>
        <x:v>16</x:v>
      </x:c>
      <x:c r="C43" s="48" t="n">
        <x:f>Inputs!$F$4</x:f>
        <x:v>800</x:v>
      </x:c>
      <x:c r="D43" s="50" t="n">
        <x:f>IF(B43=1,0,D42+E42)</x:f>
        <x:v>8000</x:v>
      </x:c>
      <x:c r="E43" s="50" t="n">
        <x:f>MIN(C43,MAX(0,Inputs!$B$7-D43))</x:f>
        <x:v>0</x:v>
      </x:c>
      <x:c r="F43" s="50" t="n">
        <x:f>MIN(C43-E43,MAX(0,Inputs!$B$20-O43))</x:f>
        <x:v>800</x:v>
      </x:c>
      <x:c r="G43" s="50" t="n">
        <x:f>0</x:f>
        <x:v>0</x:v>
      </x:c>
      <x:c r="H43" s="41" t="n">
        <x:f>0</x:f>
        <x:v>0</x:v>
      </x:c>
      <x:c r="I43" s="50" t="n">
        <x:f>(I42*(1+Inputs!$B$12))+E43</x:f>
        <x:v>54596.728653785554</x:v>
      </x:c>
      <x:c r="J43" s="50" t="n">
        <x:f>(J42*(1+Inputs!$B$12))+F43+P43</x:f>
        <x:v>42663.48943308395</x:v>
      </x:c>
      <x:c r="K43" s="50" t="n">
        <x:f>(K42*(1+Inputs!$B$12))*(1-H43)</x:f>
        <x:v>17312.064057238153</x:v>
      </x:c>
      <x:c r="L43" s="50" t="n">
        <x:f>L42*(1+Inputs!$B$13)+Q43</x:f>
        <x:v>6203.610904416998</x:v>
      </x:c>
      <x:c r="M43" s="50" t="n">
        <x:f>I43+J43+L43</x:f>
        <x:v>103463.82899128651</x:v>
      </x:c>
      <x:c r="N43" s="50" t="n">
        <x:f>F43+P43</x:f>
        <x:v>800</x:v>
      </x:c>
      <x:c r="O43" s="50" t="n">
        <x:f>IF(B43=1,0,O42+F42+P42)</x:f>
        <x:v>7600</x:v>
      </x:c>
      <x:c r="P43" s="50" t="n">
        <x:f>MIN(G43,MAX(0,Inputs!$B$20-O43-F43))</x:f>
        <x:v>0</x:v>
      </x:c>
      <x:c r="Q43" s="50" t="n">
        <x:f>(C43-E43-F43)+(G43-P43)</x:f>
        <x:v>0</x:v>
      </x:c>
    </x:row>
    <x:row r="44">
      <x:c r="A44" s="41" t="n">
        <x:f>IF(B44=1,A43+1,A43)</x:f>
        <x:v>2028</x:v>
      </x:c>
      <x:c r="B44" s="41" t="n">
        <x:f>IF(B43=26,1,B43+1)</x:f>
        <x:v>17</x:v>
      </x:c>
      <x:c r="C44" s="48" t="n">
        <x:f>Inputs!$F$4</x:f>
        <x:v>800</x:v>
      </x:c>
      <x:c r="D44" s="50" t="n">
        <x:f>IF(B44=1,0,D43+E43)</x:f>
        <x:v>8000</x:v>
      </x:c>
      <x:c r="E44" s="50" t="n">
        <x:f>MIN(C44,MAX(0,Inputs!$B$7-D44))</x:f>
        <x:v>0</x:v>
      </x:c>
      <x:c r="F44" s="50" t="n">
        <x:f>MIN(C44-E44,MAX(0,Inputs!$B$20-O44))</x:f>
        <x:v>800</x:v>
      </x:c>
      <x:c r="G44" s="50" t="n">
        <x:f>0</x:f>
        <x:v>0</x:v>
      </x:c>
      <x:c r="H44" s="41" t="n">
        <x:f>0</x:f>
        <x:v>0</x:v>
      </x:c>
      <x:c r="I44" s="50" t="n">
        <x:f>(I43*(1+Inputs!$B$12))+E44</x:f>
        <x:v>54699.27804888623</x:v>
      </x:c>
      <x:c r="J44" s="50" t="n">
        <x:f>(J43*(1+Inputs!$B$12))+F44+P44</x:f>
        <x:v>43543.624546343046</x:v>
      </x:c>
      <x:c r="K44" s="50" t="n">
        <x:f>(K43*(1+Inputs!$B$12))*(1-H44)</x:f>
        <x:v>17344.581421204628</x:v>
      </x:c>
      <x:c r="L44" s="50" t="n">
        <x:f>L43*(1+Inputs!$B$13)+Q44</x:f>
        <x:v>6214.465079273921</x:v>
      </x:c>
      <x:c r="M44" s="50" t="n">
        <x:f>I44+J44+L44</x:f>
        <x:v>104457.3676745032</x:v>
      </x:c>
      <x:c r="N44" s="50" t="n">
        <x:f>F44+P44</x:f>
        <x:v>800</x:v>
      </x:c>
      <x:c r="O44" s="50" t="n">
        <x:f>IF(B44=1,0,O43+F43+P43)</x:f>
        <x:v>8400</x:v>
      </x:c>
      <x:c r="P44" s="50" t="n">
        <x:f>MIN(G44,MAX(0,Inputs!$B$20-O44-F44))</x:f>
        <x:v>0</x:v>
      </x:c>
      <x:c r="Q44" s="50" t="n">
        <x:f>(C44-E44-F44)+(G44-P44)</x:f>
        <x:v>0</x:v>
      </x:c>
    </x:row>
    <x:row r="45">
      <x:c r="A45" s="41" t="n">
        <x:f>IF(B45=1,A44+1,A44)</x:f>
        <x:v>2028</x:v>
      </x:c>
      <x:c r="B45" s="41" t="n">
        <x:f>IF(B44=26,1,B44+1)</x:f>
        <x:v>18</x:v>
      </x:c>
      <x:c r="C45" s="48" t="n">
        <x:f>Inputs!$F$4</x:f>
        <x:v>800</x:v>
      </x:c>
      <x:c r="D45" s="50" t="n">
        <x:f>IF(B45=1,0,D44+E44)</x:f>
        <x:v>8000</x:v>
      </x:c>
      <x:c r="E45" s="50" t="n">
        <x:f>MIN(C45,MAX(0,Inputs!$B$7-D45))</x:f>
        <x:v>0</x:v>
      </x:c>
      <x:c r="F45" s="50" t="n">
        <x:f>MIN(C45-E45,MAX(0,Inputs!$B$20-O45))</x:f>
        <x:v>800</x:v>
      </x:c>
      <x:c r="G45" s="50" t="n">
        <x:f>0</x:f>
        <x:v>0</x:v>
      </x:c>
      <x:c r="H45" s="41" t="n">
        <x:f>0</x:f>
        <x:v>0</x:v>
      </x:c>
      <x:c r="I45" s="50" t="n">
        <x:f>(I44*(1+Inputs!$B$12))+E45</x:f>
        <x:v>54802.0200631913</x:v>
      </x:c>
      <x:c r="J45" s="50" t="n">
        <x:f>(J44*(1+Inputs!$B$12))+F45+P45</x:f>
        <x:v>44425.41282318349</x:v>
      </x:c>
      <x:c r="K45" s="50" t="n">
        <x:f>(K44*(1+Inputs!$B$12))*(1-H45)</x:f>
        <x:v>17377.159862750057</x:v>
      </x:c>
      <x:c r="L45" s="50" t="n">
        <x:f>L44*(1+Inputs!$B$13)+Q45</x:f>
        <x:v>6225.33824518519</x:v>
      </x:c>
      <x:c r="M45" s="50" t="n">
        <x:f>I45+J45+L45</x:f>
        <x:v>105452.77113155999</x:v>
      </x:c>
      <x:c r="N45" s="50" t="n">
        <x:f>F45+P45</x:f>
        <x:v>800</x:v>
      </x:c>
      <x:c r="O45" s="50" t="n">
        <x:f>IF(B45=1,0,O44+F44+P44)</x:f>
        <x:v>9200</x:v>
      </x:c>
      <x:c r="P45" s="50" t="n">
        <x:f>MIN(G45,MAX(0,Inputs!$B$20-O45-F45))</x:f>
        <x:v>0</x:v>
      </x:c>
      <x:c r="Q45" s="50" t="n">
        <x:f>(C45-E45-F45)+(G45-P45)</x:f>
        <x:v>0</x:v>
      </x:c>
    </x:row>
    <x:row r="46">
      <x:c r="A46" s="41" t="n">
        <x:f>IF(B46=1,A45+1,A45)</x:f>
        <x:v>2028</x:v>
      </x:c>
      <x:c r="B46" s="41" t="n">
        <x:f>IF(B45=26,1,B45+1)</x:f>
        <x:v>19</x:v>
      </x:c>
      <x:c r="C46" s="48" t="n">
        <x:f>Inputs!$F$4</x:f>
        <x:v>800</x:v>
      </x:c>
      <x:c r="D46" s="50" t="n">
        <x:f>IF(B46=1,0,D45+E45)</x:f>
        <x:v>8000</x:v>
      </x:c>
      <x:c r="E46" s="50" t="n">
        <x:f>MIN(C46,MAX(0,Inputs!$B$7-D46))</x:f>
        <x:v>0</x:v>
      </x:c>
      <x:c r="F46" s="50" t="n">
        <x:f>MIN(C46-E46,MAX(0,Inputs!$B$20-O46))</x:f>
        <x:v>800</x:v>
      </x:c>
      <x:c r="G46" s="50" t="n">
        <x:f>0</x:f>
        <x:v>0</x:v>
      </x:c>
      <x:c r="H46" s="41" t="n">
        <x:f>0</x:f>
        <x:v>0</x:v>
      </x:c>
      <x:c r="I46" s="50" t="n">
        <x:f>(I45*(1+Inputs!$B$12))+E46</x:f>
        <x:v>54904.95505849868</x:v>
      </x:c>
      <x:c r="J46" s="50" t="n">
        <x:f>(J45*(1+Inputs!$B$12))+F46+P46</x:f>
        <x:v>45308.857368753335</x:v>
      </x:c>
      <x:c r="K46" s="50" t="n">
        <x:f>(K45*(1+Inputs!$B$12))*(1-H46)</x:f>
        <x:v>17409.79949659686</x:v>
      </x:c>
      <x:c r="L46" s="50" t="n">
        <x:f>L45*(1+Inputs!$B$13)+Q46</x:f>
        <x:v>6236.230435378586</x:v>
      </x:c>
      <x:c r="M46" s="50" t="n">
        <x:f>I46+J46+L46</x:f>
        <x:v>106450.0428626306</x:v>
      </x:c>
      <x:c r="N46" s="50" t="n">
        <x:f>F46+P46</x:f>
        <x:v>800</x:v>
      </x:c>
      <x:c r="O46" s="50" t="n">
        <x:f>IF(B46=1,0,O45+F45+P45)</x:f>
        <x:v>10000</x:v>
      </x:c>
      <x:c r="P46" s="50" t="n">
        <x:f>MIN(G46,MAX(0,Inputs!$B$20-O46-F46))</x:f>
        <x:v>0</x:v>
      </x:c>
      <x:c r="Q46" s="50" t="n">
        <x:f>(C46-E46-F46)+(G46-P46)</x:f>
        <x:v>0</x:v>
      </x:c>
    </x:row>
    <x:row r="47">
      <x:c r="A47" s="41" t="n">
        <x:f>IF(B47=1,A46+1,A46)</x:f>
        <x:v>2028</x:v>
      </x:c>
      <x:c r="B47" s="41" t="n">
        <x:f>IF(B46=26,1,B46+1)</x:f>
        <x:v>20</x:v>
      </x:c>
      <x:c r="C47" s="48" t="n">
        <x:f>Inputs!$F$4</x:f>
        <x:v>800</x:v>
      </x:c>
      <x:c r="D47" s="50" t="n">
        <x:f>IF(B47=1,0,D46+E46)</x:f>
        <x:v>8000</x:v>
      </x:c>
      <x:c r="E47" s="50" t="n">
        <x:f>MIN(C47,MAX(0,Inputs!$B$7-D47))</x:f>
        <x:v>0</x:v>
      </x:c>
      <x:c r="F47" s="50" t="n">
        <x:f>MIN(C47-E47,MAX(0,Inputs!$B$20-O47))</x:f>
        <x:v>800</x:v>
      </x:c>
      <x:c r="G47" s="50" t="n">
        <x:f>0</x:f>
        <x:v>0</x:v>
      </x:c>
      <x:c r="H47" s="41" t="n">
        <x:f>0</x:f>
        <x:v>0</x:v>
      </x:c>
      <x:c r="I47" s="50" t="n">
        <x:f>(I46*(1+Inputs!$B$12))+E47</x:f>
        <x:v>55008.08339728585</x:v>
      </x:c>
      <x:c r="J47" s="50" t="n">
        <x:f>(J46*(1+Inputs!$B$12))+F47+P47</x:f>
        <x:v>46193.96129403305</x:v>
      </x:c>
      <x:c r="K47" s="50" t="n">
        <x:f>(K46*(1+Inputs!$B$12))*(1-H47)</x:f>
        <x:v>17442.500437682942</x:v>
      </x:c>
      <x:c r="L47" s="50" t="n">
        <x:f>L46*(1+Inputs!$B$13)+Q47</x:f>
        <x:v>6247.141683140026</x:v>
      </x:c>
      <x:c r="M47" s="50" t="n">
        <x:f>I47+J47+L47</x:f>
        <x:v>107449.18637445894</x:v>
      </x:c>
      <x:c r="N47" s="50" t="n">
        <x:f>F47+P47</x:f>
        <x:v>800</x:v>
      </x:c>
      <x:c r="O47" s="50" t="n">
        <x:f>IF(B47=1,0,O46+F46+P46)</x:f>
        <x:v>10800</x:v>
      </x:c>
      <x:c r="P47" s="50" t="n">
        <x:f>MIN(G47,MAX(0,Inputs!$B$20-O47-F47))</x:f>
        <x:v>0</x:v>
      </x:c>
      <x:c r="Q47" s="50" t="n">
        <x:f>(C47-E47-F47)+(G47-P47)</x:f>
        <x:v>0</x:v>
      </x:c>
    </x:row>
    <x:row r="48">
      <x:c r="A48" s="41" t="n">
        <x:f>IF(B48=1,A47+1,A47)</x:f>
        <x:v>2028</x:v>
      </x:c>
      <x:c r="B48" s="41" t="n">
        <x:f>IF(B47=26,1,B47+1)</x:f>
        <x:v>21</x:v>
      </x:c>
      <x:c r="C48" s="48" t="n">
        <x:f>Inputs!$F$4</x:f>
        <x:v>800</x:v>
      </x:c>
      <x:c r="D48" s="50" t="n">
        <x:f>IF(B48=1,0,D47+E47)</x:f>
        <x:v>8000</x:v>
      </x:c>
      <x:c r="E48" s="50" t="n">
        <x:f>MIN(C48,MAX(0,Inputs!$B$7-D48))</x:f>
        <x:v>0</x:v>
      </x:c>
      <x:c r="F48" s="50" t="n">
        <x:f>MIN(C48-E48,MAX(0,Inputs!$B$20-O48))</x:f>
        <x:v>400</x:v>
      </x:c>
      <x:c r="G48" s="50" t="n">
        <x:f>0</x:f>
        <x:v>0</x:v>
      </x:c>
      <x:c r="H48" s="41" t="n">
        <x:f>0</x:f>
        <x:v>0</x:v>
      </x:c>
      <x:c r="I48" s="50" t="n">
        <x:f>(I47*(1+Inputs!$B$12))+E48</x:f>
        <x:v>55111.405442711155</x:v>
      </x:c>
      <x:c r="J48" s="50" t="n">
        <x:f>(J47*(1+Inputs!$B$12))+F48+P48</x:f>
        <x:v>46680.72771584647</x:v>
      </x:c>
      <x:c r="K48" s="50" t="n">
        <x:f>(K47*(1+Inputs!$B$12))*(1-H48)</x:f>
        <x:v>17475.26280116209</x:v>
      </x:c>
      <x:c r="L48" s="50" t="n">
        <x:f>L47*(1+Inputs!$B$13)+Q48</x:f>
        <x:v>6658.072021813668</x:v>
      </x:c>
      <x:c r="M48" s="50" t="n">
        <x:f>I48+J48+L48</x:f>
        <x:v>108450.2051803713</x:v>
      </x:c>
      <x:c r="N48" s="50" t="n">
        <x:f>F48+P48</x:f>
        <x:v>400</x:v>
      </x:c>
      <x:c r="O48" s="50" t="n">
        <x:f>IF(B48=1,0,O47+F47+P47)</x:f>
        <x:v>11600</x:v>
      </x:c>
      <x:c r="P48" s="50" t="n">
        <x:f>MIN(G48,MAX(0,Inputs!$B$20-O48-F48))</x:f>
        <x:v>0</x:v>
      </x:c>
      <x:c r="Q48" s="50" t="n">
        <x:f>(C48-E48-F48)+(G48-P48)</x:f>
        <x:v>400</x:v>
      </x:c>
    </x:row>
    <x:row r="49">
      <x:c r="A49" s="41" t="n">
        <x:f>IF(B49=1,A48+1,A48)</x:f>
        <x:v>2028</x:v>
      </x:c>
      <x:c r="B49" s="41" t="n">
        <x:f>IF(B48=26,1,B48+1)</x:f>
        <x:v>22</x:v>
      </x:c>
      <x:c r="C49" s="48" t="n">
        <x:f>Inputs!$F$4</x:f>
        <x:v>800</x:v>
      </x:c>
      <x:c r="D49" s="50" t="n">
        <x:f>IF(B49=1,0,D48+E48)</x:f>
        <x:v>8000</x:v>
      </x:c>
      <x:c r="E49" s="50" t="n">
        <x:f>MIN(C49,MAX(0,Inputs!$B$7-D49))</x:f>
        <x:v>0</x:v>
      </x:c>
      <x:c r="F49" s="50" t="n">
        <x:f>MIN(C49-E49,MAX(0,Inputs!$B$20-O49))</x:f>
        <x:v>0</x:v>
      </x:c>
      <x:c r="G49" s="50" t="n">
        <x:f>0</x:f>
        <x:v>0</x:v>
      </x:c>
      <x:c r="H49" s="41" t="n">
        <x:f>0</x:f>
        <x:v>0</x:v>
      </x:c>
      <x:c r="I49" s="50" t="n">
        <x:f>(I48*(1+Inputs!$B$12))+E49</x:f>
        <x:v>55214.92155861504</x:v>
      </x:c>
      <x:c r="J49" s="50" t="n">
        <x:f>(J48*(1+Inputs!$B$12))+F49+P49</x:f>
        <x:v>46768.408434236684</x:v>
      </x:c>
      <x:c r="K49" s="50" t="n">
        <x:f>(K48*(1+Inputs!$B$12))*(1-H49)</x:f>
        <x:v>17508.08670240439</x:v>
      </x:c>
      <x:c r="L49" s="50" t="n">
        <x:f>L48*(1+Inputs!$B$13)+Q49</x:f>
        <x:v>7469.7213465453815</x:v>
      </x:c>
      <x:c r="M49" s="50" t="n">
        <x:f>I49+J49+L49</x:f>
        <x:v>109453.0513393971</x:v>
      </x:c>
      <x:c r="N49" s="50" t="n">
        <x:f>F49+P49</x:f>
        <x:v>0</x:v>
      </x:c>
      <x:c r="O49" s="50" t="n">
        <x:f>IF(B49=1,0,O48+F48+P48)</x:f>
        <x:v>12000</x:v>
      </x:c>
      <x:c r="P49" s="50" t="n">
        <x:f>MIN(G49,MAX(0,Inputs!$B$20-O49-F49))</x:f>
        <x:v>0</x:v>
      </x:c>
      <x:c r="Q49" s="50" t="n">
        <x:f>(C49-E49-F49)+(G49-P49)</x:f>
        <x:v>800</x:v>
      </x:c>
    </x:row>
    <x:row r="50">
      <x:c r="A50" s="41" t="n">
        <x:f>IF(B50=1,A49+1,A49)</x:f>
        <x:v>2028</x:v>
      </x:c>
      <x:c r="B50" s="41" t="n">
        <x:f>IF(B49=26,1,B49+1)</x:f>
        <x:v>23</x:v>
      </x:c>
      <x:c r="C50" s="48" t="n">
        <x:f>Inputs!$F$4</x:f>
        <x:v>800</x:v>
      </x:c>
      <x:c r="D50" s="50" t="n">
        <x:f>IF(B50=1,0,D49+E49)</x:f>
        <x:v>8000</x:v>
      </x:c>
      <x:c r="E50" s="50" t="n">
        <x:f>MIN(C50,MAX(0,Inputs!$B$7-D50))</x:f>
        <x:v>0</x:v>
      </x:c>
      <x:c r="F50" s="50" t="n">
        <x:f>MIN(C50-E50,MAX(0,Inputs!$B$20-O50))</x:f>
        <x:v>0</x:v>
      </x:c>
      <x:c r="G50" s="50" t="n">
        <x:f>0</x:f>
        <x:v>0</x:v>
      </x:c>
      <x:c r="H50" s="41" t="n">
        <x:f>0</x:f>
        <x:v>0</x:v>
      </x:c>
      <x:c r="I50" s="50" t="n">
        <x:f>(I49*(1+Inputs!$B$12))+E50</x:f>
        <x:v>55318.632109521364</x:v>
      </x:c>
      <x:c r="J50" s="50" t="n">
        <x:f>(J49*(1+Inputs!$B$12))+F50+P50</x:f>
        <x:v>46856.25384389787</x:v>
      </x:c>
      <x:c r="K50" s="50" t="n">
        <x:f>(K49*(1+Inputs!$B$12))*(1-H50)</x:f>
        <x:v>17540.972256996632</x:v>
      </x:c>
      <x:c r="L50" s="50" t="n">
        <x:f>L49*(1+Inputs!$B$13)+Q50</x:f>
        <x:v>8282.79077705563</x:v>
      </x:c>
      <x:c r="M50" s="50" t="n">
        <x:f>I50+J50+L50</x:f>
        <x:v>110457.67673047486</x:v>
      </x:c>
      <x:c r="N50" s="50" t="n">
        <x:f>F50+P50</x:f>
        <x:v>0</x:v>
      </x:c>
      <x:c r="O50" s="50" t="n">
        <x:f>IF(B50=1,0,O49+F49+P49)</x:f>
        <x:v>12000</x:v>
      </x:c>
      <x:c r="P50" s="50" t="n">
        <x:f>MIN(G50,MAX(0,Inputs!$B$20-O50-F50))</x:f>
        <x:v>0</x:v>
      </x:c>
      <x:c r="Q50" s="50" t="n">
        <x:f>(C50-E50-F50)+(G50-P50)</x:f>
        <x:v>800</x:v>
      </x:c>
    </x:row>
    <x:row r="51">
      <x:c r="A51" s="41" t="n">
        <x:f>IF(B51=1,A50+1,A50)</x:f>
        <x:v>2028</x:v>
      </x:c>
      <x:c r="B51" s="41" t="n">
        <x:f>IF(B50=26,1,B50+1)</x:f>
        <x:v>24</x:v>
      </x:c>
      <x:c r="C51" s="48" t="n">
        <x:f>Inputs!$F$4</x:f>
        <x:v>800</x:v>
      </x:c>
      <x:c r="D51" s="50" t="n">
        <x:f>IF(B51=1,0,D50+E50)</x:f>
        <x:v>8000</x:v>
      </x:c>
      <x:c r="E51" s="50" t="n">
        <x:f>MIN(C51,MAX(0,Inputs!$B$7-D51))</x:f>
        <x:v>0</x:v>
      </x:c>
      <x:c r="F51" s="50" t="n">
        <x:f>MIN(C51-E51,MAX(0,Inputs!$B$20-O51))</x:f>
        <x:v>0</x:v>
      </x:c>
      <x:c r="G51" s="50" t="n">
        <x:f>0</x:f>
        <x:v>0</x:v>
      </x:c>
      <x:c r="H51" s="41" t="n">
        <x:f>0</x:f>
        <x:v>0</x:v>
      </x:c>
      <x:c r="I51" s="50" t="n">
        <x:f>(I50*(1+Inputs!$B$12))+E51</x:f>
        <x:v>55422.537460638676</x:v>
      </x:c>
      <x:c r="J51" s="50" t="n">
        <x:f>(J50*(1+Inputs!$B$12))+F51+P51</x:f>
        <x:v>46944.26425417073</x:v>
      </x:c>
      <x:c r="K51" s="50" t="n">
        <x:f>(K50*(1+Inputs!$B$12))*(1-H51)</x:f>
        <x:v>17573.919580742706</x:v>
      </x:c>
      <x:c r="L51" s="50" t="n">
        <x:f>L50*(1+Inputs!$B$13)+Q51</x:f>
        <x:v>9097.282798038677</x:v>
      </x:c>
      <x:c r="M51" s="50" t="n">
        <x:f>I51+J51+L51</x:f>
        <x:v>111464.08451284809</x:v>
      </x:c>
      <x:c r="N51" s="50" t="n">
        <x:f>F51+P51</x:f>
        <x:v>0</x:v>
      </x:c>
      <x:c r="O51" s="50" t="n">
        <x:f>IF(B51=1,0,O50+F50+P50)</x:f>
        <x:v>12000</x:v>
      </x:c>
      <x:c r="P51" s="50" t="n">
        <x:f>MIN(G51,MAX(0,Inputs!$B$20-O51-F51))</x:f>
        <x:v>0</x:v>
      </x:c>
      <x:c r="Q51" s="50" t="n">
        <x:f>(C51-E51-F51)+(G51-P51)</x:f>
        <x:v>800</x:v>
      </x:c>
    </x:row>
    <x:row r="52">
      <x:c r="A52" s="41" t="n">
        <x:f>IF(B52=1,A51+1,A51)</x:f>
        <x:v>2028</x:v>
      </x:c>
      <x:c r="B52" s="41" t="n">
        <x:f>IF(B51=26,1,B51+1)</x:f>
        <x:v>25</x:v>
      </x:c>
      <x:c r="C52" s="48" t="n">
        <x:f>Inputs!$F$4</x:f>
        <x:v>800</x:v>
      </x:c>
      <x:c r="D52" s="50" t="n">
        <x:f>IF(B52=1,0,D51+E51)</x:f>
        <x:v>8000</x:v>
      </x:c>
      <x:c r="E52" s="50" t="n">
        <x:f>MIN(C52,MAX(0,Inputs!$B$7-D52))</x:f>
        <x:v>0</x:v>
      </x:c>
      <x:c r="F52" s="50" t="n">
        <x:f>MIN(C52-E52,MAX(0,Inputs!$B$20-O52))</x:f>
        <x:v>0</x:v>
      </x:c>
      <x:c r="G52" s="50" t="n">
        <x:f>0</x:f>
        <x:v>0</x:v>
      </x:c>
      <x:c r="H52" s="41" t="n">
        <x:f>0</x:f>
        <x:v>0</x:v>
      </x:c>
      <x:c r="I52" s="50" t="n">
        <x:f>(I51*(1+Inputs!$B$12))+E52</x:f>
        <x:v>55526.6379778615</x:v>
      </x:c>
      <x:c r="J52" s="50" t="n">
        <x:f>(J51*(1+Inputs!$B$12))+F52+P52</x:f>
        <x:v>47032.439974976995</x:v>
      </x:c>
      <x:c r="K52" s="50" t="n">
        <x:f>(K51*(1+Inputs!$B$12))*(1-H52)</x:f>
        <x:v>17606.92878966402</x:v>
      </x:c>
      <x:c r="L52" s="50" t="n">
        <x:f>L51*(1+Inputs!$B$13)+Q52</x:f>
        <x:v>9913.199898536144</x:v>
      </x:c>
      <x:c r="M52" s="50" t="n">
        <x:f>I52+J52+L52</x:f>
        <x:v>112472.27785137465</x:v>
      </x:c>
      <x:c r="N52" s="50" t="n">
        <x:f>F52+P52</x:f>
        <x:v>0</x:v>
      </x:c>
      <x:c r="O52" s="50" t="n">
        <x:f>IF(B52=1,0,O51+F51+P51)</x:f>
        <x:v>12000</x:v>
      </x:c>
      <x:c r="P52" s="50" t="n">
        <x:f>MIN(G52,MAX(0,Inputs!$B$20-O52-F52))</x:f>
        <x:v>0</x:v>
      </x:c>
      <x:c r="Q52" s="50" t="n">
        <x:f>(C52-E52-F52)+(G52-P52)</x:f>
        <x:v>800</x:v>
      </x:c>
    </x:row>
    <x:row r="53">
      <x:c r="A53" s="41" t="n">
        <x:f>IF(B53=1,A52+1,A52)</x:f>
        <x:v>2028</x:v>
      </x:c>
      <x:c r="B53" s="41" t="n">
        <x:f>IF(B52=26,1,B52+1)</x:f>
        <x:v>26</x:v>
      </x:c>
      <x:c r="C53" s="48" t="n">
        <x:f>Inputs!$F$4</x:f>
        <x:v>800</x:v>
      </x:c>
      <x:c r="D53" s="50" t="n">
        <x:f>IF(B53=1,0,D52+E52)</x:f>
        <x:v>8000</x:v>
      </x:c>
      <x:c r="E53" s="50" t="n">
        <x:f>MIN(C53,MAX(0,Inputs!$B$7-D53))</x:f>
        <x:v>0</x:v>
      </x:c>
      <x:c r="F53" s="50" t="n">
        <x:f>MIN(C53-E53,MAX(0,Inputs!$B$20-O53))</x:f>
        <x:v>0</x:v>
      </x:c>
      <x:c r="G53" s="50" t="n">
        <x:f>0</x:f>
        <x:v>0</x:v>
      </x:c>
      <x:c r="H53" s="41" t="n">
        <x:f>IF(A53=Inputs!$B$8,1,0)</x:f>
        <x:v>0</x:v>
      </x:c>
      <x:c r="I53" s="50" t="n">
        <x:f>(I52*(1+Inputs!$B$12))+E53</x:f>
        <x:v>55630.93402777161</x:v>
      </x:c>
      <x:c r="J53" s="50" t="n">
        <x:f>(J52*(1+Inputs!$B$12))+F53+P53</x:f>
        <x:v>47120.78131682053</x:v>
      </x:c>
      <x:c r="K53" s="50" t="n">
        <x:f>(K52*(1+Inputs!$B$12))*(1-H53)</x:f>
        <x:v>17639.99999999991</x:v>
      </x:c>
      <x:c r="L53" s="50" t="n">
        <x:f>L52*(1+Inputs!$B$13)+Q53</x:f>
        <x:v>10730.544571944616</x:v>
      </x:c>
      <x:c r="M53" s="50" t="n">
        <x:f>I53+J53+L53</x:f>
        <x:v>113482.25991653676</x:v>
      </x:c>
      <x:c r="N53" s="50" t="n">
        <x:f>F53+P53</x:f>
        <x:v>0</x:v>
      </x:c>
      <x:c r="O53" s="50" t="n">
        <x:f>IF(B53=1,0,O52+F52+P52)</x:f>
        <x:v>12000</x:v>
      </x:c>
      <x:c r="P53" s="50" t="n">
        <x:f>MIN(G53,MAX(0,Inputs!$B$20-O53-F53))</x:f>
        <x:v>0</x:v>
      </x:c>
      <x:c r="Q53" s="50" t="n">
        <x:f>(C53-E53-F53)+(G53-P53)</x:f>
        <x:v>800</x:v>
      </x:c>
    </x:row>
    <x:row r="54">
      <x:c r="A54" s="41" t="n">
        <x:f>IF(B54=1,A53+1,A53)</x:f>
        <x:v>2029</x:v>
      </x:c>
      <x:c r="B54" s="41" t="n">
        <x:f>IF(B53=26,1,B53+1)</x:f>
        <x:v>1</x:v>
      </x:c>
      <x:c r="C54" s="48" t="n">
        <x:f>Inputs!$F$5</x:f>
        <x:v>800</x:v>
      </x:c>
      <x:c r="D54" s="50" t="n">
        <x:f>IF(B54=1,0,D53+E53)</x:f>
        <x:v>0</x:v>
      </x:c>
      <x:c r="E54" s="50" t="n">
        <x:f>MIN(C54,MAX(0,Inputs!$B$7-D54))</x:f>
        <x:v>800</x:v>
      </x:c>
      <x:c r="F54" s="50" t="n">
        <x:f>MIN(C54-E54,MAX(0,Inputs!$B$20-O54))</x:f>
        <x:v>0</x:v>
      </x:c>
      <x:c r="G54" s="50" t="n">
        <x:f>0</x:f>
        <x:v>0</x:v>
      </x:c>
      <x:c r="H54" s="41" t="n">
        <x:f>0</x:f>
        <x:v>0</x:v>
      </x:c>
      <x:c r="I54" s="50" t="n">
        <x:f>(I53*(1+Inputs!$B$12))+E54</x:f>
        <x:v>56535.425977639345</x:v>
      </x:c>
      <x:c r="J54" s="50" t="n">
        <x:f>(J53*(1+Inputs!$B$12))+F54+P54</x:f>
        <x:v>47209.28859078843</x:v>
      </x:c>
      <x:c r="K54" s="50" t="n">
        <x:f>(K53*(1+Inputs!$B$12))*(1-H54)</x:f>
        <x:v>17673.133328208038</x:v>
      </x:c>
      <x:c r="L54" s="50" t="n">
        <x:f>L53*(1+Inputs!$B$13)+Q54</x:f>
        <x:v>10749.319316023257</x:v>
      </x:c>
      <x:c r="M54" s="50" t="n">
        <x:f>I54+J54+L54</x:f>
        <x:v>114494.03388445103</x:v>
      </x:c>
      <x:c r="N54" s="50" t="n">
        <x:f>F54+P54</x:f>
        <x:v>0</x:v>
      </x:c>
      <x:c r="O54" s="50" t="n">
        <x:f>IF(B54=1,0,O53+F53+P53)</x:f>
        <x:v>0</x:v>
      </x:c>
      <x:c r="P54" s="50" t="n">
        <x:f>MIN(G54,MAX(0,Inputs!$B$20-O54-F54))</x:f>
        <x:v>0</x:v>
      </x:c>
      <x:c r="Q54" s="50" t="n">
        <x:f>(C54-E54-F54)+(G54-P54)</x:f>
        <x:v>0</x:v>
      </x:c>
    </x:row>
    <x:row r="55">
      <x:c r="A55" s="41" t="n">
        <x:f>IF(B55=1,A54+1,A54)</x:f>
        <x:v>2029</x:v>
      </x:c>
      <x:c r="B55" s="41" t="n">
        <x:f>IF(B54=26,1,B54+1)</x:f>
        <x:v>2</x:v>
      </x:c>
      <x:c r="C55" s="48" t="n">
        <x:f>Inputs!$F$5</x:f>
        <x:v>800</x:v>
      </x:c>
      <x:c r="D55" s="50" t="n">
        <x:f>IF(B55=1,0,D54+E54)</x:f>
        <x:v>800</x:v>
      </x:c>
      <x:c r="E55" s="50" t="n">
        <x:f>MIN(C55,MAX(0,Inputs!$B$7-D55))</x:f>
        <x:v>800</x:v>
      </x:c>
      <x:c r="F55" s="50" t="n">
        <x:f>MIN(C55-E55,MAX(0,Inputs!$B$20-O55))</x:f>
        <x:v>0</x:v>
      </x:c>
      <x:c r="G55" s="50" t="n">
        <x:f>0</x:f>
        <x:v>0</x:v>
      </x:c>
      <x:c r="H55" s="41" t="n">
        <x:f>0</x:f>
        <x:v>0</x:v>
      </x:c>
      <x:c r="I55" s="50" t="n">
        <x:f>(I54*(1+Inputs!$B$12))+E55</x:f>
        <x:v>57441.6168406951</x:v>
      </x:c>
      <x:c r="J55" s="50" t="n">
        <x:f>(J54*(1+Inputs!$B$12))+F55+P55</x:f>
        <x:v>47297.96210855208</x:v>
      </x:c>
      <x:c r="K55" s="50" t="n">
        <x:f>(K54*(1+Inputs!$B$12))*(1-H55)</x:f>
        <x:v>17706.328890964814</x:v>
      </x:c>
      <x:c r="L55" s="50" t="n">
        <x:f>L54*(1+Inputs!$B$13)+Q55</x:f>
        <x:v>10768.126909414703</x:v>
      </x:c>
      <x:c r="M55" s="50" t="n">
        <x:f>I55+J55+L55</x:f>
        <x:v>115507.70585866187</x:v>
      </x:c>
      <x:c r="N55" s="50" t="n">
        <x:f>F55+P55</x:f>
        <x:v>0</x:v>
      </x:c>
      <x:c r="O55" s="50" t="n">
        <x:f>IF(B55=1,0,O54+F54+P54)</x:f>
        <x:v>0</x:v>
      </x:c>
      <x:c r="P55" s="50" t="n">
        <x:f>MIN(G55,MAX(0,Inputs!$B$20-O55-F55))</x:f>
        <x:v>0</x:v>
      </x:c>
      <x:c r="Q55" s="50" t="n">
        <x:f>(C55-E55-F55)+(G55-P55)</x:f>
        <x:v>0</x:v>
      </x:c>
    </x:row>
    <x:row r="56">
      <x:c r="A56" s="41" t="n">
        <x:f>IF(B56=1,A55+1,A55)</x:f>
        <x:v>2029</x:v>
      </x:c>
      <x:c r="B56" s="41" t="n">
        <x:f>IF(B55=26,1,B55+1)</x:f>
        <x:v>3</x:v>
      </x:c>
      <x:c r="C56" s="48" t="n">
        <x:f>Inputs!$F$5</x:f>
        <x:v>800</x:v>
      </x:c>
      <x:c r="D56" s="50" t="n">
        <x:f>IF(B56=1,0,D55+E55)</x:f>
        <x:v>1600</x:v>
      </x:c>
      <x:c r="E56" s="50" t="n">
        <x:f>MIN(C56,MAX(0,Inputs!$B$7-D56))</x:f>
        <x:v>800</x:v>
      </x:c>
      <x:c r="F56" s="50" t="n">
        <x:f>MIN(C56-E56,MAX(0,Inputs!$B$20-O56))</x:f>
        <x:v>0</x:v>
      </x:c>
      <x:c r="G56" s="50" t="n">
        <x:f>0</x:f>
        <x:v>0</x:v>
      </x:c>
      <x:c r="H56" s="41" t="n">
        <x:f>0</x:f>
        <x:v>0</x:v>
      </x:c>
      <x:c r="I56" s="50" t="n">
        <x:f>(I55*(1+Inputs!$B$12))+E56</x:f>
        <x:v>58349.509808018694</x:v>
      </x:c>
      <x:c r="J56" s="50" t="n">
        <x:f>(J55*(1+Inputs!$B$12))+F56+P56</x:f>
        <x:v>47386.8021823683</x:v>
      </x:c>
      <x:c r="K56" s="50" t="n">
        <x:f>(K55*(1+Inputs!$B$12))*(1-H56)</x:f>
        <x:v>17739.5868051658</x:v>
      </x:c>
      <x:c r="L56" s="50" t="n">
        <x:f>L55*(1+Inputs!$B$13)+Q56</x:f>
        <x:v>10786.967409593899</x:v>
      </x:c>
      <x:c r="M56" s="50" t="n">
        <x:f>I56+J56+L56</x:f>
        <x:v>116523.2793999809</x:v>
      </x:c>
      <x:c r="N56" s="50" t="n">
        <x:f>F56+P56</x:f>
        <x:v>0</x:v>
      </x:c>
      <x:c r="O56" s="50" t="n">
        <x:f>IF(B56=1,0,O55+F55+P55)</x:f>
        <x:v>0</x:v>
      </x:c>
      <x:c r="P56" s="50" t="n">
        <x:f>MIN(G56,MAX(0,Inputs!$B$20-O56-F56))</x:f>
        <x:v>0</x:v>
      </x:c>
      <x:c r="Q56" s="50" t="n">
        <x:f>(C56-E56-F56)+(G56-P56)</x:f>
        <x:v>0</x:v>
      </x:c>
    </x:row>
    <x:row r="57">
      <x:c r="A57" s="41" t="n">
        <x:f>IF(B57=1,A56+1,A56)</x:f>
        <x:v>2029</x:v>
      </x:c>
      <x:c r="B57" s="41" t="n">
        <x:f>IF(B56=26,1,B56+1)</x:f>
        <x:v>4</x:v>
      </x:c>
      <x:c r="C57" s="48" t="n">
        <x:f>Inputs!$F$5</x:f>
        <x:v>800</x:v>
      </x:c>
      <x:c r="D57" s="50" t="n">
        <x:f>IF(B57=1,0,D56+E56)</x:f>
        <x:v>2400</x:v>
      </x:c>
      <x:c r="E57" s="50" t="n">
        <x:f>MIN(C57,MAX(0,Inputs!$B$7-D57))</x:f>
        <x:v>800</x:v>
      </x:c>
      <x:c r="F57" s="50" t="n">
        <x:f>MIN(C57-E57,MAX(0,Inputs!$B$20-O57))</x:f>
        <x:v>0</x:v>
      </x:c>
      <x:c r="G57" s="50" t="n">
        <x:f>0</x:f>
        <x:v>0</x:v>
      </x:c>
      <x:c r="H57" s="41" t="n">
        <x:f>0</x:f>
        <x:v>0</x:v>
      </x:c>
      <x:c r="I57" s="50" t="n">
        <x:f>(I56*(1+Inputs!$B$12))+E57</x:f>
        <x:v>59259.1080766838</x:v>
      </x:c>
      <x:c r="J57" s="50" t="n">
        <x:f>(J56*(1+Inputs!$B$12))+F57+P57</x:f>
        <x:v>47475.809125080435</x:v>
      </x:c>
      <x:c r="K57" s="50" t="n">
        <x:f>(K56*(1+Inputs!$B$12))*(1-H57)</x:f>
        <x:v>17772.907187926125</x:v>
      </x:c>
      <x:c r="L57" s="50" t="n">
        <x:f>L56*(1+Inputs!$B$13)+Q57</x:f>
        <x:v>10805.840874136347</x:v>
      </x:c>
      <x:c r="M57" s="50" t="n">
        <x:f>I57+J57+L57</x:f>
        <x:v>117540.7580759006</x:v>
      </x:c>
      <x:c r="N57" s="50" t="n">
        <x:f>F57+P57</x:f>
        <x:v>0</x:v>
      </x:c>
      <x:c r="O57" s="50" t="n">
        <x:f>IF(B57=1,0,O56+F56+P56)</x:f>
        <x:v>0</x:v>
      </x:c>
      <x:c r="P57" s="50" t="n">
        <x:f>MIN(G57,MAX(0,Inputs!$B$20-O57-F57))</x:f>
        <x:v>0</x:v>
      </x:c>
      <x:c r="Q57" s="50" t="n">
        <x:f>(C57-E57-F57)+(G57-P57)</x:f>
        <x:v>0</x:v>
      </x:c>
    </x:row>
    <x:row r="58">
      <x:c r="A58" s="41" t="n">
        <x:f>IF(B58=1,A57+1,A57)</x:f>
        <x:v>2029</x:v>
      </x:c>
      <x:c r="B58" s="41" t="n">
        <x:f>IF(B57=26,1,B57+1)</x:f>
        <x:v>5</x:v>
      </x:c>
      <x:c r="C58" s="48" t="n">
        <x:f>Inputs!$F$5</x:f>
        <x:v>800</x:v>
      </x:c>
      <x:c r="D58" s="50" t="n">
        <x:f>IF(B58=1,0,D57+E57)</x:f>
        <x:v>3200</x:v>
      </x:c>
      <x:c r="E58" s="50" t="n">
        <x:f>MIN(C58,MAX(0,Inputs!$B$7-D58))</x:f>
        <x:v>800</x:v>
      </x:c>
      <x:c r="F58" s="50" t="n">
        <x:f>MIN(C58-E58,MAX(0,Inputs!$B$20-O58))</x:f>
        <x:v>0</x:v>
      </x:c>
      <x:c r="G58" s="50" t="n">
        <x:f>0</x:f>
        <x:v>0</x:v>
      </x:c>
      <x:c r="H58" s="41" t="n">
        <x:f>0</x:f>
        <x:v>0</x:v>
      </x:c>
      <x:c r="I58" s="50" t="n">
        <x:f>(I57*(1+Inputs!$B$12))+E58</x:f>
        <x:v>60170.41484976916</x:v>
      </x:c>
      <x:c r="J58" s="50" t="n">
        <x:f>(J57*(1+Inputs!$B$12))+F58+P58</x:f>
        <x:v>47564.98325011942</x:v>
      </x:c>
      <x:c r="K58" s="50" t="n">
        <x:f>(K57*(1+Inputs!$B$12))*(1-H58)</x:f>
        <x:v>17806.290156580893</x:v>
      </x:c>
      <x:c r="L58" s="50" t="n">
        <x:f>L57*(1+Inputs!$B$13)+Q58</x:f>
        <x:v>10824.747360718291</x:v>
      </x:c>
      <x:c r="M58" s="50" t="n">
        <x:f>I58+J58+L58</x:f>
        <x:v>118560.14546060687</x:v>
      </x:c>
      <x:c r="N58" s="50" t="n">
        <x:f>F58+P58</x:f>
        <x:v>0</x:v>
      </x:c>
      <x:c r="O58" s="50" t="n">
        <x:f>IF(B58=1,0,O57+F57+P57)</x:f>
        <x:v>0</x:v>
      </x:c>
      <x:c r="P58" s="50" t="n">
        <x:f>MIN(G58,MAX(0,Inputs!$B$20-O58-F58))</x:f>
        <x:v>0</x:v>
      </x:c>
      <x:c r="Q58" s="50" t="n">
        <x:f>(C58-E58-F58)+(G58-P58)</x:f>
        <x:v>0</x:v>
      </x:c>
    </x:row>
    <x:row r="59">
      <x:c r="A59" s="41" t="n">
        <x:f>IF(B59=1,A58+1,A58)</x:f>
        <x:v>2029</x:v>
      </x:c>
      <x:c r="B59" s="41" t="n">
        <x:f>IF(B58=26,1,B58+1)</x:f>
        <x:v>6</x:v>
      </x:c>
      <x:c r="C59" s="48" t="n">
        <x:f>Inputs!$F$5</x:f>
        <x:v>800</x:v>
      </x:c>
      <x:c r="D59" s="50" t="n">
        <x:f>IF(B59=1,0,D58+E58)</x:f>
        <x:v>4000</x:v>
      </x:c>
      <x:c r="E59" s="50" t="n">
        <x:f>MIN(C59,MAX(0,Inputs!$B$7-D59))</x:f>
        <x:v>800</x:v>
      </x:c>
      <x:c r="F59" s="50" t="n">
        <x:f>MIN(C59-E59,MAX(0,Inputs!$B$20-O59))</x:f>
        <x:v>0</x:v>
      </x:c>
      <x:c r="G59" s="50" t="n">
        <x:f>0</x:f>
        <x:v>0</x:v>
      </x:c>
      <x:c r="H59" s="41" t="n">
        <x:f>0</x:f>
        <x:v>0</x:v>
      </x:c>
      <x:c r="I59" s="50" t="n">
        <x:f>(I58*(1+Inputs!$B$12))+E59</x:f>
        <x:v>61083.43333636987</x:v>
      </x:c>
      <x:c r="J59" s="50" t="n">
        <x:f>(J58*(1+Inputs!$B$12))+F59+P59</x:f>
        <x:v>47654.32487150492</x:v>
      </x:c>
      <x:c r="K59" s="50" t="n">
        <x:f>(K58*(1+Inputs!$B$12))*(1-H59)</x:f>
        <x:v>17839.735828685607</x:v>
      </x:c>
      <x:c r="L59" s="50" t="n">
        <x:f>L58*(1+Inputs!$B$13)+Q59</x:f>
        <x:v>10843.686927116887</x:v>
      </x:c>
      <x:c r="M59" s="50" t="n">
        <x:f>I59+J59+L59</x:f>
        <x:v>119581.44513499166</x:v>
      </x:c>
      <x:c r="N59" s="50" t="n">
        <x:f>F59+P59</x:f>
        <x:v>0</x:v>
      </x:c>
      <x:c r="O59" s="50" t="n">
        <x:f>IF(B59=1,0,O58+F58+P58)</x:f>
        <x:v>0</x:v>
      </x:c>
      <x:c r="P59" s="50" t="n">
        <x:f>MIN(G59,MAX(0,Inputs!$B$20-O59-F59))</x:f>
        <x:v>0</x:v>
      </x:c>
      <x:c r="Q59" s="50" t="n">
        <x:f>(C59-E59-F59)+(G59-P59)</x:f>
        <x:v>0</x:v>
      </x:c>
    </x:row>
    <x:row r="60">
      <x:c r="A60" s="41" t="n">
        <x:f>IF(B60=1,A59+1,A59)</x:f>
        <x:v>2029</x:v>
      </x:c>
      <x:c r="B60" s="41" t="n">
        <x:f>IF(B59=26,1,B59+1)</x:f>
        <x:v>7</x:v>
      </x:c>
      <x:c r="C60" s="48" t="n">
        <x:f>Inputs!$F$5</x:f>
        <x:v>800</x:v>
      </x:c>
      <x:c r="D60" s="50" t="n">
        <x:f>IF(B60=1,0,D59+E59)</x:f>
        <x:v>4800</x:v>
      </x:c>
      <x:c r="E60" s="50" t="n">
        <x:f>MIN(C60,MAX(0,Inputs!$B$7-D60))</x:f>
        <x:v>800</x:v>
      </x:c>
      <x:c r="F60" s="50" t="n">
        <x:f>MIN(C60-E60,MAX(0,Inputs!$B$20-O60))</x:f>
        <x:v>0</x:v>
      </x:c>
      <x:c r="G60" s="50" t="n">
        <x:f>0</x:f>
        <x:v>0</x:v>
      </x:c>
      <x:c r="H60" s="41" t="n">
        <x:f>0</x:f>
        <x:v>0</x:v>
      </x:c>
      <x:c r="I60" s="50" t="n">
        <x:f>(I59*(1+Inputs!$B$12))+E60</x:f>
        <x:v>61998.16675160871</x:v>
      </x:c>
      <x:c r="J60" s="50" t="n">
        <x:f>(J59*(1+Inputs!$B$12))+F60+P60</x:f>
        <x:v>47743.83430384643</x:v>
      </x:c>
      <x:c r="K60" s="50" t="n">
        <x:f>(K59*(1+Inputs!$B$12))*(1-H60)</x:f>
        <x:v>17873.244322016566</x:v>
      </x:c>
      <x:c r="L60" s="50" t="n">
        <x:f>L59*(1+Inputs!$B$13)+Q60</x:f>
        <x:v>10862.659631210377</x:v>
      </x:c>
      <x:c r="M60" s="50" t="n">
        <x:f>I60+J60+L60</x:f>
        <x:v>120604.66068666552</x:v>
      </x:c>
      <x:c r="N60" s="50" t="n">
        <x:f>F60+P60</x:f>
        <x:v>0</x:v>
      </x:c>
      <x:c r="O60" s="50" t="n">
        <x:f>IF(B60=1,0,O59+F59+P59)</x:f>
        <x:v>0</x:v>
      </x:c>
      <x:c r="P60" s="50" t="n">
        <x:f>MIN(G60,MAX(0,Inputs!$B$20-O60-F60))</x:f>
        <x:v>0</x:v>
      </x:c>
      <x:c r="Q60" s="50" t="n">
        <x:f>(C60-E60-F60)+(G60-P60)</x:f>
        <x:v>0</x:v>
      </x:c>
    </x:row>
    <x:row r="61">
      <x:c r="A61" s="41" t="n">
        <x:f>IF(B61=1,A60+1,A60)</x:f>
        <x:v>2029</x:v>
      </x:c>
      <x:c r="B61" s="41" t="n">
        <x:f>IF(B60=26,1,B60+1)</x:f>
        <x:v>8</x:v>
      </x:c>
      <x:c r="C61" s="48" t="n">
        <x:f>Inputs!$F$5</x:f>
        <x:v>800</x:v>
      </x:c>
      <x:c r="D61" s="50" t="n">
        <x:f>IF(B61=1,0,D60+E60)</x:f>
        <x:v>5600</x:v>
      </x:c>
      <x:c r="E61" s="50" t="n">
        <x:f>MIN(C61,MAX(0,Inputs!$B$7-D61))</x:f>
        <x:v>800</x:v>
      </x:c>
      <x:c r="F61" s="50" t="n">
        <x:f>MIN(C61-E61,MAX(0,Inputs!$B$20-O61))</x:f>
        <x:v>0</x:v>
      </x:c>
      <x:c r="G61" s="50" t="n">
        <x:f>0</x:f>
        <x:v>0</x:v>
      </x:c>
      <x:c r="H61" s="41" t="n">
        <x:f>0</x:f>
        <x:v>0</x:v>
      </x:c>
      <x:c r="I61" s="50" t="n">
        <x:f>(I60*(1+Inputs!$B$12))+E61</x:f>
        <x:v>62914.618316647444</x:v>
      </x:c>
      <x:c r="J61" s="50" t="n">
        <x:f>(J60*(1+Inputs!$B$12))+F61+P61</x:f>
        <x:v>47833.51186234438</x:v>
      </x:c>
      <x:c r="K61" s="50" t="n">
        <x:f>(K60*(1+Inputs!$B$12))*(1-H61)</x:f>
        <x:v>17906.815754571297</x:v>
      </x:c>
      <x:c r="L61" s="50" t="n">
        <x:f>L60*(1+Inputs!$B$13)+Q61</x:f>
        <x:v>10881.665530978276</x:v>
      </x:c>
      <x:c r="M61" s="50" t="n">
        <x:f>I61+J61+L61</x:f>
        <x:v>121629.7957099701</x:v>
      </x:c>
      <x:c r="N61" s="50" t="n">
        <x:f>F61+P61</x:f>
        <x:v>0</x:v>
      </x:c>
      <x:c r="O61" s="50" t="n">
        <x:f>IF(B61=1,0,O60+F60+P60)</x:f>
        <x:v>0</x:v>
      </x:c>
      <x:c r="P61" s="50" t="n">
        <x:f>MIN(G61,MAX(0,Inputs!$B$20-O61-F61))</x:f>
        <x:v>0</x:v>
      </x:c>
      <x:c r="Q61" s="50" t="n">
        <x:f>(C61-E61-F61)+(G61-P61)</x:f>
        <x:v>0</x:v>
      </x:c>
    </x:row>
    <x:row r="62">
      <x:c r="A62" s="41" t="n">
        <x:f>IF(B62=1,A61+1,A61)</x:f>
        <x:v>2029</x:v>
      </x:c>
      <x:c r="B62" s="41" t="n">
        <x:f>IF(B61=26,1,B61+1)</x:f>
        <x:v>9</x:v>
      </x:c>
      <x:c r="C62" s="48" t="n">
        <x:f>Inputs!$F$5</x:f>
        <x:v>800</x:v>
      </x:c>
      <x:c r="D62" s="50" t="n">
        <x:f>IF(B62=1,0,D61+E61)</x:f>
        <x:v>6400</x:v>
      </x:c>
      <x:c r="E62" s="50" t="n">
        <x:f>MIN(C62,MAX(0,Inputs!$B$7-D62))</x:f>
        <x:v>800</x:v>
      </x:c>
      <x:c r="F62" s="50" t="n">
        <x:f>MIN(C62-E62,MAX(0,Inputs!$B$20-O62))</x:f>
        <x:v>0</x:v>
      </x:c>
      <x:c r="G62" s="50" t="n">
        <x:f>SUM(N28:N53)*Inputs!$B$6</x:f>
        <x:v>3600</x:v>
      </x:c>
      <x:c r="H62" s="41" t="n">
        <x:f>0</x:f>
        <x:v>0</x:v>
      </x:c>
      <x:c r="I62" s="50" t="n">
        <x:f>(I61*(1+Inputs!$B$12))+E62</x:f>
        <x:v>63832.791258698155</x:v>
      </x:c>
      <x:c r="J62" s="50" t="n">
        <x:f>(J61*(1+Inputs!$B$12))+F62+P62</x:f>
        <x:v>51523.35786279123</x:v>
      </x:c>
      <x:c r="K62" s="50" t="n">
        <x:f>(K61*(1+Inputs!$B$12))*(1-H62)</x:f>
        <x:v>17940.450244568954</x:v>
      </x:c>
      <x:c r="L62" s="50" t="n">
        <x:f>L61*(1+Inputs!$B$13)+Q62</x:f>
        <x:v>10900.704684501541</x:v>
      </x:c>
      <x:c r="M62" s="50" t="n">
        <x:f>I62+J62+L62</x:f>
        <x:v>126256.85380599092</x:v>
      </x:c>
      <x:c r="N62" s="50" t="n">
        <x:f>F62+P62</x:f>
        <x:v>3600</x:v>
      </x:c>
      <x:c r="O62" s="50" t="n">
        <x:f>IF(B62=1,0,O61+F61+P61)</x:f>
        <x:v>0</x:v>
      </x:c>
      <x:c r="P62" s="50" t="n">
        <x:f>MIN(G62,MAX(0,Inputs!$B$20-O62-F62))</x:f>
        <x:v>3600</x:v>
      </x:c>
      <x:c r="Q62" s="50" t="n">
        <x:f>(C62-E62-F62)+(G62-P62)</x:f>
        <x:v>0</x:v>
      </x:c>
    </x:row>
    <x:row r="63">
      <x:c r="A63" s="41" t="n">
        <x:f>IF(B63=1,A62+1,A62)</x:f>
        <x:v>2029</x:v>
      </x:c>
      <x:c r="B63" s="41" t="n">
        <x:f>IF(B62=26,1,B62+1)</x:f>
        <x:v>10</x:v>
      </x:c>
      <x:c r="C63" s="48" t="n">
        <x:f>Inputs!$F$5</x:f>
        <x:v>800</x:v>
      </x:c>
      <x:c r="D63" s="50" t="n">
        <x:f>IF(B63=1,0,D62+E62)</x:f>
        <x:v>7200</x:v>
      </x:c>
      <x:c r="E63" s="50" t="n">
        <x:f>MIN(C63,MAX(0,Inputs!$B$7-D63))</x:f>
        <x:v>800</x:v>
      </x:c>
      <x:c r="F63" s="50" t="n">
        <x:f>MIN(C63-E63,MAX(0,Inputs!$B$20-O63))</x:f>
        <x:v>0</x:v>
      </x:c>
      <x:c r="G63" s="50" t="n">
        <x:f>0</x:f>
        <x:v>0</x:v>
      </x:c>
      <x:c r="H63" s="41" t="n">
        <x:f>0</x:f>
        <x:v>0</x:v>
      </x:c>
      <x:c r="I63" s="50" t="n">
        <x:f>(I62*(1+Inputs!$B$12))+E63</x:f>
        <x:v>64752.688811034626</x:v>
      </x:c>
      <x:c r="J63" s="50" t="n">
        <x:f>(J62*(1+Inputs!$B$12))+F63+P63</x:f>
        <x:v>51620.134525288544</x:v>
      </x:c>
      <x:c r="K63" s="50" t="n">
        <x:f>(K62*(1+Inputs!$B$12))*(1-H63)</x:f>
        <x:v>17974.14791045075</x:v>
      </x:c>
      <x:c r="L63" s="50" t="n">
        <x:f>L62*(1+Inputs!$B$13)+Q63</x:f>
        <x:v>10919.777149962749</x:v>
      </x:c>
      <x:c r="M63" s="50" t="n">
        <x:f>I63+J63+L63</x:f>
        <x:v>127292.60048628593</x:v>
      </x:c>
      <x:c r="N63" s="50" t="n">
        <x:f>F63+P63</x:f>
        <x:v>0</x:v>
      </x:c>
      <x:c r="O63" s="50" t="n">
        <x:f>IF(B63=1,0,O62+F62+P62)</x:f>
        <x:v>3600</x:v>
      </x:c>
      <x:c r="P63" s="50" t="n">
        <x:f>MIN(G63,MAX(0,Inputs!$B$20-O63-F63))</x:f>
        <x:v>0</x:v>
      </x:c>
      <x:c r="Q63" s="50" t="n">
        <x:f>(C63-E63-F63)+(G63-P63)</x:f>
        <x:v>0</x:v>
      </x:c>
    </x:row>
    <x:row r="64">
      <x:c r="A64" s="41" t="n">
        <x:f>IF(B64=1,A63+1,A63)</x:f>
        <x:v>2029</x:v>
      </x:c>
      <x:c r="B64" s="41" t="n">
        <x:f>IF(B63=26,1,B63+1)</x:f>
        <x:v>11</x:v>
      </x:c>
      <x:c r="C64" s="48" t="n">
        <x:f>Inputs!$F$5</x:f>
        <x:v>800</x:v>
      </x:c>
      <x:c r="D64" s="50" t="n">
        <x:f>IF(B64=1,0,D63+E63)</x:f>
        <x:v>8000</x:v>
      </x:c>
      <x:c r="E64" s="50" t="n">
        <x:f>MIN(C64,MAX(0,Inputs!$B$7-D64))</x:f>
        <x:v>0</x:v>
      </x:c>
      <x:c r="F64" s="50" t="n">
        <x:f>MIN(C64-E64,MAX(0,Inputs!$B$20-O64))</x:f>
        <x:v>800</x:v>
      </x:c>
      <x:c r="G64" s="50" t="n">
        <x:f>0</x:f>
        <x:v>0</x:v>
      </x:c>
      <x:c r="H64" s="41" t="n">
        <x:f>0</x:f>
        <x:v>0</x:v>
      </x:c>
      <x:c r="I64" s="50" t="n">
        <x:f>(I63*(1+Inputs!$B$12))+E64</x:f>
        <x:v>64874.314213003716</x:v>
      </x:c>
      <x:c r="J64" s="50" t="n">
        <x:f>(J63*(1+Inputs!$B$12))+F64+P64</x:f>
        <x:v>52517.09296402857</x:v>
      </x:c>
      <x:c r="K64" s="50" t="n">
        <x:f>(K63*(1+Inputs!$B$12))*(1-H64)</x:f>
        <x:v>18007.908870880365</x:v>
      </x:c>
      <x:c r="L64" s="50" t="n">
        <x:f>L63*(1+Inputs!$B$13)+Q64</x:f>
        <x:v>10938.882985646276</x:v>
      </x:c>
      <x:c r="M64" s="50" t="n">
        <x:f>I64+J64+L64</x:f>
        <x:v>128330.29016267858</x:v>
      </x:c>
      <x:c r="N64" s="50" t="n">
        <x:f>F64+P64</x:f>
        <x:v>800</x:v>
      </x:c>
      <x:c r="O64" s="50" t="n">
        <x:f>IF(B64=1,0,O63+F63+P63)</x:f>
        <x:v>3600</x:v>
      </x:c>
      <x:c r="P64" s="50" t="n">
        <x:f>MIN(G64,MAX(0,Inputs!$B$20-O64-F64))</x:f>
        <x:v>0</x:v>
      </x:c>
      <x:c r="Q64" s="50" t="n">
        <x:f>(C64-E64-F64)+(G64-P64)</x:f>
        <x:v>0</x:v>
      </x:c>
    </x:row>
    <x:row r="65">
      <x:c r="A65" s="41" t="n">
        <x:f>IF(B65=1,A64+1,A64)</x:f>
        <x:v>2029</x:v>
      </x:c>
      <x:c r="B65" s="41" t="n">
        <x:f>IF(B64=26,1,B64+1)</x:f>
        <x:v>12</x:v>
      </x:c>
      <x:c r="C65" s="48" t="n">
        <x:f>Inputs!$F$5</x:f>
        <x:v>800</x:v>
      </x:c>
      <x:c r="D65" s="50" t="n">
        <x:f>IF(B65=1,0,D64+E64)</x:f>
        <x:v>8000</x:v>
      </x:c>
      <x:c r="E65" s="50" t="n">
        <x:f>MIN(C65,MAX(0,Inputs!$B$7-D65))</x:f>
        <x:v>0</x:v>
      </x:c>
      <x:c r="F65" s="50" t="n">
        <x:f>MIN(C65-E65,MAX(0,Inputs!$B$20-O65))</x:f>
        <x:v>800</x:v>
      </x:c>
      <x:c r="G65" s="50" t="n">
        <x:f>0</x:f>
        <x:v>0</x:v>
      </x:c>
      <x:c r="H65" s="41" t="n">
        <x:f>0</x:f>
        <x:v>0</x:v>
      </x:c>
      <x:c r="I65" s="50" t="n">
        <x:f>(I64*(1+Inputs!$B$12))+E65</x:f>
        <x:v>64996.16806476656</x:v>
      </x:c>
      <x:c r="J65" s="50" t="n">
        <x:f>(J64*(1+Inputs!$B$12))+F65+P65</x:f>
        <x:v>53415.73616571303</x:v>
      </x:c>
      <x:c r="K65" s="50" t="n">
        <x:f>(K64*(1+Inputs!$B$12))*(1-H65)</x:f>
        <x:v>18041.733244744362</x:v>
      </x:c>
      <x:c r="L65" s="50" t="n">
        <x:f>L64*(1+Inputs!$B$13)+Q65</x:f>
        <x:v>10958.022249938478</x:v>
      </x:c>
      <x:c r="M65" s="50" t="n">
        <x:f>I65+J65+L65</x:f>
        <x:v>129369.92648041807</x:v>
      </x:c>
      <x:c r="N65" s="50" t="n">
        <x:f>F65+P65</x:f>
        <x:v>800</x:v>
      </x:c>
      <x:c r="O65" s="50" t="n">
        <x:f>IF(B65=1,0,O64+F64+P64)</x:f>
        <x:v>4400</x:v>
      </x:c>
      <x:c r="P65" s="50" t="n">
        <x:f>MIN(G65,MAX(0,Inputs!$B$20-O65-F65))</x:f>
        <x:v>0</x:v>
      </x:c>
      <x:c r="Q65" s="50" t="n">
        <x:f>(C65-E65-F65)+(G65-P65)</x:f>
        <x:v>0</x:v>
      </x:c>
    </x:row>
    <x:row r="66">
      <x:c r="A66" s="41" t="n">
        <x:f>IF(B66=1,A65+1,A65)</x:f>
        <x:v>2029</x:v>
      </x:c>
      <x:c r="B66" s="41" t="n">
        <x:f>IF(B65=26,1,B65+1)</x:f>
        <x:v>13</x:v>
      </x:c>
      <x:c r="C66" s="48" t="n">
        <x:f>Inputs!$F$5</x:f>
        <x:v>800</x:v>
      </x:c>
      <x:c r="D66" s="50" t="n">
        <x:f>IF(B66=1,0,D65+E65)</x:f>
        <x:v>8000</x:v>
      </x:c>
      <x:c r="E66" s="50" t="n">
        <x:f>MIN(C66,MAX(0,Inputs!$B$7-D66))</x:f>
        <x:v>0</x:v>
      </x:c>
      <x:c r="F66" s="50" t="n">
        <x:f>MIN(C66-E66,MAX(0,Inputs!$B$20-O66))</x:f>
        <x:v>800</x:v>
      </x:c>
      <x:c r="G66" s="50" t="n">
        <x:f>0</x:f>
        <x:v>0</x:v>
      </x:c>
      <x:c r="H66" s="41" t="n">
        <x:f>0</x:f>
        <x:v>0</x:v>
      </x:c>
      <x:c r="I66" s="50" t="n">
        <x:f>(I65*(1+Inputs!$B$12))+E66</x:f>
        <x:v>65118.250795421925</x:v>
      </x:c>
      <x:c r="J66" s="50" t="n">
        <x:f>(J65*(1+Inputs!$B$12))+F66+P66</x:f>
        <x:v>54316.06729484326</x:v>
      </x:c>
      <x:c r="K66" s="50" t="n">
        <x:f>(K65*(1+Inputs!$B$12))*(1-H66)</x:f>
        <x:v>18075.621151152616</x:v>
      </x:c>
      <x:c r="L66" s="50" t="n">
        <x:f>L65*(1+Inputs!$B$13)+Q66</x:f>
        <x:v>10977.195001327867</x:v>
      </x:c>
      <x:c r="M66" s="50" t="n">
        <x:f>I66+J66+L66</x:f>
        <x:v>130411.51309159305</x:v>
      </x:c>
      <x:c r="N66" s="50" t="n">
        <x:f>F66+P66</x:f>
        <x:v>800</x:v>
      </x:c>
      <x:c r="O66" s="50" t="n">
        <x:f>IF(B66=1,0,O65+F65+P65)</x:f>
        <x:v>5200</x:v>
      </x:c>
      <x:c r="P66" s="50" t="n">
        <x:f>MIN(G66,MAX(0,Inputs!$B$20-O66-F66))</x:f>
        <x:v>0</x:v>
      </x:c>
      <x:c r="Q66" s="50" t="n">
        <x:f>(C66-E66-F66)+(G66-P66)</x:f>
        <x:v>0</x:v>
      </x:c>
    </x:row>
    <x:row r="67">
      <x:c r="A67" s="41" t="n">
        <x:f>IF(B67=1,A66+1,A66)</x:f>
        <x:v>2029</x:v>
      </x:c>
      <x:c r="B67" s="41" t="n">
        <x:f>IF(B66=26,1,B66+1)</x:f>
        <x:v>14</x:v>
      </x:c>
      <x:c r="C67" s="48" t="n">
        <x:f>Inputs!$F$5</x:f>
        <x:v>800</x:v>
      </x:c>
      <x:c r="D67" s="50" t="n">
        <x:f>IF(B67=1,0,D66+E66)</x:f>
        <x:v>8000</x:v>
      </x:c>
      <x:c r="E67" s="50" t="n">
        <x:f>MIN(C67,MAX(0,Inputs!$B$7-D67))</x:f>
        <x:v>0</x:v>
      </x:c>
      <x:c r="F67" s="50" t="n">
        <x:f>MIN(C67-E67,MAX(0,Inputs!$B$20-O67))</x:f>
        <x:v>800</x:v>
      </x:c>
      <x:c r="G67" s="50" t="n">
        <x:f>0</x:f>
        <x:v>0</x:v>
      </x:c>
      <x:c r="H67" s="41" t="n">
        <x:f>0</x:f>
        <x:v>0</x:v>
      </x:c>
      <x:c r="I67" s="50" t="n">
        <x:f>(I66*(1+Inputs!$B$12))+E67</x:f>
        <x:v>65240.56283487452</x:v>
      </x:c>
      <x:c r="J67" s="50" t="n">
        <x:f>(J66*(1+Inputs!$B$12))+F67+P67</x:f>
        <x:v>55218.08952186451</x:v>
      </x:c>
      <x:c r="K67" s="50" t="n">
        <x:f>(K66*(1+Inputs!$B$12))*(1-H67)</x:f>
        <x:v>18109.572709438722</x:v>
      </x:c>
      <x:c r="L67" s="50" t="n">
        <x:f>L66*(1+Inputs!$B$13)+Q67</x:f>
        <x:v>10996.401298405288</x:v>
      </x:c>
      <x:c r="M67" s="50" t="n">
        <x:f>I67+J67+L67</x:f>
        <x:v>131455.05365514432</x:v>
      </x:c>
      <x:c r="N67" s="50" t="n">
        <x:f>F67+P67</x:f>
        <x:v>800</x:v>
      </x:c>
      <x:c r="O67" s="50" t="n">
        <x:f>IF(B67=1,0,O66+F66+P66)</x:f>
        <x:v>6000</x:v>
      </x:c>
      <x:c r="P67" s="50" t="n">
        <x:f>MIN(G67,MAX(0,Inputs!$B$20-O67-F67))</x:f>
        <x:v>0</x:v>
      </x:c>
      <x:c r="Q67" s="50" t="n">
        <x:f>(C67-E67-F67)+(G67-P67)</x:f>
        <x:v>0</x:v>
      </x:c>
    </x:row>
    <x:row r="68">
      <x:c r="A68" s="41" t="n">
        <x:f>IF(B68=1,A67+1,A67)</x:f>
        <x:v>2029</x:v>
      </x:c>
      <x:c r="B68" s="41" t="n">
        <x:f>IF(B67=26,1,B67+1)</x:f>
        <x:v>15</x:v>
      </x:c>
      <x:c r="C68" s="48" t="n">
        <x:f>Inputs!$F$5</x:f>
        <x:v>800</x:v>
      </x:c>
      <x:c r="D68" s="50" t="n">
        <x:f>IF(B68=1,0,D67+E67)</x:f>
        <x:v>8000</x:v>
      </x:c>
      <x:c r="E68" s="50" t="n">
        <x:f>MIN(C68,MAX(0,Inputs!$B$7-D68))</x:f>
        <x:v>0</x:v>
      </x:c>
      <x:c r="F68" s="50" t="n">
        <x:f>MIN(C68-E68,MAX(0,Inputs!$B$20-O68))</x:f>
        <x:v>800</x:v>
      </x:c>
      <x:c r="G68" s="50" t="n">
        <x:f>0</x:f>
        <x:v>0</x:v>
      </x:c>
      <x:c r="H68" s="41" t="n">
        <x:f>0</x:f>
        <x:v>0</x:v>
      </x:c>
      <x:c r="I68" s="50" t="n">
        <x:f>(I67*(1+Inputs!$B$12))+E68</x:f>
        <x:v>65363.10461383659</x:v>
      </x:c>
      <x:c r="J68" s="50" t="n">
        <x:f>(J67*(1+Inputs!$B$12))+F68+P68</x:f>
        <x:v>56121.80602317708</x:v>
      </x:c>
      <x:c r="K68" s="50" t="n">
        <x:f>(K67*(1+Inputs!$B$12))*(1-H68)</x:f>
        <x:v>18143.588039160422</x:v>
      </x:c>
      <x:c r="L68" s="50" t="n">
        <x:f>L67*(1+Inputs!$B$13)+Q68</x:f>
        <x:v>11015.6411998641</x:v>
      </x:c>
      <x:c r="M68" s="50" t="n">
        <x:f>I68+J68+L68</x:f>
        <x:v>132500.55183687777</x:v>
      </x:c>
      <x:c r="N68" s="50" t="n">
        <x:f>F68+P68</x:f>
        <x:v>800</x:v>
      </x:c>
      <x:c r="O68" s="50" t="n">
        <x:f>IF(B68=1,0,O67+F67+P67)</x:f>
        <x:v>6800</x:v>
      </x:c>
      <x:c r="P68" s="50" t="n">
        <x:f>MIN(G68,MAX(0,Inputs!$B$20-O68-F68))</x:f>
        <x:v>0</x:v>
      </x:c>
      <x:c r="Q68" s="50" t="n">
        <x:f>(C68-E68-F68)+(G68-P68)</x:f>
        <x:v>0</x:v>
      </x:c>
    </x:row>
    <x:row r="69">
      <x:c r="A69" s="41" t="n">
        <x:f>IF(B69=1,A68+1,A68)</x:f>
        <x:v>2029</x:v>
      </x:c>
      <x:c r="B69" s="41" t="n">
        <x:f>IF(B68=26,1,B68+1)</x:f>
        <x:v>16</x:v>
      </x:c>
      <x:c r="C69" s="48" t="n">
        <x:f>Inputs!$F$5</x:f>
        <x:v>800</x:v>
      </x:c>
      <x:c r="D69" s="50" t="n">
        <x:f>IF(B69=1,0,D68+E68)</x:f>
        <x:v>8000</x:v>
      </x:c>
      <x:c r="E69" s="50" t="n">
        <x:f>MIN(C69,MAX(0,Inputs!$B$7-D69))</x:f>
        <x:v>0</x:v>
      </x:c>
      <x:c r="F69" s="50" t="n">
        <x:f>MIN(C69-E69,MAX(0,Inputs!$B$20-O69))</x:f>
        <x:v>800</x:v>
      </x:c>
      <x:c r="G69" s="50" t="n">
        <x:f>0</x:f>
        <x:v>0</x:v>
      </x:c>
      <x:c r="H69" s="41" t="n">
        <x:f>0</x:f>
        <x:v>0</x:v>
      </x:c>
      <x:c r="I69" s="50" t="n">
        <x:f>(I68*(1+Inputs!$B$12))+E69</x:f>
        <x:v>65485.87656382936</x:v>
      </x:c>
      <x:c r="J69" s="50" t="n">
        <x:f>(J68*(1+Inputs!$B$12))+F69+P69</x:f>
        <x:v>57027.21998114754</x:v>
      </x:c>
      <x:c r="K69" s="50" t="n">
        <x:f>(K68*(1+Inputs!$B$12))*(1-H69)</x:f>
        <x:v>18177.667260100025</x:v>
      </x:c>
      <x:c r="L69" s="50" t="n">
        <x:f>L68*(1+Inputs!$B$13)+Q69</x:f>
        <x:v>11034.914764500354</x:v>
      </x:c>
      <x:c r="M69" s="50" t="n">
        <x:f>I69+J69+L69</x:f>
        <x:v>133548.01130947727</x:v>
      </x:c>
      <x:c r="N69" s="50" t="n">
        <x:f>F69+P69</x:f>
        <x:v>800</x:v>
      </x:c>
      <x:c r="O69" s="50" t="n">
        <x:f>IF(B69=1,0,O68+F68+P68)</x:f>
        <x:v>7600</x:v>
      </x:c>
      <x:c r="P69" s="50" t="n">
        <x:f>MIN(G69,MAX(0,Inputs!$B$20-O69-F69))</x:f>
        <x:v>0</x:v>
      </x:c>
      <x:c r="Q69" s="50" t="n">
        <x:f>(C69-E69-F69)+(G69-P69)</x:f>
        <x:v>0</x:v>
      </x:c>
    </x:row>
    <x:row r="70">
      <x:c r="A70" s="41" t="n">
        <x:f>IF(B70=1,A69+1,A69)</x:f>
        <x:v>2029</x:v>
      </x:c>
      <x:c r="B70" s="41" t="n">
        <x:f>IF(B69=26,1,B69+1)</x:f>
        <x:v>17</x:v>
      </x:c>
      <x:c r="C70" s="48" t="n">
        <x:f>Inputs!$F$5</x:f>
        <x:v>800</x:v>
      </x:c>
      <x:c r="D70" s="50" t="n">
        <x:f>IF(B70=1,0,D69+E69)</x:f>
        <x:v>8000</x:v>
      </x:c>
      <x:c r="E70" s="50" t="n">
        <x:f>MIN(C70,MAX(0,Inputs!$B$7-D70))</x:f>
        <x:v>0</x:v>
      </x:c>
      <x:c r="F70" s="50" t="n">
        <x:f>MIN(C70-E70,MAX(0,Inputs!$B$20-O70))</x:f>
        <x:v>800</x:v>
      </x:c>
      <x:c r="G70" s="50" t="n">
        <x:f>0</x:f>
        <x:v>0</x:v>
      </x:c>
      <x:c r="H70" s="41" t="n">
        <x:f>0</x:f>
        <x:v>0</x:v>
      </x:c>
      <x:c r="I70" s="50" t="n">
        <x:f>(I69*(1+Inputs!$B$12))+E70</x:f>
        <x:v>65608.8791171846</x:v>
      </x:c>
      <x:c r="J70" s="50" t="n">
        <x:f>(J69*(1+Inputs!$B$12))+F70+P70</x:f>
        <x:v>57934.3345841199</x:v>
      </x:c>
      <x:c r="K70" s="50" t="n">
        <x:f>(K69*(1+Inputs!$B$12))*(1-H70)</x:f>
        <x:v>18211.810492264824</x:v>
      </x:c>
      <x:c r="L70" s="50" t="n">
        <x:f>L69*(1+Inputs!$B$13)+Q70</x:f>
        <x:v>11054.222051212977</x:v>
      </x:c>
      <x:c r="M70" s="50" t="n">
        <x:f>I70+J70+L70</x:f>
        <x:v>134597.43575251746</x:v>
      </x:c>
      <x:c r="N70" s="50" t="n">
        <x:f>F70+P70</x:f>
        <x:v>800</x:v>
      </x:c>
      <x:c r="O70" s="50" t="n">
        <x:f>IF(B70=1,0,O69+F69+P69)</x:f>
        <x:v>8400</x:v>
      </x:c>
      <x:c r="P70" s="50" t="n">
        <x:f>MIN(G70,MAX(0,Inputs!$B$20-O70-F70))</x:f>
        <x:v>0</x:v>
      </x:c>
      <x:c r="Q70" s="50" t="n">
        <x:f>(C70-E70-F70)+(G70-P70)</x:f>
        <x:v>0</x:v>
      </x:c>
    </x:row>
    <x:row r="71">
      <x:c r="A71" s="41" t="n">
        <x:f>IF(B71=1,A70+1,A70)</x:f>
        <x:v>2029</x:v>
      </x:c>
      <x:c r="B71" s="41" t="n">
        <x:f>IF(B70=26,1,B70+1)</x:f>
        <x:v>18</x:v>
      </x:c>
      <x:c r="C71" s="48" t="n">
        <x:f>Inputs!$F$5</x:f>
        <x:v>800</x:v>
      </x:c>
      <x:c r="D71" s="50" t="n">
        <x:f>IF(B71=1,0,D70+E70)</x:f>
        <x:v>8000</x:v>
      </x:c>
      <x:c r="E71" s="50" t="n">
        <x:f>MIN(C71,MAX(0,Inputs!$B$7-D71))</x:f>
        <x:v>0</x:v>
      </x:c>
      <x:c r="F71" s="50" t="n">
        <x:f>MIN(C71-E71,MAX(0,Inputs!$B$20-O71))</x:f>
        <x:v>800</x:v>
      </x:c>
      <x:c r="G71" s="50" t="n">
        <x:f>0</x:f>
        <x:v>0</x:v>
      </x:c>
      <x:c r="H71" s="41" t="n">
        <x:f>0</x:f>
        <x:v>0</x:v>
      </x:c>
      <x:c r="I71" s="50" t="n">
        <x:f>(I70*(1+Inputs!$B$12))+E71</x:f>
        <x:v>65732.11270704611</x:v>
      </x:c>
      <x:c r="J71" s="50" t="n">
        <x:f>(J70*(1+Inputs!$B$12))+F71+P71</x:f>
        <x:v>58843.15302642687</x:v>
      </x:c>
      <x:c r="K71" s="50" t="n">
        <x:f>(K70*(1+Inputs!$B$12))*(1-H71)</x:f>
        <x:v>18246.017855887523</x:v>
      </x:c>
      <x:c r="L71" s="50" t="n">
        <x:f>L70*(1+Inputs!$B$13)+Q71</x:f>
        <x:v>11073.563119003946</x:v>
      </x:c>
      <x:c r="M71" s="50" t="n">
        <x:f>I71+J71+L71</x:f>
        <x:v>135648.82885247693</x:v>
      </x:c>
      <x:c r="N71" s="50" t="n">
        <x:f>F71+P71</x:f>
        <x:v>800</x:v>
      </x:c>
      <x:c r="O71" s="50" t="n">
        <x:f>IF(B71=1,0,O70+F70+P70)</x:f>
        <x:v>9200</x:v>
      </x:c>
      <x:c r="P71" s="50" t="n">
        <x:f>MIN(G71,MAX(0,Inputs!$B$20-O71-F71))</x:f>
        <x:v>0</x:v>
      </x:c>
      <x:c r="Q71" s="50" t="n">
        <x:f>(C71-E71-F71)+(G71-P71)</x:f>
        <x:v>0</x:v>
      </x:c>
    </x:row>
    <x:row r="72">
      <x:c r="A72" s="41" t="n">
        <x:f>IF(B72=1,A71+1,A71)</x:f>
        <x:v>2029</x:v>
      </x:c>
      <x:c r="B72" s="41" t="n">
        <x:f>IF(B71=26,1,B71+1)</x:f>
        <x:v>19</x:v>
      </x:c>
      <x:c r="C72" s="48" t="n">
        <x:f>Inputs!$F$5</x:f>
        <x:v>800</x:v>
      </x:c>
      <x:c r="D72" s="50" t="n">
        <x:f>IF(B72=1,0,D71+E71)</x:f>
        <x:v>8000</x:v>
      </x:c>
      <x:c r="E72" s="50" t="n">
        <x:f>MIN(C72,MAX(0,Inputs!$B$7-D72))</x:f>
        <x:v>0</x:v>
      </x:c>
      <x:c r="F72" s="50" t="n">
        <x:f>MIN(C72-E72,MAX(0,Inputs!$B$20-O72))</x:f>
        <x:v>800</x:v>
      </x:c>
      <x:c r="G72" s="50" t="n">
        <x:f>0</x:f>
        <x:v>0</x:v>
      </x:c>
      <x:c r="H72" s="41" t="n">
        <x:f>0</x:f>
        <x:v>0</x:v>
      </x:c>
      <x:c r="I72" s="50" t="n">
        <x:f>(I71*(1+Inputs!$B$12))+E72</x:f>
        <x:v>65855.57776737129</x:v>
      </x:c>
      <x:c r="J72" s="50" t="n">
        <x:f>(J71*(1+Inputs!$B$12))+F72+P72</x:f>
        <x:v>59753.67850840112</x:v>
      </x:c>
      <x:c r="K72" s="50" t="n">
        <x:f>(K71*(1+Inputs!$B$12))*(1-H72)</x:f>
        <x:v>18280.289471426666</x:v>
      </x:c>
      <x:c r="L72" s="50" t="n">
        <x:f>L71*(1+Inputs!$B$13)+Q72</x:f>
        <x:v>11092.938026978472</x:v>
      </x:c>
      <x:c r="M72" s="50" t="n">
        <x:f>I72+J72+L72</x:f>
        <x:v>136702.19430275087</x:v>
      </x:c>
      <x:c r="N72" s="50" t="n">
        <x:f>F72+P72</x:f>
        <x:v>800</x:v>
      </x:c>
      <x:c r="O72" s="50" t="n">
        <x:f>IF(B72=1,0,O71+F71+P71)</x:f>
        <x:v>10000</x:v>
      </x:c>
      <x:c r="P72" s="50" t="n">
        <x:f>MIN(G72,MAX(0,Inputs!$B$20-O72-F72))</x:f>
        <x:v>0</x:v>
      </x:c>
      <x:c r="Q72" s="50" t="n">
        <x:f>(C72-E72-F72)+(G72-P72)</x:f>
        <x:v>0</x:v>
      </x:c>
    </x:row>
    <x:row r="73">
      <x:c r="A73" s="41" t="n">
        <x:f>IF(B73=1,A72+1,A72)</x:f>
        <x:v>2029</x:v>
      </x:c>
      <x:c r="B73" s="41" t="n">
        <x:f>IF(B72=26,1,B72+1)</x:f>
        <x:v>20</x:v>
      </x:c>
      <x:c r="C73" s="48" t="n">
        <x:f>Inputs!$F$5</x:f>
        <x:v>800</x:v>
      </x:c>
      <x:c r="D73" s="50" t="n">
        <x:f>IF(B73=1,0,D72+E72)</x:f>
        <x:v>8000</x:v>
      </x:c>
      <x:c r="E73" s="50" t="n">
        <x:f>MIN(C73,MAX(0,Inputs!$B$7-D73))</x:f>
        <x:v>0</x:v>
      </x:c>
      <x:c r="F73" s="50" t="n">
        <x:f>MIN(C73-E73,MAX(0,Inputs!$B$20-O73))</x:f>
        <x:v>800</x:v>
      </x:c>
      <x:c r="G73" s="50" t="n">
        <x:f>0</x:f>
        <x:v>0</x:v>
      </x:c>
      <x:c r="H73" s="41" t="n">
        <x:f>0</x:f>
        <x:v>0</x:v>
      </x:c>
      <x:c r="I73" s="50" t="n">
        <x:f>(I72*(1+Inputs!$B$12))+E73</x:f>
        <x:v>65979.27473293264</x:v>
      </x:c>
      <x:c r="J73" s="50" t="n">
        <x:f>(J72*(1+Inputs!$B$12))+F73+P73</x:f>
        <x:v>60665.91423638648</x:v>
      </x:c>
      <x:c r="K73" s="50" t="n">
        <x:f>(K72*(1+Inputs!$B$12))*(1-H73)</x:f>
        <x:v>18314.62545956705</x:v>
      </x:c>
      <x:c r="L73" s="50" t="n">
        <x:f>L72*(1+Inputs!$B$13)+Q73</x:f>
        <x:v>11112.34683434518</x:v>
      </x:c>
      <x:c r="M73" s="50" t="n">
        <x:f>I73+J73+L73</x:f>
        <x:v>137757.5358036643</x:v>
      </x:c>
      <x:c r="N73" s="50" t="n">
        <x:f>F73+P73</x:f>
        <x:v>800</x:v>
      </x:c>
      <x:c r="O73" s="50" t="n">
        <x:f>IF(B73=1,0,O72+F72+P72)</x:f>
        <x:v>10800</x:v>
      </x:c>
      <x:c r="P73" s="50" t="n">
        <x:f>MIN(G73,MAX(0,Inputs!$B$20-O73-F73))</x:f>
        <x:v>0</x:v>
      </x:c>
      <x:c r="Q73" s="50" t="n">
        <x:f>(C73-E73-F73)+(G73-P73)</x:f>
        <x:v>0</x:v>
      </x:c>
    </x:row>
    <x:row r="74">
      <x:c r="A74" s="41" t="n">
        <x:f>IF(B74=1,A73+1,A73)</x:f>
        <x:v>2029</x:v>
      </x:c>
      <x:c r="B74" s="41" t="n">
        <x:f>IF(B73=26,1,B73+1)</x:f>
        <x:v>21</x:v>
      </x:c>
      <x:c r="C74" s="48" t="n">
        <x:f>Inputs!$F$5</x:f>
        <x:v>800</x:v>
      </x:c>
      <x:c r="D74" s="50" t="n">
        <x:f>IF(B74=1,0,D73+E73)</x:f>
        <x:v>8000</x:v>
      </x:c>
      <x:c r="E74" s="50" t="n">
        <x:f>MIN(C74,MAX(0,Inputs!$B$7-D74))</x:f>
        <x:v>0</x:v>
      </x:c>
      <x:c r="F74" s="50" t="n">
        <x:f>MIN(C74-E74,MAX(0,Inputs!$B$20-O74))</x:f>
        <x:v>400</x:v>
      </x:c>
      <x:c r="G74" s="50" t="n">
        <x:f>0</x:f>
        <x:v>0</x:v>
      </x:c>
      <x:c r="H74" s="41" t="n">
        <x:f>0</x:f>
        <x:v>0</x:v>
      </x:c>
      <x:c r="I74" s="50" t="n">
        <x:f>(I73*(1+Inputs!$B$12))+E74</x:f>
        <x:v>66103.20403931929</x:v>
      </x:c>
      <x:c r="J74" s="50" t="n">
        <x:f>(J73*(1+Inputs!$B$12))+F74+P74</x:f>
        <x:v>61179.86342274931</x:v>
      </x:c>
      <x:c r="K74" s="50" t="n">
        <x:f>(K73*(1+Inputs!$B$12))*(1-H74)</x:f>
        <x:v>18349.025941220156</x:v>
      </x:c>
      <x:c r="L74" s="50" t="n">
        <x:f>L73*(1+Inputs!$B$13)+Q74</x:f>
        <x:v>11531.789600416289</x:v>
      </x:c>
      <x:c r="M74" s="50" t="n">
        <x:f>I74+J74+L74</x:f>
        <x:v>138814.8570624849</x:v>
      </x:c>
      <x:c r="N74" s="50" t="n">
        <x:f>F74+P74</x:f>
        <x:v>400</x:v>
      </x:c>
      <x:c r="O74" s="50" t="n">
        <x:f>IF(B74=1,0,O73+F73+P73)</x:f>
        <x:v>11600</x:v>
      </x:c>
      <x:c r="P74" s="50" t="n">
        <x:f>MIN(G74,MAX(0,Inputs!$B$20-O74-F74))</x:f>
        <x:v>0</x:v>
      </x:c>
      <x:c r="Q74" s="50" t="n">
        <x:f>(C74-E74-F74)+(G74-P74)</x:f>
        <x:v>400</x:v>
      </x:c>
    </x:row>
    <x:row r="75">
      <x:c r="A75" s="41" t="n">
        <x:f>IF(B75=1,A74+1,A74)</x:f>
        <x:v>2029</x:v>
      </x:c>
      <x:c r="B75" s="41" t="n">
        <x:f>IF(B74=26,1,B74+1)</x:f>
        <x:v>22</x:v>
      </x:c>
      <x:c r="C75" s="48" t="n">
        <x:f>Inputs!$F$5</x:f>
        <x:v>800</x:v>
      </x:c>
      <x:c r="D75" s="50" t="n">
        <x:f>IF(B75=1,0,D74+E74)</x:f>
        <x:v>8000</x:v>
      </x:c>
      <x:c r="E75" s="50" t="n">
        <x:f>MIN(C75,MAX(0,Inputs!$B$7-D75))</x:f>
        <x:v>0</x:v>
      </x:c>
      <x:c r="F75" s="50" t="n">
        <x:f>MIN(C75-E75,MAX(0,Inputs!$B$20-O75))</x:f>
        <x:v>0</x:v>
      </x:c>
      <x:c r="G75" s="50" t="n">
        <x:f>0</x:f>
        <x:v>0</x:v>
      </x:c>
      <x:c r="H75" s="41" t="n">
        <x:f>0</x:f>
        <x:v>0</x:v>
      </x:c>
      <x:c r="I75" s="50" t="n">
        <x:f>(I74*(1+Inputs!$B$12))+E75</x:f>
        <x:v>66227.36612293853</x:v>
      </x:c>
      <x:c r="J75" s="50" t="n">
        <x:f>(J74*(1+Inputs!$B$12))+F75+P75</x:f>
        <x:v>61294.77796325466</x:v>
      </x:c>
      <x:c r="K75" s="50" t="n">
        <x:f>(K74*(1+Inputs!$B$12))*(1-H75)</x:f>
        <x:v>18383.49103752457</x:v>
      </x:c>
      <x:c r="L75" s="50" t="n">
        <x:f>L74*(1+Inputs!$B$13)+Q75</x:f>
        <x:v>12351.966246351167</x:v>
      </x:c>
      <x:c r="M75" s="50" t="n">
        <x:f>I75+J75+L75</x:f>
        <x:v>139874.11033254437</x:v>
      </x:c>
      <x:c r="N75" s="50" t="n">
        <x:f>F75+P75</x:f>
        <x:v>0</x:v>
      </x:c>
      <x:c r="O75" s="50" t="n">
        <x:f>IF(B75=1,0,O74+F74+P74)</x:f>
        <x:v>12000</x:v>
      </x:c>
      <x:c r="P75" s="50" t="n">
        <x:f>MIN(G75,MAX(0,Inputs!$B$20-O75-F75))</x:f>
        <x:v>0</x:v>
      </x:c>
      <x:c r="Q75" s="50" t="n">
        <x:f>(C75-E75-F75)+(G75-P75)</x:f>
        <x:v>800</x:v>
      </x:c>
    </x:row>
    <x:row r="76">
      <x:c r="A76" s="41" t="n">
        <x:f>IF(B76=1,A75+1,A75)</x:f>
        <x:v>2029</x:v>
      </x:c>
      <x:c r="B76" s="41" t="n">
        <x:f>IF(B75=26,1,B75+1)</x:f>
        <x:v>23</x:v>
      </x:c>
      <x:c r="C76" s="48" t="n">
        <x:f>Inputs!$F$5</x:f>
        <x:v>800</x:v>
      </x:c>
      <x:c r="D76" s="50" t="n">
        <x:f>IF(B76=1,0,D75+E75)</x:f>
        <x:v>8000</x:v>
      </x:c>
      <x:c r="E76" s="50" t="n">
        <x:f>MIN(C76,MAX(0,Inputs!$B$7-D76))</x:f>
        <x:v>0</x:v>
      </x:c>
      <x:c r="F76" s="50" t="n">
        <x:f>MIN(C76-E76,MAX(0,Inputs!$B$20-O76))</x:f>
        <x:v>0</x:v>
      </x:c>
      <x:c r="G76" s="50" t="n">
        <x:f>0</x:f>
        <x:v>0</x:v>
      </x:c>
      <x:c r="H76" s="41" t="n">
        <x:f>0</x:f>
        <x:v>0</x:v>
      </x:c>
      <x:c r="I76" s="50" t="n">
        <x:f>(I75*(1+Inputs!$B$12))+E76</x:f>
        <x:v>66351.76142101739</x:v>
      </x:c>
      <x:c r="J76" s="50" t="n">
        <x:f>(J75*(1+Inputs!$B$12))+F76+P76</x:f>
        <x:v>61409.90834849847</x:v>
      </x:c>
      <x:c r="K76" s="50" t="n">
        <x:f>(K75*(1+Inputs!$B$12))*(1-H76)</x:f>
        <x:v>18418.020869846423</x:v>
      </x:c>
      <x:c r="L76" s="50" t="n">
        <x:f>L75*(1+Inputs!$B$13)+Q76</x:f>
        <x:v>13173.577917929288</x:v>
      </x:c>
      <x:c r="M76" s="50" t="n">
        <x:f>I76+J76+L76</x:f>
        <x:v>140935.24768744514</x:v>
      </x:c>
      <x:c r="N76" s="50" t="n">
        <x:f>F76+P76</x:f>
        <x:v>0</x:v>
      </x:c>
      <x:c r="O76" s="50" t="n">
        <x:f>IF(B76=1,0,O75+F75+P75)</x:f>
        <x:v>12000</x:v>
      </x:c>
      <x:c r="P76" s="50" t="n">
        <x:f>MIN(G76,MAX(0,Inputs!$B$20-O76-F76))</x:f>
        <x:v>0</x:v>
      </x:c>
      <x:c r="Q76" s="50" t="n">
        <x:f>(C76-E76-F76)+(G76-P76)</x:f>
        <x:v>800</x:v>
      </x:c>
    </x:row>
    <x:row r="77">
      <x:c r="A77" s="41" t="n">
        <x:f>IF(B77=1,A76+1,A76)</x:f>
        <x:v>2029</x:v>
      </x:c>
      <x:c r="B77" s="41" t="n">
        <x:f>IF(B76=26,1,B76+1)</x:f>
        <x:v>24</x:v>
      </x:c>
      <x:c r="C77" s="48" t="n">
        <x:f>Inputs!$F$5</x:f>
        <x:v>800</x:v>
      </x:c>
      <x:c r="D77" s="50" t="n">
        <x:f>IF(B77=1,0,D76+E76)</x:f>
        <x:v>8000</x:v>
      </x:c>
      <x:c r="E77" s="50" t="n">
        <x:f>MIN(C77,MAX(0,Inputs!$B$7-D77))</x:f>
        <x:v>0</x:v>
      </x:c>
      <x:c r="F77" s="50" t="n">
        <x:f>MIN(C77-E77,MAX(0,Inputs!$B$20-O77))</x:f>
        <x:v>0</x:v>
      </x:c>
      <x:c r="G77" s="50" t="n">
        <x:f>0</x:f>
        <x:v>0</x:v>
      </x:c>
      <x:c r="H77" s="41" t="n">
        <x:f>0</x:f>
        <x:v>0</x:v>
      </x:c>
      <x:c r="I77" s="50" t="n">
        <x:f>(I76*(1+Inputs!$B$12))+E77</x:f>
        <x:v>66476.39037160412</x:v>
      </x:c>
      <x:c r="J77" s="50" t="n">
        <x:f>(J76*(1+Inputs!$B$12))+F77+P77</x:f>
        <x:v>61525.25498390334</x:v>
      </x:c>
      <x:c r="K77" s="50" t="n">
        <x:f>(K76*(1+Inputs!$B$12))*(1-H77)</x:f>
        <x:v>18452.6155597798</x:v>
      </x:c>
      <x:c r="L77" s="50" t="n">
        <x:f>L76*(1+Inputs!$B$13)+Q77</x:f>
        <x:v>13996.627125949522</x:v>
      </x:c>
      <x:c r="M77" s="50" t="n">
        <x:f>I77+J77+L77</x:f>
        <x:v>141998.27248145698</x:v>
      </x:c>
      <x:c r="N77" s="50" t="n">
        <x:f>F77+P77</x:f>
        <x:v>0</x:v>
      </x:c>
      <x:c r="O77" s="50" t="n">
        <x:f>IF(B77=1,0,O76+F76+P76)</x:f>
        <x:v>12000</x:v>
      </x:c>
      <x:c r="P77" s="50" t="n">
        <x:f>MIN(G77,MAX(0,Inputs!$B$20-O77-F77))</x:f>
        <x:v>0</x:v>
      </x:c>
      <x:c r="Q77" s="50" t="n">
        <x:f>(C77-E77-F77)+(G77-P77)</x:f>
        <x:v>800</x:v>
      </x:c>
    </x:row>
    <x:row r="78">
      <x:c r="A78" s="41" t="n">
        <x:f>IF(B78=1,A77+1,A77)</x:f>
        <x:v>2029</x:v>
      </x:c>
      <x:c r="B78" s="41" t="n">
        <x:f>IF(B77=26,1,B77+1)</x:f>
        <x:v>25</x:v>
      </x:c>
      <x:c r="C78" s="48" t="n">
        <x:f>Inputs!$F$5</x:f>
        <x:v>800</x:v>
      </x:c>
      <x:c r="D78" s="50" t="n">
        <x:f>IF(B78=1,0,D77+E77)</x:f>
        <x:v>8000</x:v>
      </x:c>
      <x:c r="E78" s="50" t="n">
        <x:f>MIN(C78,MAX(0,Inputs!$B$7-D78))</x:f>
        <x:v>0</x:v>
      </x:c>
      <x:c r="F78" s="50" t="n">
        <x:f>MIN(C78-E78,MAX(0,Inputs!$B$20-O78))</x:f>
        <x:v>0</x:v>
      </x:c>
      <x:c r="G78" s="50" t="n">
        <x:f>0</x:f>
        <x:v>0</x:v>
      </x:c>
      <x:c r="H78" s="41" t="n">
        <x:f>0</x:f>
        <x:v>0</x:v>
      </x:c>
      <x:c r="I78" s="50" t="n">
        <x:f>(I77*(1+Inputs!$B$12))+E78</x:f>
        <x:v>66601.25341356976</x:v>
      </x:c>
      <x:c r="J78" s="50" t="n">
        <x:f>(J77*(1+Inputs!$B$12))+F78+P78</x:f>
        <x:v>61640.818275653364</x:v>
      </x:c>
      <x:c r="K78" s="50" t="n">
        <x:f>(K77*(1+Inputs!$B$12))*(1-H78)</x:f>
        <x:v>18487.27522914718</x:v>
      </x:c>
      <x:c r="L78" s="50" t="n">
        <x:f>L77*(1+Inputs!$B$13)+Q78</x:f>
        <x:v>14821.116385603773</x:v>
      </x:c>
      <x:c r="M78" s="50" t="n">
        <x:f>I78+J78+L78</x:f>
        <x:v>143063.1880748269</x:v>
      </x:c>
      <x:c r="N78" s="50" t="n">
        <x:f>F78+P78</x:f>
        <x:v>0</x:v>
      </x:c>
      <x:c r="O78" s="50" t="n">
        <x:f>IF(B78=1,0,O77+F77+P77)</x:f>
        <x:v>12000</x:v>
      </x:c>
      <x:c r="P78" s="50" t="n">
        <x:f>MIN(G78,MAX(0,Inputs!$B$20-O78-F78))</x:f>
        <x:v>0</x:v>
      </x:c>
      <x:c r="Q78" s="50" t="n">
        <x:f>(C78-E78-F78)+(G78-P78)</x:f>
        <x:v>800</x:v>
      </x:c>
    </x:row>
    <x:row r="79">
      <x:c r="A79" s="41" t="n">
        <x:f>IF(B79=1,A78+1,A78)</x:f>
        <x:v>2029</x:v>
      </x:c>
      <x:c r="B79" s="41" t="n">
        <x:f>IF(B78=26,1,B78+1)</x:f>
        <x:v>26</x:v>
      </x:c>
      <x:c r="C79" s="48" t="n">
        <x:f>Inputs!$F$5</x:f>
        <x:v>800</x:v>
      </x:c>
      <x:c r="D79" s="50" t="n">
        <x:f>IF(B79=1,0,D78+E78)</x:f>
        <x:v>8000</x:v>
      </x:c>
      <x:c r="E79" s="50" t="n">
        <x:f>MIN(C79,MAX(0,Inputs!$B$7-D79))</x:f>
        <x:v>0</x:v>
      </x:c>
      <x:c r="F79" s="50" t="n">
        <x:f>MIN(C79-E79,MAX(0,Inputs!$B$20-O79))</x:f>
        <x:v>0</x:v>
      </x:c>
      <x:c r="G79" s="50" t="n">
        <x:f>0</x:f>
        <x:v>0</x:v>
      </x:c>
      <x:c r="H79" s="41" t="n">
        <x:f>IF(A79=Inputs!$B$8,1,0)</x:f>
        <x:v>0</x:v>
      </x:c>
      <x:c r="I79" s="50" t="n">
        <x:f>(I78*(1+Inputs!$B$12))+E79</x:f>
        <x:v>66726.3509866097</x:v>
      </x:c>
      <x:c r="J79" s="50" t="n">
        <x:f>(J78*(1+Inputs!$B$12))+F79+P79</x:f>
        <x:v>61756.59863069558</x:v>
      </x:c>
      <x:c r="K79" s="50" t="n">
        <x:f>(K78*(1+Inputs!$B$12))*(1-H79)</x:f>
        <x:v>18521.99999999986</x:v>
      </x:c>
      <x:c r="L79" s="50" t="n">
        <x:f>L78*(1+Inputs!$B$13)+Q79</x:f>
        <x:v>15647.048216484658</x:v>
      </x:c>
      <x:c r="M79" s="50" t="n">
        <x:f>I79+J79+L79</x:f>
        <x:v>144129.99783378994</x:v>
      </x:c>
      <x:c r="N79" s="50" t="n">
        <x:f>F79+P79</x:f>
        <x:v>0</x:v>
      </x:c>
      <x:c r="O79" s="50" t="n">
        <x:f>IF(B79=1,0,O78+F78+P78)</x:f>
        <x:v>12000</x:v>
      </x:c>
      <x:c r="P79" s="50" t="n">
        <x:f>MIN(G79,MAX(0,Inputs!$B$20-O79-F79))</x:f>
        <x:v>0</x:v>
      </x:c>
      <x:c r="Q79" s="50" t="n">
        <x:f>(C79-E79-F79)+(G79-P79)</x:f>
        <x:v>800</x:v>
      </x:c>
    </x:row>
    <x:row r="80">
      <x:c r="A80" s="41" t="n">
        <x:f>IF(B80=1,A79+1,A79)</x:f>
        <x:v>2030</x:v>
      </x:c>
      <x:c r="B80" s="41" t="n">
        <x:f>IF(B79=26,1,B79+1)</x:f>
        <x:v>1</x:v>
      </x:c>
      <x:c r="C80" s="48" t="n">
        <x:f>Inputs!$F$6</x:f>
        <x:v>600</x:v>
      </x:c>
      <x:c r="D80" s="50" t="n">
        <x:f>IF(B80=1,0,D79+E79)</x:f>
        <x:v>0</x:v>
      </x:c>
      <x:c r="E80" s="50" t="n">
        <x:f>MIN(C80,MAX(0,Inputs!$B$7-D80))</x:f>
        <x:v>600</x:v>
      </x:c>
      <x:c r="F80" s="50" t="n">
        <x:f>MIN(C80-E80,MAX(0,Inputs!$B$20-O80))</x:f>
        <x:v>0</x:v>
      </x:c>
      <x:c r="G80" s="50" t="n">
        <x:f>0</x:f>
        <x:v>0</x:v>
      </x:c>
      <x:c r="H80" s="41" t="n">
        <x:f>0</x:f>
        <x:v>0</x:v>
      </x:c>
      <x:c r="I80" s="50" t="n">
        <x:f>(I79*(1+Inputs!$B$12))+E80</x:f>
        <x:v>67451.68353124519</x:v>
      </x:c>
      <x:c r="J80" s="50" t="n">
        <x:f>(J79*(1+Inputs!$B$12))+F80+P80</x:f>
        <x:v>61872.59645674141</x:v>
      </x:c>
      <x:c r="K80" s="50" t="n">
        <x:f>(K79*(1+Inputs!$B$12))*(1-H80)</x:f>
        <x:v>18556.789994618397</x:v>
      </x:c>
      <x:c r="L80" s="50" t="n">
        <x:f>L79*(1+Inputs!$B$13)+Q80</x:f>
        <x:v>15674.42514259321</x:v>
      </x:c>
      <x:c r="M80" s="50" t="n">
        <x:f>I80+J80+L80</x:f>
        <x:v>144998.70513057982</x:v>
      </x:c>
      <x:c r="N80" s="50" t="n">
        <x:f>F80+P80</x:f>
        <x:v>0</x:v>
      </x:c>
      <x:c r="O80" s="50" t="n">
        <x:f>IF(B80=1,0,O79+F79+P79)</x:f>
        <x:v>0</x:v>
      </x:c>
      <x:c r="P80" s="50" t="n">
        <x:f>MIN(G80,MAX(0,Inputs!$B$20-O80-F80))</x:f>
        <x:v>0</x:v>
      </x:c>
      <x:c r="Q80" s="50" t="n">
        <x:f>(C80-E80-F80)+(G80-P80)</x:f>
        <x:v>0</x:v>
      </x:c>
    </x:row>
    <x:row r="81">
      <x:c r="A81" s="41" t="n">
        <x:f>IF(B81=1,A80+1,A80)</x:f>
        <x:v>2030</x:v>
      </x:c>
      <x:c r="B81" s="41" t="n">
        <x:f>IF(B80=26,1,B80+1)</x:f>
        <x:v>2</x:v>
      </x:c>
      <x:c r="C81" s="48" t="n">
        <x:f>Inputs!$F$6</x:f>
        <x:v>600</x:v>
      </x:c>
      <x:c r="D81" s="50" t="n">
        <x:f>IF(B81=1,0,D80+E80)</x:f>
        <x:v>600</x:v>
      </x:c>
      <x:c r="E81" s="50" t="n">
        <x:f>MIN(C81,MAX(0,Inputs!$B$7-D81))</x:f>
        <x:v>600</x:v>
      </x:c>
      <x:c r="F81" s="50" t="n">
        <x:f>MIN(C81-E81,MAX(0,Inputs!$B$20-O81))</x:f>
        <x:v>0</x:v>
      </x:c>
      <x:c r="G81" s="50" t="n">
        <x:f>0</x:f>
        <x:v>0</x:v>
      </x:c>
      <x:c r="H81" s="41" t="n">
        <x:f>0</x:f>
        <x:v>0</x:v>
      </x:c>
      <x:c r="I81" s="50" t="n">
        <x:f>(I80*(1+Inputs!$B$12))+E81</x:f>
        <x:v>68178.3784727776</x:v>
      </x:c>
      <x:c r="J81" s="50" t="n">
        <x:f>(J80*(1+Inputs!$B$12))+F81+P81</x:f>
        <x:v>61988.81216226807</x:v>
      </x:c>
      <x:c r="K81" s="50" t="n">
        <x:f>(K80*(1+Inputs!$B$12))*(1-H81)</x:f>
        <x:v>18591.64533551301</x:v>
      </x:c>
      <x:c r="L81" s="50" t="n">
        <x:f>L80*(1+Inputs!$B$13)+Q81</x:f>
        <x:v>15701.84996885985</x:v>
      </x:c>
      <x:c r="M81" s="50" t="n">
        <x:f>I81+J81+L81</x:f>
        <x:v>145869.0406039055</x:v>
      </x:c>
      <x:c r="N81" s="50" t="n">
        <x:f>F81+P81</x:f>
        <x:v>0</x:v>
      </x:c>
      <x:c r="O81" s="50" t="n">
        <x:f>IF(B81=1,0,O80+F80+P80)</x:f>
        <x:v>0</x:v>
      </x:c>
      <x:c r="P81" s="50" t="n">
        <x:f>MIN(G81,MAX(0,Inputs!$B$20-O81-F81))</x:f>
        <x:v>0</x:v>
      </x:c>
      <x:c r="Q81" s="50" t="n">
        <x:f>(C81-E81-F81)+(G81-P81)</x:f>
        <x:v>0</x:v>
      </x:c>
    </x:row>
    <x:row r="82">
      <x:c r="A82" s="41" t="n">
        <x:f>IF(B82=1,A81+1,A81)</x:f>
        <x:v>2030</x:v>
      </x:c>
      <x:c r="B82" s="41" t="n">
        <x:f>IF(B81=26,1,B81+1)</x:f>
        <x:v>3</x:v>
      </x:c>
      <x:c r="C82" s="48" t="n">
        <x:f>Inputs!$F$6</x:f>
        <x:v>600</x:v>
      </x:c>
      <x:c r="D82" s="50" t="n">
        <x:f>IF(B82=1,0,D81+E81)</x:f>
        <x:v>1200</x:v>
      </x:c>
      <x:c r="E82" s="50" t="n">
        <x:f>MIN(C82,MAX(0,Inputs!$B$7-D82))</x:f>
        <x:v>600</x:v>
      </x:c>
      <x:c r="F82" s="50" t="n">
        <x:f>MIN(C82-E82,MAX(0,Inputs!$B$20-O82))</x:f>
        <x:v>0</x:v>
      </x:c>
      <x:c r="G82" s="50" t="n">
        <x:f>0</x:f>
        <x:v>0</x:v>
      </x:c>
      <x:c r="H82" s="41" t="n">
        <x:f>0</x:f>
        <x:v>0</x:v>
      </x:c>
      <x:c r="I82" s="50" t="n">
        <x:f>(I81*(1+Inputs!$B$12))+E82</x:f>
        <x:v>68906.43837020597</x:v>
      </x:c>
      <x:c r="J82" s="50" t="n">
        <x:f>(J81*(1+Inputs!$B$12))+F82+P82</x:f>
        <x:v>62105.24615652002</x:v>
      </x:c>
      <x:c r="K82" s="50" t="n">
        <x:f>(K81*(1+Inputs!$B$12))*(1-H82)</x:f>
        <x:v>18626.566145424047</x:v>
      </x:c>
      <x:c r="L82" s="50" t="n">
        <x:f>L81*(1+Inputs!$B$13)+Q82</x:f>
        <x:v>15729.322779093294</x:v>
      </x:c>
      <x:c r="M82" s="50" t="n">
        <x:f>I82+J82+L82</x:f>
        <x:v>146741.00730581928</x:v>
      </x:c>
      <x:c r="N82" s="50" t="n">
        <x:f>F82+P82</x:f>
        <x:v>0</x:v>
      </x:c>
      <x:c r="O82" s="50" t="n">
        <x:f>IF(B82=1,0,O81+F81+P81)</x:f>
        <x:v>0</x:v>
      </x:c>
      <x:c r="P82" s="50" t="n">
        <x:f>MIN(G82,MAX(0,Inputs!$B$20-O82-F82))</x:f>
        <x:v>0</x:v>
      </x:c>
      <x:c r="Q82" s="50" t="n">
        <x:f>(C82-E82-F82)+(G82-P82)</x:f>
        <x:v>0</x:v>
      </x:c>
    </x:row>
    <x:row r="83">
      <x:c r="A83" s="41" t="n">
        <x:f>IF(B83=1,A82+1,A82)</x:f>
        <x:v>2030</x:v>
      </x:c>
      <x:c r="B83" s="41" t="n">
        <x:f>IF(B82=26,1,B82+1)</x:f>
        <x:v>4</x:v>
      </x:c>
      <x:c r="C83" s="48" t="n">
        <x:f>Inputs!$F$6</x:f>
        <x:v>600</x:v>
      </x:c>
      <x:c r="D83" s="50" t="n">
        <x:f>IF(B83=1,0,D82+E82)</x:f>
        <x:v>1800</x:v>
      </x:c>
      <x:c r="E83" s="50" t="n">
        <x:f>MIN(C83,MAX(0,Inputs!$B$7-D83))</x:f>
        <x:v>600</x:v>
      </x:c>
      <x:c r="F83" s="50" t="n">
        <x:f>MIN(C83-E83,MAX(0,Inputs!$B$20-O83))</x:f>
        <x:v>0</x:v>
      </x:c>
      <x:c r="G83" s="50" t="n">
        <x:f>0</x:f>
        <x:v>0</x:v>
      </x:c>
      <x:c r="H83" s="41" t="n">
        <x:f>0</x:f>
        <x:v>0</x:v>
      </x:c>
      <x:c r="I83" s="50" t="n">
        <x:f>(I82*(1+Inputs!$B$12))+E83</x:f>
        <x:v>69635.86578733596</x:v>
      </x:c>
      <x:c r="J83" s="50" t="n">
        <x:f>(J82*(1+Inputs!$B$12))+F83+P83</x:f>
        <x:v>62221.89884951041</x:v>
      </x:c>
      <x:c r="K83" s="50" t="n">
        <x:f>(K82*(1+Inputs!$B$12))*(1-H83)</x:f>
        <x:v>18661.55254732239</x:v>
      </x:c>
      <x:c r="L83" s="50" t="n">
        <x:f>L82*(1+Inputs!$B$13)+Q83</x:f>
        <x:v>15756.843657248903</x:v>
      </x:c>
      <x:c r="M83" s="50" t="n">
        <x:f>I83+J83+L83</x:f>
        <x:v>147614.6082940953</x:v>
      </x:c>
      <x:c r="N83" s="50" t="n">
        <x:f>F83+P83</x:f>
        <x:v>0</x:v>
      </x:c>
      <x:c r="O83" s="50" t="n">
        <x:f>IF(B83=1,0,O82+F82+P82)</x:f>
        <x:v>0</x:v>
      </x:c>
      <x:c r="P83" s="50" t="n">
        <x:f>MIN(G83,MAX(0,Inputs!$B$20-O83-F83))</x:f>
        <x:v>0</x:v>
      </x:c>
      <x:c r="Q83" s="50" t="n">
        <x:f>(C83-E83-F83)+(G83-P83)</x:f>
        <x:v>0</x:v>
      </x:c>
    </x:row>
    <x:row r="84">
      <x:c r="A84" s="41" t="n">
        <x:f>IF(B84=1,A83+1,A83)</x:f>
        <x:v>2030</x:v>
      </x:c>
      <x:c r="B84" s="41" t="n">
        <x:f>IF(B83=26,1,B83+1)</x:f>
        <x:v>5</x:v>
      </x:c>
      <x:c r="C84" s="48" t="n">
        <x:f>Inputs!$F$6</x:f>
        <x:v>600</x:v>
      </x:c>
      <x:c r="D84" s="50" t="n">
        <x:f>IF(B84=1,0,D83+E83)</x:f>
        <x:v>2400</x:v>
      </x:c>
      <x:c r="E84" s="50" t="n">
        <x:f>MIN(C84,MAX(0,Inputs!$B$7-D84))</x:f>
        <x:v>600</x:v>
      </x:c>
      <x:c r="F84" s="50" t="n">
        <x:f>MIN(C84-E84,MAX(0,Inputs!$B$20-O84))</x:f>
        <x:v>0</x:v>
      </x:c>
      <x:c r="G84" s="50" t="n">
        <x:f>0</x:f>
        <x:v>0</x:v>
      </x:c>
      <x:c r="H84" s="41" t="n">
        <x:f>0</x:f>
        <x:v>0</x:v>
      </x:c>
      <x:c r="I84" s="50" t="n">
        <x:f>(I83*(1+Inputs!$B$12))+E84</x:f>
        <x:v>70366.66329278884</x:v>
      </x:c>
      <x:c r="J84" s="50" t="n">
        <x:f>(J83*(1+Inputs!$B$12))+F84+P84</x:f>
        <x:v>62338.77065202253</x:v>
      </x:c>
      <x:c r="K84" s="50" t="n">
        <x:f>(K83*(1+Inputs!$B$12))*(1-H84)</x:f>
        <x:v>18696.604664409897</x:v>
      </x:c>
      <x:c r="L84" s="50" t="n">
        <x:f>L83*(1+Inputs!$B$13)+Q84</x:f>
        <x:v>15784.412687428923</x:v>
      </x:c>
      <x:c r="M84" s="50" t="n">
        <x:f>I84+J84+L84</x:f>
        <x:v>148489.8466322403</x:v>
      </x:c>
      <x:c r="N84" s="50" t="n">
        <x:f>F84+P84</x:f>
        <x:v>0</x:v>
      </x:c>
      <x:c r="O84" s="50" t="n">
        <x:f>IF(B84=1,0,O83+F83+P83)</x:f>
        <x:v>0</x:v>
      </x:c>
      <x:c r="P84" s="50" t="n">
        <x:f>MIN(G84,MAX(0,Inputs!$B$20-O84-F84))</x:f>
        <x:v>0</x:v>
      </x:c>
      <x:c r="Q84" s="50" t="n">
        <x:f>(C84-E84-F84)+(G84-P84)</x:f>
        <x:v>0</x:v>
      </x:c>
    </x:row>
    <x:row r="85">
      <x:c r="A85" s="41" t="n">
        <x:f>IF(B85=1,A84+1,A84)</x:f>
        <x:v>2030</x:v>
      </x:c>
      <x:c r="B85" s="41" t="n">
        <x:f>IF(B84=26,1,B84+1)</x:f>
        <x:v>6</x:v>
      </x:c>
      <x:c r="C85" s="48" t="n">
        <x:f>Inputs!$F$6</x:f>
        <x:v>600</x:v>
      </x:c>
      <x:c r="D85" s="50" t="n">
        <x:f>IF(B85=1,0,D84+E84)</x:f>
        <x:v>3000</x:v>
      </x:c>
      <x:c r="E85" s="50" t="n">
        <x:f>MIN(C85,MAX(0,Inputs!$B$7-D85))</x:f>
        <x:v>600</x:v>
      </x:c>
      <x:c r="F85" s="50" t="n">
        <x:f>MIN(C85-E85,MAX(0,Inputs!$B$20-O85))</x:f>
        <x:v>0</x:v>
      </x:c>
      <x:c r="G85" s="50" t="n">
        <x:f>0</x:f>
        <x:v>0</x:v>
      </x:c>
      <x:c r="H85" s="41" t="n">
        <x:f>0</x:f>
        <x:v>0</x:v>
      </x:c>
      <x:c r="I85" s="50" t="n">
        <x:f>(I84*(1+Inputs!$B$12))+E85</x:f>
        <x:v>71098.83346001054</x:v>
      </x:c>
      <x:c r="J85" s="50" t="n">
        <x:f>(J84*(1+Inputs!$B$12))+F85+P85</x:f>
        <x:v>62455.86197561123</x:v>
      </x:c>
      <x:c r="K85" s="50" t="n">
        <x:f>(K84*(1+Inputs!$B$12))*(1-H85)</x:f>
        <x:v>18731.722620119846</x:v>
      </x:c>
      <x:c r="L85" s="50" t="n">
        <x:f>L84*(1+Inputs!$B$13)+Q85</x:f>
        <x:v>15812.029953882757</x:v>
      </x:c>
      <x:c r="M85" s="50" t="n">
        <x:f>I85+J85+L85</x:f>
        <x:v>149366.72538950454</x:v>
      </x:c>
      <x:c r="N85" s="50" t="n">
        <x:f>F85+P85</x:f>
        <x:v>0</x:v>
      </x:c>
      <x:c r="O85" s="50" t="n">
        <x:f>IF(B85=1,0,O84+F84+P84)</x:f>
        <x:v>0</x:v>
      </x:c>
      <x:c r="P85" s="50" t="n">
        <x:f>MIN(G85,MAX(0,Inputs!$B$20-O85-F85))</x:f>
        <x:v>0</x:v>
      </x:c>
      <x:c r="Q85" s="50" t="n">
        <x:f>(C85-E85-F85)+(G85-P85)</x:f>
        <x:v>0</x:v>
      </x:c>
    </x:row>
    <x:row r="86">
      <x:c r="A86" s="41" t="n">
        <x:f>IF(B86=1,A85+1,A85)</x:f>
        <x:v>2030</x:v>
      </x:c>
      <x:c r="B86" s="41" t="n">
        <x:f>IF(B85=26,1,B85+1)</x:f>
        <x:v>7</x:v>
      </x:c>
      <x:c r="C86" s="48" t="n">
        <x:f>Inputs!$F$6</x:f>
        <x:v>600</x:v>
      </x:c>
      <x:c r="D86" s="50" t="n">
        <x:f>IF(B86=1,0,D85+E85)</x:f>
        <x:v>3600</x:v>
      </x:c>
      <x:c r="E86" s="50" t="n">
        <x:f>MIN(C86,MAX(0,Inputs!$B$7-D86))</x:f>
        <x:v>600</x:v>
      </x:c>
      <x:c r="F86" s="50" t="n">
        <x:f>MIN(C86-E86,MAX(0,Inputs!$B$20-O86))</x:f>
        <x:v>0</x:v>
      </x:c>
      <x:c r="G86" s="50" t="n">
        <x:f>0</x:f>
        <x:v>0</x:v>
      </x:c>
      <x:c r="H86" s="41" t="n">
        <x:f>0</x:f>
        <x:v>0</x:v>
      </x:c>
      <x:c r="I86" s="50" t="n">
        <x:f>(I85*(1+Inputs!$B$12))+E86</x:f>
        <x:v>71832.3788672807</x:v>
      </x:c>
      <x:c r="J86" s="50" t="n">
        <x:f>(J85*(1+Inputs!$B$12))+F86+P86</x:f>
        <x:v>62573.1732326044</x:v>
      </x:c>
      <x:c r="K86" s="50" t="n">
        <x:f>(K85*(1+Inputs!$B$12))*(1-H86)</x:f>
        <x:v>18766.906538117353</x:v>
      </x:c>
      <x:c r="L86" s="50" t="n">
        <x:f>L85*(1+Inputs!$B$13)+Q86</x:f>
        <x:v>15839.69554100721</x:v>
      </x:c>
      <x:c r="M86" s="50" t="n">
        <x:f>I86+J86+L86</x:f>
        <x:v>150245.2476408923</x:v>
      </x:c>
      <x:c r="N86" s="50" t="n">
        <x:f>F86+P86</x:f>
        <x:v>0</x:v>
      </x:c>
      <x:c r="O86" s="50" t="n">
        <x:f>IF(B86=1,0,O85+F85+P85)</x:f>
        <x:v>0</x:v>
      </x:c>
      <x:c r="P86" s="50" t="n">
        <x:f>MIN(G86,MAX(0,Inputs!$B$20-O86-F86))</x:f>
        <x:v>0</x:v>
      </x:c>
      <x:c r="Q86" s="50" t="n">
        <x:f>(C86-E86-F86)+(G86-P86)</x:f>
        <x:v>0</x:v>
      </x:c>
    </x:row>
    <x:row r="87">
      <x:c r="A87" s="41" t="n">
        <x:f>IF(B87=1,A86+1,A86)</x:f>
        <x:v>2030</x:v>
      </x:c>
      <x:c r="B87" s="41" t="n">
        <x:f>IF(B86=26,1,B86+1)</x:f>
        <x:v>8</x:v>
      </x:c>
      <x:c r="C87" s="48" t="n">
        <x:f>Inputs!$F$6</x:f>
        <x:v>600</x:v>
      </x:c>
      <x:c r="D87" s="50" t="n">
        <x:f>IF(B87=1,0,D86+E86)</x:f>
        <x:v>4200</x:v>
      </x:c>
      <x:c r="E87" s="50" t="n">
        <x:f>MIN(C87,MAX(0,Inputs!$B$7-D87))</x:f>
        <x:v>600</x:v>
      </x:c>
      <x:c r="F87" s="50" t="n">
        <x:f>MIN(C87-E87,MAX(0,Inputs!$B$20-O87))</x:f>
        <x:v>0</x:v>
      </x:c>
      <x:c r="G87" s="50" t="n">
        <x:f>0</x:f>
        <x:v>0</x:v>
      </x:c>
      <x:c r="H87" s="41" t="n">
        <x:f>0</x:f>
        <x:v>0</x:v>
      </x:c>
      <x:c r="I87" s="50" t="n">
        <x:f>(I86*(1+Inputs!$B$12))+E87</x:f>
        <x:v>72567.30209772175</x:v>
      </x:c>
      <x:c r="J87" s="50" t="n">
        <x:f>(J86*(1+Inputs!$B$12))+F87+P87</x:f>
        <x:v>62690.70483610439</x:v>
      </x:c>
      <x:c r="K87" s="50" t="n">
        <x:f>(K86*(1+Inputs!$B$12))*(1-H87)</x:f>
        <x:v>18802.156542299817</x:v>
      </x:c>
      <x:c r="L87" s="50" t="n">
        <x:f>L86*(1+Inputs!$B$13)+Q87</x:f>
        <x:v>15867.409533346752</x:v>
      </x:c>
      <x:c r="M87" s="50" t="n">
        <x:f>I87+J87+L87</x:f>
        <x:v>151125.41646717288</x:v>
      </x:c>
      <x:c r="N87" s="50" t="n">
        <x:f>F87+P87</x:f>
        <x:v>0</x:v>
      </x:c>
      <x:c r="O87" s="50" t="n">
        <x:f>IF(B87=1,0,O86+F86+P86)</x:f>
        <x:v>0</x:v>
      </x:c>
      <x:c r="P87" s="50" t="n">
        <x:f>MIN(G87,MAX(0,Inputs!$B$20-O87-F87))</x:f>
        <x:v>0</x:v>
      </x:c>
      <x:c r="Q87" s="50" t="n">
        <x:f>(C87-E87-F87)+(G87-P87)</x:f>
        <x:v>0</x:v>
      </x:c>
    </x:row>
    <x:row r="88">
      <x:c r="A88" s="41" t="n">
        <x:f>IF(B88=1,A87+1,A87)</x:f>
        <x:v>2030</x:v>
      </x:c>
      <x:c r="B88" s="41" t="n">
        <x:f>IF(B87=26,1,B87+1)</x:f>
        <x:v>9</x:v>
      </x:c>
      <x:c r="C88" s="48" t="n">
        <x:f>Inputs!$F$6</x:f>
        <x:v>600</x:v>
      </x:c>
      <x:c r="D88" s="50" t="n">
        <x:f>IF(B88=1,0,D87+E87)</x:f>
        <x:v>4800</x:v>
      </x:c>
      <x:c r="E88" s="50" t="n">
        <x:f>MIN(C88,MAX(0,Inputs!$B$7-D88))</x:f>
        <x:v>600</x:v>
      </x:c>
      <x:c r="F88" s="50" t="n">
        <x:f>MIN(C88-E88,MAX(0,Inputs!$B$20-O88))</x:f>
        <x:v>0</x:v>
      </x:c>
      <x:c r="G88" s="50" t="n">
        <x:f>SUM(N54:N79)*Inputs!$B$6</x:f>
        <x:v>3600</x:v>
      </x:c>
      <x:c r="H88" s="41" t="n">
        <x:f>0</x:f>
        <x:v>0</x:v>
      </x:c>
      <x:c r="I88" s="50" t="n">
        <x:f>(I87*(1+Inputs!$B$12))+E88</x:f>
        <x:v>73303.60573930804</x:v>
      </x:c>
      <x:c r="J88" s="50" t="n">
        <x:f>(J87*(1+Inputs!$B$12))+F88+P88</x:f>
        <x:v>66408.45719998951</x:v>
      </x:c>
      <x:c r="K88" s="50" t="n">
        <x:f>(K87*(1+Inputs!$B$12))*(1-H88)</x:f>
        <x:v>18837.472756797357</x:v>
      </x:c>
      <x:c r="L88" s="50" t="n">
        <x:f>L87*(1+Inputs!$B$13)+Q88</x:f>
        <x:v>15895.172015593782</x:v>
      </x:c>
      <x:c r="M88" s="50" t="n">
        <x:f>I88+J88+L88</x:f>
        <x:v>155607.23495489135</x:v>
      </x:c>
      <x:c r="N88" s="50" t="n">
        <x:f>F88+P88</x:f>
        <x:v>3600</x:v>
      </x:c>
      <x:c r="O88" s="50" t="n">
        <x:f>IF(B88=1,0,O87+F87+P87)</x:f>
        <x:v>0</x:v>
      </x:c>
      <x:c r="P88" s="50" t="n">
        <x:f>MIN(G88,MAX(0,Inputs!$B$20-O88-F88))</x:f>
        <x:v>3600</x:v>
      </x:c>
      <x:c r="Q88" s="50" t="n">
        <x:f>(C88-E88-F88)+(G88-P88)</x:f>
        <x:v>0</x:v>
      </x:c>
    </x:row>
    <x:row r="89">
      <x:c r="A89" s="41" t="n">
        <x:f>IF(B89=1,A88+1,A88)</x:f>
        <x:v>2030</x:v>
      </x:c>
      <x:c r="B89" s="41" t="n">
        <x:f>IF(B88=26,1,B88+1)</x:f>
        <x:v>10</x:v>
      </x:c>
      <x:c r="C89" s="48" t="n">
        <x:f>Inputs!$F$6</x:f>
        <x:v>600</x:v>
      </x:c>
      <x:c r="D89" s="50" t="n">
        <x:f>IF(B89=1,0,D88+E88)</x:f>
        <x:v>5400</x:v>
      </x:c>
      <x:c r="E89" s="50" t="n">
        <x:f>MIN(C89,MAX(0,Inputs!$B$7-D89))</x:f>
        <x:v>600</x:v>
      </x:c>
      <x:c r="F89" s="50" t="n">
        <x:f>MIN(C89-E89,MAX(0,Inputs!$B$20-O89))</x:f>
        <x:v>0</x:v>
      </x:c>
      <x:c r="G89" s="50" t="n">
        <x:f>0</x:f>
        <x:v>0</x:v>
      </x:c>
      <x:c r="H89" s="41" t="n">
        <x:f>0</x:f>
        <x:v>0</x:v>
      </x:c>
      <x:c r="I89" s="50" t="n">
        <x:f>(I88*(1+Inputs!$B$12))+E89</x:f>
        <x:v>74041.29238487492</x:v>
      </x:c>
      <x:c r="J89" s="50" t="n">
        <x:f>(J88*(1+Inputs!$B$12))+F89+P89</x:f>
        <x:v>66533.19264263139</x:v>
      </x:c>
      <x:c r="K89" s="50" t="n">
        <x:f>(K88*(1+Inputs!$B$12))*(1-H89)</x:f>
        <x:v>18872.855305973244</x:v>
      </x:c>
      <x:c r="L89" s="50" t="n">
        <x:f>L88*(1+Inputs!$B$13)+Q89</x:f>
        <x:v>15922.983072588875</x:v>
      </x:c>
      <x:c r="M89" s="50" t="n">
        <x:f>I89+J89+L89</x:f>
        <x:v>156497.46810009517</x:v>
      </x:c>
      <x:c r="N89" s="50" t="n">
        <x:f>F89+P89</x:f>
        <x:v>0</x:v>
      </x:c>
      <x:c r="O89" s="50" t="n">
        <x:f>IF(B89=1,0,O88+F88+P88)</x:f>
        <x:v>3600</x:v>
      </x:c>
      <x:c r="P89" s="50" t="n">
        <x:f>MIN(G89,MAX(0,Inputs!$B$20-O89-F89))</x:f>
        <x:v>0</x:v>
      </x:c>
      <x:c r="Q89" s="50" t="n">
        <x:f>(C89-E89-F89)+(G89-P89)</x:f>
        <x:v>0</x:v>
      </x:c>
    </x:row>
    <x:row r="90">
      <x:c r="A90" s="41" t="n">
        <x:f>IF(B90=1,A89+1,A89)</x:f>
        <x:v>2030</x:v>
      </x:c>
      <x:c r="B90" s="41" t="n">
        <x:f>IF(B89=26,1,B89+1)</x:f>
        <x:v>11</x:v>
      </x:c>
      <x:c r="C90" s="48" t="n">
        <x:f>Inputs!$F$6</x:f>
        <x:v>600</x:v>
      </x:c>
      <x:c r="D90" s="50" t="n">
        <x:f>IF(B90=1,0,D89+E89)</x:f>
        <x:v>6000</x:v>
      </x:c>
      <x:c r="E90" s="50" t="n">
        <x:f>MIN(C90,MAX(0,Inputs!$B$7-D90))</x:f>
        <x:v>600</x:v>
      </x:c>
      <x:c r="F90" s="50" t="n">
        <x:f>MIN(C90-E90,MAX(0,Inputs!$B$20-O90))</x:f>
        <x:v>0</x:v>
      </x:c>
      <x:c r="G90" s="50" t="n">
        <x:f>0</x:f>
        <x:v>0</x:v>
      </x:c>
      <x:c r="H90" s="41" t="n">
        <x:f>0</x:f>
        <x:v>0</x:v>
      </x:c>
      <x:c r="I90" s="50" t="n">
        <x:f>(I89*(1+Inputs!$B$12))+E90</x:f>
        <x:v>74780.36463212786</x:v>
      </x:c>
      <x:c r="J90" s="50" t="n">
        <x:f>(J89*(1+Inputs!$B$12))+F90+P90</x:f>
        <x:v>66658.1623766769</x:v>
      </x:c>
      <x:c r="K90" s="50" t="n">
        <x:f>(K89*(1+Inputs!$B$12))*(1-H90)</x:f>
        <x:v>18908.30431442434</x:v>
      </x:c>
      <x:c r="L90" s="50" t="n">
        <x:f>L89*(1+Inputs!$B$13)+Q90</x:f>
        <x:v>15950.842789321054</x:v>
      </x:c>
      <x:c r="M90" s="50" t="n">
        <x:f>I90+J90+L90</x:f>
        <x:v>157389.36979812584</x:v>
      </x:c>
      <x:c r="N90" s="50" t="n">
        <x:f>F90+P90</x:f>
        <x:v>0</x:v>
      </x:c>
      <x:c r="O90" s="50" t="n">
        <x:f>IF(B90=1,0,O89+F89+P89)</x:f>
        <x:v>3600</x:v>
      </x:c>
      <x:c r="P90" s="50" t="n">
        <x:f>MIN(G90,MAX(0,Inputs!$B$20-O90-F90))</x:f>
        <x:v>0</x:v>
      </x:c>
      <x:c r="Q90" s="50" t="n">
        <x:f>(C90-E90-F90)+(G90-P90)</x:f>
        <x:v>0</x:v>
      </x:c>
    </x:row>
    <x:row r="91">
      <x:c r="A91" s="41" t="n">
        <x:f>IF(B91=1,A90+1,A90)</x:f>
        <x:v>2030</x:v>
      </x:c>
      <x:c r="B91" s="41" t="n">
        <x:f>IF(B90=26,1,B90+1)</x:f>
        <x:v>12</x:v>
      </x:c>
      <x:c r="C91" s="48" t="n">
        <x:f>Inputs!$F$6</x:f>
        <x:v>600</x:v>
      </x:c>
      <x:c r="D91" s="50" t="n">
        <x:f>IF(B91=1,0,D90+E90)</x:f>
        <x:v>6600</x:v>
      </x:c>
      <x:c r="E91" s="50" t="n">
        <x:f>MIN(C91,MAX(0,Inputs!$B$7-D91))</x:f>
        <x:v>600</x:v>
      </x:c>
      <x:c r="F91" s="50" t="n">
        <x:f>MIN(C91-E91,MAX(0,Inputs!$B$20-O91))</x:f>
        <x:v>0</x:v>
      </x:c>
      <x:c r="G91" s="50" t="n">
        <x:f>0</x:f>
        <x:v>0</x:v>
      </x:c>
      <x:c r="H91" s="41" t="n">
        <x:f>0</x:f>
        <x:v>0</x:v>
      </x:c>
      <x:c r="I91" s="50" t="n">
        <x:f>(I90*(1+Inputs!$B$12))+E91</x:f>
        <x:v>75520.82508365167</x:v>
      </x:c>
      <x:c r="J91" s="50" t="n">
        <x:f>(J90*(1+Inputs!$B$12))+F91+P91</x:f>
        <x:v>66783.36684219715</x:v>
      </x:c>
      <x:c r="K91" s="50" t="n">
        <x:f>(K90*(1+Inputs!$B$12))*(1-H91)</x:f>
        <x:v>18943.81990698154</x:v>
      </x:c>
      <x:c r="L91" s="50" t="n">
        <x:f>L90*(1+Inputs!$B$13)+Q91</x:f>
        <x:v>15978.751250928037</x:v>
      </x:c>
      <x:c r="M91" s="50" t="n">
        <x:f>I91+J91+L91</x:f>
        <x:v>158282.94317677687</x:v>
      </x:c>
      <x:c r="N91" s="50" t="n">
        <x:f>F91+P91</x:f>
        <x:v>0</x:v>
      </x:c>
      <x:c r="O91" s="50" t="n">
        <x:f>IF(B91=1,0,O90+F90+P90)</x:f>
        <x:v>3600</x:v>
      </x:c>
      <x:c r="P91" s="50" t="n">
        <x:f>MIN(G91,MAX(0,Inputs!$B$20-O91-F91))</x:f>
        <x:v>0</x:v>
      </x:c>
      <x:c r="Q91" s="50" t="n">
        <x:f>(C91-E91-F91)+(G91-P91)</x:f>
        <x:v>0</x:v>
      </x:c>
    </x:row>
    <x:row r="92">
      <x:c r="A92" s="41" t="n">
        <x:f>IF(B92=1,A91+1,A91)</x:f>
        <x:v>2030</x:v>
      </x:c>
      <x:c r="B92" s="41" t="n">
        <x:f>IF(B91=26,1,B91+1)</x:f>
        <x:v>13</x:v>
      </x:c>
      <x:c r="C92" s="48" t="n">
        <x:f>Inputs!$F$6</x:f>
        <x:v>600</x:v>
      </x:c>
      <x:c r="D92" s="50" t="n">
        <x:f>IF(B92=1,0,D91+E91)</x:f>
        <x:v>7200</x:v>
      </x:c>
      <x:c r="E92" s="50" t="n">
        <x:f>MIN(C92,MAX(0,Inputs!$B$7-D92))</x:f>
        <x:v>600</x:v>
      </x:c>
      <x:c r="F92" s="50" t="n">
        <x:f>MIN(C92-E92,MAX(0,Inputs!$B$20-O92))</x:f>
        <x:v>0</x:v>
      </x:c>
      <x:c r="G92" s="50" t="n">
        <x:f>0</x:f>
        <x:v>0</x:v>
      </x:c>
      <x:c r="H92" s="41" t="n">
        <x:f>0</x:f>
        <x:v>0</x:v>
      </x:c>
      <x:c r="I92" s="50" t="n">
        <x:f>(I91*(1+Inputs!$B$12))+E92</x:f>
        <x:v>76262.67634691954</x:v>
      </x:c>
      <x:c r="J92" s="50" t="n">
        <x:f>(J91*(1+Inputs!$B$12))+F92+P92</x:f>
        <x:v>66908.8064800898</x:v>
      </x:c>
      <x:c r="K92" s="50" t="n">
        <x:f>(K91*(1+Inputs!$B$12))*(1-H92)</x:f>
        <x:v>18979.402208710206</x:v>
      </x:c>
      <x:c r="L92" s="50" t="n">
        <x:f>L91*(1+Inputs!$B$13)+Q92</x:f>
        <x:v>16006.708542696508</x:v>
      </x:c>
      <x:c r="M92" s="50" t="n">
        <x:f>I92+J92+L92</x:f>
        <x:v>159178.19136970586</x:v>
      </x:c>
      <x:c r="N92" s="50" t="n">
        <x:f>F92+P92</x:f>
        <x:v>0</x:v>
      </x:c>
      <x:c r="O92" s="50" t="n">
        <x:f>IF(B92=1,0,O91+F91+P91)</x:f>
        <x:v>3600</x:v>
      </x:c>
      <x:c r="P92" s="50" t="n">
        <x:f>MIN(G92,MAX(0,Inputs!$B$20-O92-F92))</x:f>
        <x:v>0</x:v>
      </x:c>
      <x:c r="Q92" s="50" t="n">
        <x:f>(C92-E92-F92)+(G92-P92)</x:f>
        <x:v>0</x:v>
      </x:c>
    </x:row>
    <x:row r="93">
      <x:c r="A93" s="41" t="n">
        <x:f>IF(B93=1,A92+1,A92)</x:f>
        <x:v>2030</x:v>
      </x:c>
      <x:c r="B93" s="41" t="n">
        <x:f>IF(B92=26,1,B92+1)</x:f>
        <x:v>14</x:v>
      </x:c>
      <x:c r="C93" s="48" t="n">
        <x:f>Inputs!$F$6</x:f>
        <x:v>600</x:v>
      </x:c>
      <x:c r="D93" s="50" t="n">
        <x:f>IF(B93=1,0,D92+E92)</x:f>
        <x:v>7800</x:v>
      </x:c>
      <x:c r="E93" s="50" t="n">
        <x:f>MIN(C93,MAX(0,Inputs!$B$7-D93))</x:f>
        <x:v>200</x:v>
      </x:c>
      <x:c r="F93" s="50" t="n">
        <x:f>MIN(C93-E93,MAX(0,Inputs!$B$20-O93))</x:f>
        <x:v>400</x:v>
      </x:c>
      <x:c r="G93" s="50" t="n">
        <x:f>0</x:f>
        <x:v>0</x:v>
      </x:c>
      <x:c r="H93" s="41" t="n">
        <x:f>0</x:f>
        <x:v>0</x:v>
      </x:c>
      <x:c r="I93" s="50" t="n">
        <x:f>(I92*(1+Inputs!$B$12))+E93</x:f>
        <x:v>76605.92103430234</x:v>
      </x:c>
      <x:c r="J93" s="50" t="n">
        <x:f>(J92*(1+Inputs!$B$12))+F93+P93</x:f>
        <x:v>67434.48173208066</x:v>
      </x:c>
      <x:c r="K93" s="50" t="n">
        <x:f>(K92*(1+Inputs!$B$12))*(1-H93)</x:f>
        <x:v>19015.05134491062</x:v>
      </x:c>
      <x:c r="L93" s="50" t="n">
        <x:f>L92*(1+Inputs!$B$13)+Q93</x:f>
        <x:v>16034.71475006237</x:v>
      </x:c>
      <x:c r="M93" s="50" t="n">
        <x:f>I93+J93+L93</x:f>
        <x:v>160075.1175164454</x:v>
      </x:c>
      <x:c r="N93" s="50" t="n">
        <x:f>F93+P93</x:f>
        <x:v>400</x:v>
      </x:c>
      <x:c r="O93" s="50" t="n">
        <x:f>IF(B93=1,0,O92+F92+P92)</x:f>
        <x:v>3600</x:v>
      </x:c>
      <x:c r="P93" s="50" t="n">
        <x:f>MIN(G93,MAX(0,Inputs!$B$20-O93-F93))</x:f>
        <x:v>0</x:v>
      </x:c>
      <x:c r="Q93" s="50" t="n">
        <x:f>(C93-E93-F93)+(G93-P93)</x:f>
        <x:v>0</x:v>
      </x:c>
    </x:row>
    <x:row r="94">
      <x:c r="A94" s="41" t="n">
        <x:f>IF(B94=1,A93+1,A93)</x:f>
        <x:v>2030</x:v>
      </x:c>
      <x:c r="B94" s="41" t="n">
        <x:f>IF(B93=26,1,B93+1)</x:f>
        <x:v>15</x:v>
      </x:c>
      <x:c r="C94" s="48" t="n">
        <x:f>Inputs!$F$6</x:f>
        <x:v>600</x:v>
      </x:c>
      <x:c r="D94" s="50" t="n">
        <x:f>IF(B94=1,0,D93+E93)</x:f>
        <x:v>8000</x:v>
      </x:c>
      <x:c r="E94" s="50" t="n">
        <x:f>MIN(C94,MAX(0,Inputs!$B$7-D94))</x:f>
        <x:v>0</x:v>
      </x:c>
      <x:c r="F94" s="50" t="n">
        <x:f>MIN(C94-E94,MAX(0,Inputs!$B$20-O94))</x:f>
        <x:v>600</x:v>
      </x:c>
      <x:c r="G94" s="50" t="n">
        <x:f>0</x:f>
        <x:v>0</x:v>
      </x:c>
      <x:c r="H94" s="41" t="n">
        <x:f>0</x:f>
        <x:v>0</x:v>
      </x:c>
      <x:c r="I94" s="50" t="n">
        <x:f>(I93*(1+Inputs!$B$12))+E94</x:f>
        <x:v>76749.81044044267</x:v>
      </x:c>
      <x:c r="J94" s="50" t="n">
        <x:f>(J93*(1+Inputs!$B$12))+F94+P94</x:f>
        <x:v>68161.14436336036</x:v>
      </x:c>
      <x:c r="K94" s="50" t="n">
        <x:f>(K93*(1+Inputs!$B$12))*(1-H94)</x:f>
        <x:v>19050.7674411184</x:v>
      </x:c>
      <x:c r="L94" s="50" t="n">
        <x:f>L93*(1+Inputs!$B$13)+Q94</x:f>
        <x:v>16062.769958611016</x:v>
      </x:c>
      <x:c r="M94" s="50" t="n">
        <x:f>I94+J94+L94</x:f>
        <x:v>160973.72476241406</x:v>
      </x:c>
      <x:c r="N94" s="50" t="n">
        <x:f>F94+P94</x:f>
        <x:v>600</x:v>
      </x:c>
      <x:c r="O94" s="50" t="n">
        <x:f>IF(B94=1,0,O93+F93+P93)</x:f>
        <x:v>4000</x:v>
      </x:c>
      <x:c r="P94" s="50" t="n">
        <x:f>MIN(G94,MAX(0,Inputs!$B$20-O94-F94))</x:f>
        <x:v>0</x:v>
      </x:c>
      <x:c r="Q94" s="50" t="n">
        <x:f>(C94-E94-F94)+(G94-P94)</x:f>
        <x:v>0</x:v>
      </x:c>
    </x:row>
    <x:row r="95">
      <x:c r="A95" s="41" t="n">
        <x:f>IF(B95=1,A94+1,A94)</x:f>
        <x:v>2030</x:v>
      </x:c>
      <x:c r="B95" s="41" t="n">
        <x:f>IF(B94=26,1,B94+1)</x:f>
        <x:v>16</x:v>
      </x:c>
      <x:c r="C95" s="48" t="n">
        <x:f>Inputs!$F$6</x:f>
        <x:v>600</x:v>
      </x:c>
      <x:c r="D95" s="50" t="n">
        <x:f>IF(B95=1,0,D94+E94)</x:f>
        <x:v>8000</x:v>
      </x:c>
      <x:c r="E95" s="50" t="n">
        <x:f>MIN(C95,MAX(0,Inputs!$B$7-D95))</x:f>
        <x:v>0</x:v>
      </x:c>
      <x:c r="F95" s="50" t="n">
        <x:f>MIN(C95-E95,MAX(0,Inputs!$B$20-O95))</x:f>
        <x:v>600</x:v>
      </x:c>
      <x:c r="G95" s="50" t="n">
        <x:f>0</x:f>
        <x:v>0</x:v>
      </x:c>
      <x:c r="H95" s="41" t="n">
        <x:f>0</x:f>
        <x:v>0</x:v>
      </x:c>
      <x:c r="I95" s="50" t="n">
        <x:f>(I94*(1+Inputs!$B$12))+E95</x:f>
        <x:v>76893.97011500246</x:v>
      </x:c>
      <x:c r="J95" s="50" t="n">
        <x:f>(J94*(1+Inputs!$B$12))+F95+P95</x:f>
        <x:v>68889.17188984748</x:v>
      </x:c>
      <x:c r="K95" s="50" t="n">
        <x:f>(K94*(1+Inputs!$B$12))*(1-H95)</x:f>
        <x:v>19086.550623104984</x:v>
      </x:c>
      <x:c r="L95" s="50" t="n">
        <x:f>L94*(1+Inputs!$B$13)+Q95</x:f>
        <x:v>16090.874254077575</x:v>
      </x:c>
      <x:c r="M95" s="50" t="n">
        <x:f>I95+J95+L95</x:f>
        <x:v>161874.01625892753</x:v>
      </x:c>
      <x:c r="N95" s="50" t="n">
        <x:f>F95+P95</x:f>
        <x:v>600</x:v>
      </x:c>
      <x:c r="O95" s="50" t="n">
        <x:f>IF(B95=1,0,O94+F94+P94)</x:f>
        <x:v>4600</x:v>
      </x:c>
      <x:c r="P95" s="50" t="n">
        <x:f>MIN(G95,MAX(0,Inputs!$B$20-O95-F95))</x:f>
        <x:v>0</x:v>
      </x:c>
      <x:c r="Q95" s="50" t="n">
        <x:f>(C95-E95-F95)+(G95-P95)</x:f>
        <x:v>0</x:v>
      </x:c>
    </x:row>
    <x:row r="96">
      <x:c r="A96" s="41" t="n">
        <x:f>IF(B96=1,A95+1,A95)</x:f>
        <x:v>2030</x:v>
      </x:c>
      <x:c r="B96" s="41" t="n">
        <x:f>IF(B95=26,1,B95+1)</x:f>
        <x:v>17</x:v>
      </x:c>
      <x:c r="C96" s="48" t="n">
        <x:f>Inputs!$F$6</x:f>
        <x:v>600</x:v>
      </x:c>
      <x:c r="D96" s="50" t="n">
        <x:f>IF(B96=1,0,D95+E95)</x:f>
        <x:v>8000</x:v>
      </x:c>
      <x:c r="E96" s="50" t="n">
        <x:f>MIN(C96,MAX(0,Inputs!$B$7-D96))</x:f>
        <x:v>0</x:v>
      </x:c>
      <x:c r="F96" s="50" t="n">
        <x:f>MIN(C96-E96,MAX(0,Inputs!$B$20-O96))</x:f>
        <x:v>600</x:v>
      </x:c>
      <x:c r="G96" s="50" t="n">
        <x:f>0</x:f>
        <x:v>0</x:v>
      </x:c>
      <x:c r="H96" s="41" t="n">
        <x:f>0</x:f>
        <x:v>0</x:v>
      </x:c>
      <x:c r="I96" s="50" t="n">
        <x:f>(I95*(1+Inputs!$B$12))+E96</x:f>
        <x:v>77038.40056562868</x:v>
      </x:c>
      <x:c r="J96" s="50" t="n">
        <x:f>(J95*(1+Inputs!$B$12))+F96+P96</x:f>
        <x:v>69618.56687523368</x:v>
      </x:c>
      <x:c r="K96" s="50" t="n">
        <x:f>(K95*(1+Inputs!$B$12))*(1-H96)</x:f>
        <x:v>19122.401016878022</x:v>
      </x:c>
      <x:c r="L96" s="50" t="n">
        <x:f>L95*(1+Inputs!$B$13)+Q96</x:f>
        <x:v>16119.027722347186</x:v>
      </x:c>
      <x:c r="M96" s="50" t="n">
        <x:f>I96+J96+L96</x:f>
        <x:v>162775.99516320953</x:v>
      </x:c>
      <x:c r="N96" s="50" t="n">
        <x:f>F96+P96</x:f>
        <x:v>600</x:v>
      </x:c>
      <x:c r="O96" s="50" t="n">
        <x:f>IF(B96=1,0,O95+F95+P95)</x:f>
        <x:v>5200</x:v>
      </x:c>
      <x:c r="P96" s="50" t="n">
        <x:f>MIN(G96,MAX(0,Inputs!$B$20-O96-F96))</x:f>
        <x:v>0</x:v>
      </x:c>
      <x:c r="Q96" s="50" t="n">
        <x:f>(C96-E96-F96)+(G96-P96)</x:f>
        <x:v>0</x:v>
      </x:c>
    </x:row>
    <x:row r="97">
      <x:c r="A97" s="41" t="n">
        <x:f>IF(B97=1,A96+1,A96)</x:f>
        <x:v>2030</x:v>
      </x:c>
      <x:c r="B97" s="41" t="n">
        <x:f>IF(B96=26,1,B96+1)</x:f>
        <x:v>18</x:v>
      </x:c>
      <x:c r="C97" s="48" t="n">
        <x:f>Inputs!$F$6</x:f>
        <x:v>600</x:v>
      </x:c>
      <x:c r="D97" s="50" t="n">
        <x:f>IF(B97=1,0,D96+E96)</x:f>
        <x:v>8000</x:v>
      </x:c>
      <x:c r="E97" s="50" t="n">
        <x:f>MIN(C97,MAX(0,Inputs!$B$7-D97))</x:f>
        <x:v>0</x:v>
      </x:c>
      <x:c r="F97" s="50" t="n">
        <x:f>MIN(C97-E97,MAX(0,Inputs!$B$20-O97))</x:f>
        <x:v>600</x:v>
      </x:c>
      <x:c r="G97" s="50" t="n">
        <x:f>0</x:f>
        <x:v>0</x:v>
      </x:c>
      <x:c r="H97" s="41" t="n">
        <x:f>0</x:f>
        <x:v>0</x:v>
      </x:c>
      <x:c r="I97" s="50" t="n">
        <x:f>(I96*(1+Inputs!$B$12))+E97</x:f>
        <x:v>77183.10230092178</x:v>
      </x:c>
      <x:c r="J97" s="50" t="n">
        <x:f>(J96*(1+Inputs!$B$12))+F97+P97</x:f>
        <x:v>70349.331888026</x:v>
      </x:c>
      <x:c r="K97" s="50" t="n">
        <x:f>(K96*(1+Inputs!$B$12))*(1-H97)</x:f>
        <x:v>19158.318748681857</x:v>
      </x:c>
      <x:c r="L97" s="50" t="n">
        <x:f>L96*(1+Inputs!$B$13)+Q97</x:f>
        <x:v>16147.23044945526</x:v>
      </x:c>
      <x:c r="M97" s="50" t="n">
        <x:f>I97+J97+L97</x:f>
        <x:v>163679.66463840305</x:v>
      </x:c>
      <x:c r="N97" s="50" t="n">
        <x:f>F97+P97</x:f>
        <x:v>600</x:v>
      </x:c>
      <x:c r="O97" s="50" t="n">
        <x:f>IF(B97=1,0,O96+F96+P96)</x:f>
        <x:v>5800</x:v>
      </x:c>
      <x:c r="P97" s="50" t="n">
        <x:f>MIN(G97,MAX(0,Inputs!$B$20-O97-F97))</x:f>
        <x:v>0</x:v>
      </x:c>
      <x:c r="Q97" s="50" t="n">
        <x:f>(C97-E97-F97)+(G97-P97)</x:f>
        <x:v>0</x:v>
      </x:c>
    </x:row>
    <x:row r="98">
      <x:c r="A98" s="41" t="n">
        <x:f>IF(B98=1,A97+1,A97)</x:f>
        <x:v>2030</x:v>
      </x:c>
      <x:c r="B98" s="41" t="n">
        <x:f>IF(B97=26,1,B97+1)</x:f>
        <x:v>19</x:v>
      </x:c>
      <x:c r="C98" s="48" t="n">
        <x:f>Inputs!$F$6</x:f>
        <x:v>600</x:v>
      </x:c>
      <x:c r="D98" s="50" t="n">
        <x:f>IF(B98=1,0,D97+E97)</x:f>
        <x:v>8000</x:v>
      </x:c>
      <x:c r="E98" s="50" t="n">
        <x:f>MIN(C98,MAX(0,Inputs!$B$7-D98))</x:f>
        <x:v>0</x:v>
      </x:c>
      <x:c r="F98" s="50" t="n">
        <x:f>MIN(C98-E98,MAX(0,Inputs!$B$20-O98))</x:f>
        <x:v>600</x:v>
      </x:c>
      <x:c r="G98" s="50" t="n">
        <x:f>0</x:f>
        <x:v>0</x:v>
      </x:c>
      <x:c r="H98" s="41" t="n">
        <x:f>0</x:f>
        <x:v>0</x:v>
      </x:c>
      <x:c r="I98" s="50" t="n">
        <x:f>(I97*(1+Inputs!$B$12))+E98</x:f>
        <x:v>77328.07583043753</x:v>
      </x:c>
      <x:c r="J98" s="50" t="n">
        <x:f>(J97*(1+Inputs!$B$12))+F98+P98</x:f>
        <x:v>71081.46950155597</x:v>
      </x:c>
      <x:c r="K98" s="50" t="n">
        <x:f>(K97*(1+Inputs!$B$12))*(1-H98)</x:f>
        <x:v>19194.303944997955</x:v>
      </x:c>
      <x:c r="L98" s="50" t="n">
        <x:f>L97*(1+Inputs!$B$13)+Q98</x:f>
        <x:v>16175.48252158774</x:v>
      </x:c>
      <x:c r="M98" s="50" t="n">
        <x:f>I98+J98+L98</x:f>
        <x:v>164585.02785358124</x:v>
      </x:c>
      <x:c r="N98" s="50" t="n">
        <x:f>F98+P98</x:f>
        <x:v>600</x:v>
      </x:c>
      <x:c r="O98" s="50" t="n">
        <x:f>IF(B98=1,0,O97+F97+P97)</x:f>
        <x:v>6400</x:v>
      </x:c>
      <x:c r="P98" s="50" t="n">
        <x:f>MIN(G98,MAX(0,Inputs!$B$20-O98-F98))</x:f>
        <x:v>0</x:v>
      </x:c>
      <x:c r="Q98" s="50" t="n">
        <x:f>(C98-E98-F98)+(G98-P98)</x:f>
        <x:v>0</x:v>
      </x:c>
    </x:row>
    <x:row r="99">
      <x:c r="A99" s="41" t="n">
        <x:f>IF(B99=1,A98+1,A98)</x:f>
        <x:v>2030</x:v>
      </x:c>
      <x:c r="B99" s="41" t="n">
        <x:f>IF(B98=26,1,B98+1)</x:f>
        <x:v>20</x:v>
      </x:c>
      <x:c r="C99" s="48" t="n">
        <x:f>Inputs!$F$6</x:f>
        <x:v>600</x:v>
      </x:c>
      <x:c r="D99" s="50" t="n">
        <x:f>IF(B99=1,0,D98+E98)</x:f>
        <x:v>8000</x:v>
      </x:c>
      <x:c r="E99" s="50" t="n">
        <x:f>MIN(C99,MAX(0,Inputs!$B$7-D99))</x:f>
        <x:v>0</x:v>
      </x:c>
      <x:c r="F99" s="50" t="n">
        <x:f>MIN(C99-E99,MAX(0,Inputs!$B$20-O99))</x:f>
        <x:v>600</x:v>
      </x:c>
      <x:c r="G99" s="50" t="n">
        <x:f>0</x:f>
        <x:v>0</x:v>
      </x:c>
      <x:c r="H99" s="41" t="n">
        <x:f>0</x:f>
        <x:v>0</x:v>
      </x:c>
      <x:c r="I99" s="50" t="n">
        <x:f>(I98*(1+Inputs!$B$12))+E99</x:f>
        <x:v>77473.32166468883</x:v>
      </x:c>
      <x:c r="J99" s="50" t="n">
        <x:f>(J98*(1+Inputs!$B$12))+F99+P99</x:f>
        <x:v>71814.98229398856</x:v>
      </x:c>
      <x:c r="K99" s="50" t="n">
        <x:f>(K98*(1+Inputs!$B$12))*(1-H99)</x:f>
        <x:v>19230.35673254536</x:v>
      </x:c>
      <x:c r="L99" s="50" t="n">
        <x:f>L98*(1+Inputs!$B$13)+Q99</x:f>
        <x:v>16203.78402508136</x:v>
      </x:c>
      <x:c r="M99" s="50" t="n">
        <x:f>I99+J99+L99</x:f>
        <x:v>165492.08798375877</x:v>
      </x:c>
      <x:c r="N99" s="50" t="n">
        <x:f>F99+P99</x:f>
        <x:v>600</x:v>
      </x:c>
      <x:c r="O99" s="50" t="n">
        <x:f>IF(B99=1,0,O98+F98+P98)</x:f>
        <x:v>7000</x:v>
      </x:c>
      <x:c r="P99" s="50" t="n">
        <x:f>MIN(G99,MAX(0,Inputs!$B$20-O99-F99))</x:f>
        <x:v>0</x:v>
      </x:c>
      <x:c r="Q99" s="50" t="n">
        <x:f>(C99-E99-F99)+(G99-P99)</x:f>
        <x:v>0</x:v>
      </x:c>
    </x:row>
    <x:row r="100">
      <x:c r="A100" s="41" t="n">
        <x:f>IF(B100=1,A99+1,A99)</x:f>
        <x:v>2030</x:v>
      </x:c>
      <x:c r="B100" s="41" t="n">
        <x:f>IF(B99=26,1,B99+1)</x:f>
        <x:v>21</x:v>
      </x:c>
      <x:c r="C100" s="48" t="n">
        <x:f>Inputs!$F$6</x:f>
        <x:v>600</x:v>
      </x:c>
      <x:c r="D100" s="50" t="n">
        <x:f>IF(B100=1,0,D99+E99)</x:f>
        <x:v>8000</x:v>
      </x:c>
      <x:c r="E100" s="50" t="n">
        <x:f>MIN(C100,MAX(0,Inputs!$B$7-D100))</x:f>
        <x:v>0</x:v>
      </x:c>
      <x:c r="F100" s="50" t="n">
        <x:f>MIN(C100-E100,MAX(0,Inputs!$B$20-O100))</x:f>
        <x:v>600</x:v>
      </x:c>
      <x:c r="G100" s="50" t="n">
        <x:f>0</x:f>
        <x:v>0</x:v>
      </x:c>
      <x:c r="H100" s="41" t="n">
        <x:f>0</x:f>
        <x:v>0</x:v>
      </x:c>
      <x:c r="I100" s="50" t="n">
        <x:f>(I99*(1+Inputs!$B$12))+E100</x:f>
        <x:v>77618.84031514745</x:v>
      </x:c>
      <x:c r="J100" s="50" t="n">
        <x:f>(J99*(1+Inputs!$B$12))+F100+P100</x:f>
        <x:v>72549.8728483314</x:v>
      </x:c>
      <x:c r="K100" s="50" t="n">
        <x:f>(K99*(1+Inputs!$B$12))*(1-H100)</x:f>
        <x:v>19266.477238281117</x:v>
      </x:c>
      <x:c r="L100" s="50" t="n">
        <x:f>L99*(1+Inputs!$B$13)+Q100</x:f>
        <x:v>16232.135046423919</x:v>
      </x:c>
      <x:c r="M100" s="50" t="n">
        <x:f>I100+J100+L100</x:f>
        <x:v>166400.84820990276</x:v>
      </x:c>
      <x:c r="N100" s="50" t="n">
        <x:f>F100+P100</x:f>
        <x:v>600</x:v>
      </x:c>
      <x:c r="O100" s="50" t="n">
        <x:f>IF(B100=1,0,O99+F99+P99)</x:f>
        <x:v>7600</x:v>
      </x:c>
      <x:c r="P100" s="50" t="n">
        <x:f>MIN(G100,MAX(0,Inputs!$B$20-O100-F100))</x:f>
        <x:v>0</x:v>
      </x:c>
      <x:c r="Q100" s="50" t="n">
        <x:f>(C100-E100-F100)+(G100-P100)</x:f>
        <x:v>0</x:v>
      </x:c>
    </x:row>
    <x:row r="101">
      <x:c r="A101" s="41" t="n">
        <x:f>IF(B101=1,A100+1,A100)</x:f>
        <x:v>2030</x:v>
      </x:c>
      <x:c r="B101" s="41" t="n">
        <x:f>IF(B100=26,1,B100+1)</x:f>
        <x:v>22</x:v>
      </x:c>
      <x:c r="C101" s="48" t="n">
        <x:f>Inputs!$F$6</x:f>
        <x:v>600</x:v>
      </x:c>
      <x:c r="D101" s="50" t="n">
        <x:f>IF(B101=1,0,D100+E100)</x:f>
        <x:v>8000</x:v>
      </x:c>
      <x:c r="E101" s="50" t="n">
        <x:f>MIN(C101,MAX(0,Inputs!$B$7-D101))</x:f>
        <x:v>0</x:v>
      </x:c>
      <x:c r="F101" s="50" t="n">
        <x:f>MIN(C101-E101,MAX(0,Inputs!$B$20-O101))</x:f>
        <x:v>600</x:v>
      </x:c>
      <x:c r="G101" s="50" t="n">
        <x:f>0</x:f>
        <x:v>0</x:v>
      </x:c>
      <x:c r="H101" s="41" t="n">
        <x:f>0</x:f>
        <x:v>0</x:v>
      </x:c>
      <x:c r="I101" s="50" t="n">
        <x:f>(I100*(1+Inputs!$B$12))+E101</x:f>
        <x:v>77764.63229424586</x:v>
      </x:c>
      <x:c r="J101" s="50" t="n">
        <x:f>(J100*(1+Inputs!$B$12))+F101+P101</x:f>
        <x:v>73286.14375244375</x:v>
      </x:c>
      <x:c r="K101" s="50" t="n">
        <x:f>(K100*(1+Inputs!$B$12))*(1-H101)</x:f>
        <x:v>19302.665589400753</x:v>
      </x:c>
      <x:c r="L101" s="50" t="n">
        <x:f>L100*(1+Inputs!$B$13)+Q101</x:f>
        <x:v>16260.535672254535</x:v>
      </x:c>
      <x:c r="M101" s="50" t="n">
        <x:f>I101+J101+L101</x:f>
        <x:v>167311.31171894414</x:v>
      </x:c>
      <x:c r="N101" s="50" t="n">
        <x:f>F101+P101</x:f>
        <x:v>600</x:v>
      </x:c>
      <x:c r="O101" s="50" t="n">
        <x:f>IF(B101=1,0,O100+F100+P100)</x:f>
        <x:v>8200</x:v>
      </x:c>
      <x:c r="P101" s="50" t="n">
        <x:f>MIN(G101,MAX(0,Inputs!$B$20-O101-F101))</x:f>
        <x:v>0</x:v>
      </x:c>
      <x:c r="Q101" s="50" t="n">
        <x:f>(C101-E101-F101)+(G101-P101)</x:f>
        <x:v>0</x:v>
      </x:c>
    </x:row>
    <x:row r="102">
      <x:c r="A102" s="41" t="n">
        <x:f>IF(B102=1,A101+1,A101)</x:f>
        <x:v>2030</x:v>
      </x:c>
      <x:c r="B102" s="41" t="n">
        <x:f>IF(B101=26,1,B101+1)</x:f>
        <x:v>23</x:v>
      </x:c>
      <x:c r="C102" s="48" t="n">
        <x:f>Inputs!$F$6</x:f>
        <x:v>600</x:v>
      </x:c>
      <x:c r="D102" s="50" t="n">
        <x:f>IF(B102=1,0,D101+E101)</x:f>
        <x:v>8000</x:v>
      </x:c>
      <x:c r="E102" s="50" t="n">
        <x:f>MIN(C102,MAX(0,Inputs!$B$7-D102))</x:f>
        <x:v>0</x:v>
      </x:c>
      <x:c r="F102" s="50" t="n">
        <x:f>MIN(C102-E102,MAX(0,Inputs!$B$20-O102))</x:f>
        <x:v>600</x:v>
      </x:c>
      <x:c r="G102" s="50" t="n">
        <x:f>0</x:f>
        <x:v>0</x:v>
      </x:c>
      <x:c r="H102" s="41" t="n">
        <x:f>0</x:f>
        <x:v>0</x:v>
      </x:c>
      <x:c r="I102" s="50" t="n">
        <x:f>(I101*(1+Inputs!$B$12))+E102</x:f>
        <x:v>77910.69811537907</x:v>
      </x:c>
      <x:c r="J102" s="50" t="n">
        <x:f>(J101*(1+Inputs!$B$12))+F102+P102</x:f>
        <x:v>74023.79759904566</x:v>
      </x:c>
      <x:c r="K102" s="50" t="n">
        <x:f>(K101*(1+Inputs!$B$12))*(1-H102)</x:f>
        <x:v>19338.921913338698</x:v>
      </x:c>
      <x:c r="L102" s="50" t="n">
        <x:f>L101*(1+Inputs!$B$13)+Q102</x:f>
        <x:v>16288.985989363917</x:v>
      </x:c>
      <x:c r="M102" s="50" t="n">
        <x:f>I102+J102+L102</x:f>
        <x:v>168223.48170378865</x:v>
      </x:c>
      <x:c r="N102" s="50" t="n">
        <x:f>F102+P102</x:f>
        <x:v>600</x:v>
      </x:c>
      <x:c r="O102" s="50" t="n">
        <x:f>IF(B102=1,0,O101+F101+P101)</x:f>
        <x:v>8800</x:v>
      </x:c>
      <x:c r="P102" s="50" t="n">
        <x:f>MIN(G102,MAX(0,Inputs!$B$20-O102-F102))</x:f>
        <x:v>0</x:v>
      </x:c>
      <x:c r="Q102" s="50" t="n">
        <x:f>(C102-E102-F102)+(G102-P102)</x:f>
        <x:v>0</x:v>
      </x:c>
    </x:row>
    <x:row r="103">
      <x:c r="A103" s="41" t="n">
        <x:f>IF(B103=1,A102+1,A102)</x:f>
        <x:v>2030</x:v>
      </x:c>
      <x:c r="B103" s="41" t="n">
        <x:f>IF(B102=26,1,B102+1)</x:f>
        <x:v>24</x:v>
      </x:c>
      <x:c r="C103" s="48" t="n">
        <x:f>Inputs!$F$6</x:f>
        <x:v>600</x:v>
      </x:c>
      <x:c r="D103" s="50" t="n">
        <x:f>IF(B103=1,0,D102+E102)</x:f>
        <x:v>8000</x:v>
      </x:c>
      <x:c r="E103" s="50" t="n">
        <x:f>MIN(C103,MAX(0,Inputs!$B$7-D103))</x:f>
        <x:v>0</x:v>
      </x:c>
      <x:c r="F103" s="50" t="n">
        <x:f>MIN(C103-E103,MAX(0,Inputs!$B$20-O103))</x:f>
        <x:v>600</x:v>
      </x:c>
      <x:c r="G103" s="50" t="n">
        <x:f>0</x:f>
        <x:v>0</x:v>
      </x:c>
      <x:c r="H103" s="41" t="n">
        <x:f>0</x:f>
        <x:v>0</x:v>
      </x:c>
      <x:c r="I103" s="50" t="n">
        <x:f>(I102*(1+Inputs!$B$12))+E103</x:f>
        <x:v>78057.03829290635</x:v>
      </x:c>
      <x:c r="J103" s="50" t="n">
        <x:f>(J102*(1+Inputs!$B$12))+F103+P103</x:f>
        <x:v>74762.83698572713</x:v>
      </x:c>
      <x:c r="K103" s="50" t="n">
        <x:f>(K102*(1+Inputs!$B$12))*(1-H103)</x:f>
        <x:v>19375.24633776874</x:v>
      </x:c>
      <x:c r="L103" s="50" t="n">
        <x:f>L102*(1+Inputs!$B$13)+Q103</x:f>
        <x:v>16317.486084694629</x:v>
      </x:c>
      <x:c r="M103" s="50" t="n">
        <x:f>I103+J103+L103</x:f>
        <x:v>169137.36136332812</x:v>
      </x:c>
      <x:c r="N103" s="50" t="n">
        <x:f>F103+P103</x:f>
        <x:v>600</x:v>
      </x:c>
      <x:c r="O103" s="50" t="n">
        <x:f>IF(B103=1,0,O102+F102+P102)</x:f>
        <x:v>9400</x:v>
      </x:c>
      <x:c r="P103" s="50" t="n">
        <x:f>MIN(G103,MAX(0,Inputs!$B$20-O103-F103))</x:f>
        <x:v>0</x:v>
      </x:c>
      <x:c r="Q103" s="50" t="n">
        <x:f>(C103-E103-F103)+(G103-P103)</x:f>
        <x:v>0</x:v>
      </x:c>
    </x:row>
    <x:row r="104">
      <x:c r="A104" s="41" t="n">
        <x:f>IF(B104=1,A103+1,A103)</x:f>
        <x:v>2030</x:v>
      </x:c>
      <x:c r="B104" s="41" t="n">
        <x:f>IF(B103=26,1,B103+1)</x:f>
        <x:v>25</x:v>
      </x:c>
      <x:c r="C104" s="48" t="n">
        <x:f>Inputs!$F$6</x:f>
        <x:v>600</x:v>
      </x:c>
      <x:c r="D104" s="50" t="n">
        <x:f>IF(B104=1,0,D103+E103)</x:f>
        <x:v>8000</x:v>
      </x:c>
      <x:c r="E104" s="50" t="n">
        <x:f>MIN(C104,MAX(0,Inputs!$B$7-D104))</x:f>
        <x:v>0</x:v>
      </x:c>
      <x:c r="F104" s="50" t="n">
        <x:f>MIN(C104-E104,MAX(0,Inputs!$B$20-O104))</x:f>
        <x:v>600</x:v>
      </x:c>
      <x:c r="G104" s="50" t="n">
        <x:f>0</x:f>
        <x:v>0</x:v>
      </x:c>
      <x:c r="H104" s="41" t="n">
        <x:f>0</x:f>
        <x:v>0</x:v>
      </x:c>
      <x:c r="I104" s="50" t="n">
        <x:f>(I103*(1+Inputs!$B$12))+E104</x:f>
        <x:v>78203.65334215313</x:v>
      </x:c>
      <x:c r="J104" s="50" t="n">
        <x:f>(J103*(1+Inputs!$B$12))+F104+P104</x:f>
        <x:v>75503.26451495722</x:v>
      </x:c>
      <x:c r="K104" s="50" t="n">
        <x:f>(K103*(1+Inputs!$B$12))*(1-H104)</x:f>
        <x:v>19411.63899060449</x:v>
      </x:c>
      <x:c r="L104" s="50" t="n">
        <x:f>L103*(1+Inputs!$B$13)+Q104</x:f>
        <x:v>16346.036045341352</x:v>
      </x:c>
      <x:c r="M104" s="50" t="n">
        <x:f>I104+J104+L104</x:f>
        <x:v>170052.9539024517</x:v>
      </x:c>
      <x:c r="N104" s="50" t="n">
        <x:f>F104+P104</x:f>
        <x:v>600</x:v>
      </x:c>
      <x:c r="O104" s="50" t="n">
        <x:f>IF(B104=1,0,O103+F103+P103)</x:f>
        <x:v>10000</x:v>
      </x:c>
      <x:c r="P104" s="50" t="n">
        <x:f>MIN(G104,MAX(0,Inputs!$B$20-O104-F104))</x:f>
        <x:v>0</x:v>
      </x:c>
      <x:c r="Q104" s="50" t="n">
        <x:f>(C104-E104-F104)+(G104-P104)</x:f>
        <x:v>0</x:v>
      </x:c>
    </x:row>
    <x:row r="105">
      <x:c r="A105" s="41" t="n">
        <x:f>IF(B105=1,A104+1,A104)</x:f>
        <x:v>2030</x:v>
      </x:c>
      <x:c r="B105" s="41" t="n">
        <x:f>IF(B104=26,1,B104+1)</x:f>
        <x:v>26</x:v>
      </x:c>
      <x:c r="C105" s="48" t="n">
        <x:f>Inputs!$F$6</x:f>
        <x:v>600</x:v>
      </x:c>
      <x:c r="D105" s="50" t="n">
        <x:f>IF(B105=1,0,D104+E104)</x:f>
        <x:v>8000</x:v>
      </x:c>
      <x:c r="E105" s="50" t="n">
        <x:f>MIN(C105,MAX(0,Inputs!$B$7-D105))</x:f>
        <x:v>0</x:v>
      </x:c>
      <x:c r="F105" s="50" t="n">
        <x:f>MIN(C105-E105,MAX(0,Inputs!$B$20-O105))</x:f>
        <x:v>600</x:v>
      </x:c>
      <x:c r="G105" s="50" t="n">
        <x:f>0</x:f>
        <x:v>0</x:v>
      </x:c>
      <x:c r="H105" s="41" t="n">
        <x:f>IF(A105=Inputs!$B$8,1,0)</x:f>
        <x:v>0</x:v>
      </x:c>
      <x:c r="I105" s="50" t="n">
        <x:f>(I104*(1+Inputs!$B$12))+E105</x:f>
        <x:v>78350.54377941278</x:v>
      </x:c>
      <x:c r="J105" s="50" t="n">
        <x:f>(J104*(1+Inputs!$B$12))+F105+P105</x:f>
        <x:v>76245.08279409322</x:v>
      </x:c>
      <x:c r="K105" s="50" t="n">
        <x:f>(K104*(1+Inputs!$B$12))*(1-H105)</x:f>
        <x:v>19448.099999999806</x:v>
      </x:c>
      <x:c r="L105" s="50" t="n">
        <x:f>L104*(1+Inputs!$B$13)+Q105</x:f>
        <x:v>16374.635958551155</x:v>
      </x:c>
      <x:c r="M105" s="50" t="n">
        <x:f>I105+J105+L105</x:f>
        <x:v>170970.26253205715</x:v>
      </x:c>
      <x:c r="N105" s="50" t="n">
        <x:f>F105+P105</x:f>
        <x:v>600</x:v>
      </x:c>
      <x:c r="O105" s="50" t="n">
        <x:f>IF(B105=1,0,O104+F104+P104)</x:f>
        <x:v>10600</x:v>
      </x:c>
      <x:c r="P105" s="50" t="n">
        <x:f>MIN(G105,MAX(0,Inputs!$B$20-O105-F105))</x:f>
        <x:v>0</x:v>
      </x:c>
      <x:c r="Q105" s="50" t="n">
        <x:f>(C105-E105-F105)+(G105-P105)</x:f>
        <x:v>0</x:v>
      </x:c>
    </x:row>
    <x:row r="106">
      <x:c r="A106" s="41" t="n">
        <x:f>IF(B106=1,A105+1,A105)</x:f>
        <x:v>2031</x:v>
      </x:c>
      <x:c r="B106" s="41" t="n">
        <x:f>IF(B105=26,1,B105+1)</x:f>
        <x:v>1</x:v>
      </x:c>
      <x:c r="C106" s="48" t="n">
        <x:f>Inputs!$F$7</x:f>
        <x:v>600</x:v>
      </x:c>
      <x:c r="D106" s="50" t="n">
        <x:f>IF(B106=1,0,D105+E105)</x:f>
        <x:v>0</x:v>
      </x:c>
      <x:c r="E106" s="50" t="n">
        <x:f>MIN(C106,MAX(0,Inputs!$B$7-D106))</x:f>
        <x:v>600</x:v>
      </x:c>
      <x:c r="F106" s="50" t="n">
        <x:f>MIN(C106-E106,MAX(0,Inputs!$B$20-O106))</x:f>
        <x:v>0</x:v>
      </x:c>
      <x:c r="G106" s="50" t="n">
        <x:f>0</x:f>
        <x:v>0</x:v>
      </x:c>
      <x:c r="H106" s="41" t="n">
        <x:f>0</x:f>
        <x:v>0</x:v>
      </x:c>
      <x:c r="I106" s="50" t="n">
        <x:f>(I105*(1+Inputs!$B$12))+E106</x:f>
        <x:v>79097.71012194842</x:v>
      </x:c>
      <x:c r="J106" s="50" t="n">
        <x:f>(J105*(1+Inputs!$B$12))+F106+P106</x:f>
        <x:v>76388.29443538985</x:v>
      </x:c>
      <x:c r="K106" s="50" t="n">
        <x:f>(K105*(1+Inputs!$B$12))*(1-H106)</x:f>
        <x:v>19484.629494349265</x:v>
      </x:c>
      <x:c r="L106" s="50" t="n">
        <x:f>L105*(1+Inputs!$B$13)+Q106</x:f>
        <x:v>16403.285911723753</x:v>
      </x:c>
      <x:c r="M106" s="50" t="n">
        <x:f>I106+J106+L106</x:f>
        <x:v>171889.290469062</x:v>
      </x:c>
      <x:c r="N106" s="50" t="n">
        <x:f>F106+P106</x:f>
        <x:v>0</x:v>
      </x:c>
      <x:c r="O106" s="50" t="n">
        <x:f>IF(B106=1,0,O105+F105+P105)</x:f>
        <x:v>0</x:v>
      </x:c>
      <x:c r="P106" s="50" t="n">
        <x:f>MIN(G106,MAX(0,Inputs!$B$20-O106-F106))</x:f>
        <x:v>0</x:v>
      </x:c>
      <x:c r="Q106" s="50" t="n">
        <x:f>(C106-E106-F106)+(G106-P106)</x:f>
        <x:v>0</x:v>
      </x:c>
    </x:row>
    <x:row r="107">
      <x:c r="A107" s="41" t="n">
        <x:f>IF(B107=1,A106+1,A106)</x:f>
        <x:v>2031</x:v>
      </x:c>
      <x:c r="B107" s="41" t="n">
        <x:f>IF(B106=26,1,B106+1)</x:f>
        <x:v>2</x:v>
      </x:c>
      <x:c r="C107" s="48" t="n">
        <x:f>Inputs!$F$7</x:f>
        <x:v>600</x:v>
      </x:c>
      <x:c r="D107" s="50" t="n">
        <x:f>IF(B107=1,0,D106+E106)</x:f>
        <x:v>600</x:v>
      </x:c>
      <x:c r="E107" s="50" t="n">
        <x:f>MIN(C107,MAX(0,Inputs!$B$7-D107))</x:f>
        <x:v>600</x:v>
      </x:c>
      <x:c r="F107" s="50" t="n">
        <x:f>MIN(C107-E107,MAX(0,Inputs!$B$20-O107))</x:f>
        <x:v>0</x:v>
      </x:c>
      <x:c r="G107" s="50" t="n">
        <x:f>0</x:f>
        <x:v>0</x:v>
      </x:c>
      <x:c r="H107" s="41" t="n">
        <x:f>0</x:f>
        <x:v>0</x:v>
      </x:c>
      <x:c r="I107" s="50" t="n">
        <x:f>(I106*(1+Inputs!$B$12))+E107</x:f>
        <x:v>79846.2798719474</x:v>
      </x:c>
      <x:c r="J107" s="50" t="n">
        <x:f>(J106*(1+Inputs!$B$12))+F107+P107</x:f>
        <x:v>76531.77507205577</x:v>
      </x:c>
      <x:c r="K107" s="50" t="n">
        <x:f>(K106*(1+Inputs!$B$12))*(1-H107)</x:f>
        <x:v>19521.22760228861</x:v>
      </x:c>
      <x:c r="L107" s="50" t="n">
        <x:f>L106*(1+Inputs!$B$13)+Q107</x:f>
        <x:v>16431.98599241179</x:v>
      </x:c>
      <x:c r="M107" s="50" t="n">
        <x:f>I107+J107+L107</x:f>
        <x:v>172810.04093641497</x:v>
      </x:c>
      <x:c r="N107" s="50" t="n">
        <x:f>F107+P107</x:f>
        <x:v>0</x:v>
      </x:c>
      <x:c r="O107" s="50" t="n">
        <x:f>IF(B107=1,0,O106+F106+P106)</x:f>
        <x:v>0</x:v>
      </x:c>
      <x:c r="P107" s="50" t="n">
        <x:f>MIN(G107,MAX(0,Inputs!$B$20-O107-F107))</x:f>
        <x:v>0</x:v>
      </x:c>
      <x:c r="Q107" s="50" t="n">
        <x:f>(C107-E107-F107)+(G107-P107)</x:f>
        <x:v>0</x:v>
      </x:c>
    </x:row>
    <x:row r="108">
      <x:c r="A108" s="41" t="n">
        <x:f>IF(B108=1,A107+1,A107)</x:f>
        <x:v>2031</x:v>
      </x:c>
      <x:c r="B108" s="41" t="n">
        <x:f>IF(B107=26,1,B107+1)</x:f>
        <x:v>3</x:v>
      </x:c>
      <x:c r="C108" s="48" t="n">
        <x:f>Inputs!$F$7</x:f>
        <x:v>600</x:v>
      </x:c>
      <x:c r="D108" s="50" t="n">
        <x:f>IF(B108=1,0,D107+E107)</x:f>
        <x:v>1200</x:v>
      </x:c>
      <x:c r="E108" s="50" t="n">
        <x:f>MIN(C108,MAX(0,Inputs!$B$7-D108))</x:f>
        <x:v>600</x:v>
      </x:c>
      <x:c r="F108" s="50" t="n">
        <x:f>MIN(C108-E108,MAX(0,Inputs!$B$20-O108))</x:f>
        <x:v>0</x:v>
      </x:c>
      <x:c r="G108" s="50" t="n">
        <x:f>0</x:f>
        <x:v>0</x:v>
      </x:c>
      <x:c r="H108" s="41" t="n">
        <x:f>0</x:f>
        <x:v>0</x:v>
      </x:c>
      <x:c r="I108" s="50" t="n">
        <x:f>(I107*(1+Inputs!$B$12))+E108</x:f>
        <x:v>80596.25566543918</x:v>
      </x:c>
      <x:c r="J108" s="50" t="n">
        <x:f>(J107*(1+Inputs!$B$12))+F108+P108</x:f>
        <x:v>76675.52520934676</x:v>
      </x:c>
      <x:c r="K108" s="50" t="n">
        <x:f>(K107*(1+Inputs!$B$12))*(1-H108)</x:f>
        <x:v>19557.894452695196</x:v>
      </x:c>
      <x:c r="L108" s="50" t="n">
        <x:f>L107*(1+Inputs!$B$13)+Q108</x:f>
        <x:v>16460.73628832109</x:v>
      </x:c>
      <x:c r="M108" s="50" t="n">
        <x:f>I108+J108+L108</x:f>
        <x:v>173732.51716310703</x:v>
      </x:c>
      <x:c r="N108" s="50" t="n">
        <x:f>F108+P108</x:f>
        <x:v>0</x:v>
      </x:c>
      <x:c r="O108" s="50" t="n">
        <x:f>IF(B108=1,0,O107+F107+P107)</x:f>
        <x:v>0</x:v>
      </x:c>
      <x:c r="P108" s="50" t="n">
        <x:f>MIN(G108,MAX(0,Inputs!$B$20-O108-F108))</x:f>
        <x:v>0</x:v>
      </x:c>
      <x:c r="Q108" s="50" t="n">
        <x:f>(C108-E108-F108)+(G108-P108)</x:f>
        <x:v>0</x:v>
      </x:c>
    </x:row>
    <x:row r="109">
      <x:c r="A109" s="41" t="n">
        <x:f>IF(B109=1,A108+1,A108)</x:f>
        <x:v>2031</x:v>
      </x:c>
      <x:c r="B109" s="41" t="n">
        <x:f>IF(B108=26,1,B108+1)</x:f>
        <x:v>4</x:v>
      </x:c>
      <x:c r="C109" s="48" t="n">
        <x:f>Inputs!$F$7</x:f>
        <x:v>600</x:v>
      </x:c>
      <x:c r="D109" s="50" t="n">
        <x:f>IF(B109=1,0,D108+E108)</x:f>
        <x:v>1800</x:v>
      </x:c>
      <x:c r="E109" s="50" t="n">
        <x:f>MIN(C109,MAX(0,Inputs!$B$7-D109))</x:f>
        <x:v>600</x:v>
      </x:c>
      <x:c r="F109" s="50" t="n">
        <x:f>MIN(C109-E109,MAX(0,Inputs!$B$20-O109))</x:f>
        <x:v>0</x:v>
      </x:c>
      <x:c r="G109" s="50" t="n">
        <x:f>0</x:f>
        <x:v>0</x:v>
      </x:c>
      <x:c r="H109" s="41" t="n">
        <x:f>0</x:f>
        <x:v>0</x:v>
      </x:c>
      <x:c r="I109" s="50" t="n">
        <x:f>(I108*(1+Inputs!$B$12))+E109</x:f>
        <x:v>81347.64014340455</x:v>
      </x:c>
      <x:c r="J109" s="50" t="n">
        <x:f>(J108*(1+Inputs!$B$12))+F109+P109</x:f>
        <x:v>76819.5453534676</x:v>
      </x:c>
      <x:c r="K109" s="50" t="n">
        <x:f>(K108*(1+Inputs!$B$12))*(1-H109)</x:f>
        <x:v>19594.630174688453</x:v>
      </x:c>
      <x:c r="L109" s="50" t="n">
        <x:f>L108*(1+Inputs!$B$13)+Q109</x:f>
        <x:v>16489.536887310936</x:v>
      </x:c>
      <x:c r="M109" s="50" t="n">
        <x:f>I109+J109+L109</x:f>
        <x:v>174656.72238418311</x:v>
      </x:c>
      <x:c r="N109" s="50" t="n">
        <x:f>F109+P109</x:f>
        <x:v>0</x:v>
      </x:c>
      <x:c r="O109" s="50" t="n">
        <x:f>IF(B109=1,0,O108+F108+P108)</x:f>
        <x:v>0</x:v>
      </x:c>
      <x:c r="P109" s="50" t="n">
        <x:f>MIN(G109,MAX(0,Inputs!$B$20-O109-F109))</x:f>
        <x:v>0</x:v>
      </x:c>
      <x:c r="Q109" s="50" t="n">
        <x:f>(C109-E109-F109)+(G109-P109)</x:f>
        <x:v>0</x:v>
      </x:c>
    </x:row>
    <x:row r="110">
      <x:c r="A110" s="41" t="n">
        <x:f>IF(B110=1,A109+1,A109)</x:f>
        <x:v>2031</x:v>
      </x:c>
      <x:c r="B110" s="41" t="n">
        <x:f>IF(B109=26,1,B109+1)</x:f>
        <x:v>5</x:v>
      </x:c>
      <x:c r="C110" s="48" t="n">
        <x:f>Inputs!$F$7</x:f>
        <x:v>600</x:v>
      </x:c>
      <x:c r="D110" s="50" t="n">
        <x:f>IF(B110=1,0,D109+E109)</x:f>
        <x:v>2400</x:v>
      </x:c>
      <x:c r="E110" s="50" t="n">
        <x:f>MIN(C110,MAX(0,Inputs!$B$7-D110))</x:f>
        <x:v>600</x:v>
      </x:c>
      <x:c r="F110" s="50" t="n">
        <x:f>MIN(C110-E110,MAX(0,Inputs!$B$20-O110))</x:f>
        <x:v>0</x:v>
      </x:c>
      <x:c r="G110" s="50" t="n">
        <x:f>0</x:f>
        <x:v>0</x:v>
      </x:c>
      <x:c r="H110" s="41" t="n">
        <x:f>0</x:f>
        <x:v>0</x:v>
      </x:c>
      <x:c r="I110" s="50" t="n">
        <x:f>(I109*(1+Inputs!$B$12))+E110</x:f>
        <x:v>82100.43595178484</x:v>
      </x:c>
      <x:c r="J110" s="50" t="n">
        <x:f>(J109*(1+Inputs!$B$12))+F110+P110</x:f>
        <x:v>76963.83601157393</x:v>
      </x:c>
      <x:c r="K110" s="50" t="n">
        <x:f>(K109*(1+Inputs!$B$12))*(1-H110)</x:f>
        <x:v>19631.434897630337</x:v>
      </x:c>
      <x:c r="L110" s="50" t="n">
        <x:f>L109*(1+Inputs!$B$13)+Q110</x:f>
        <x:v>16518.38787739433</x:v>
      </x:c>
      <x:c r="M110" s="50" t="n">
        <x:f>I110+J110+L110</x:f>
        <x:v>175582.6598407531</x:v>
      </x:c>
      <x:c r="N110" s="50" t="n">
        <x:f>F110+P110</x:f>
        <x:v>0</x:v>
      </x:c>
      <x:c r="O110" s="50" t="n">
        <x:f>IF(B110=1,0,O109+F109+P109)</x:f>
        <x:v>0</x:v>
      </x:c>
      <x:c r="P110" s="50" t="n">
        <x:f>MIN(G110,MAX(0,Inputs!$B$20-O110-F110))</x:f>
        <x:v>0</x:v>
      </x:c>
      <x:c r="Q110" s="50" t="n">
        <x:f>(C110-E110-F110)+(G110-P110)</x:f>
        <x:v>0</x:v>
      </x:c>
    </x:row>
    <x:row r="111">
      <x:c r="A111" s="41" t="n">
        <x:f>IF(B111=1,A110+1,A110)</x:f>
        <x:v>2031</x:v>
      </x:c>
      <x:c r="B111" s="41" t="n">
        <x:f>IF(B110=26,1,B110+1)</x:f>
        <x:v>6</x:v>
      </x:c>
      <x:c r="C111" s="48" t="n">
        <x:f>Inputs!$F$7</x:f>
        <x:v>600</x:v>
      </x:c>
      <x:c r="D111" s="50" t="n">
        <x:f>IF(B111=1,0,D110+E110)</x:f>
        <x:v>3000</x:v>
      </x:c>
      <x:c r="E111" s="50" t="n">
        <x:f>MIN(C111,MAX(0,Inputs!$B$7-D111))</x:f>
        <x:v>600</x:v>
      </x:c>
      <x:c r="F111" s="50" t="n">
        <x:f>MIN(C111-E111,MAX(0,Inputs!$B$20-O111))</x:f>
        <x:v>0</x:v>
      </x:c>
      <x:c r="G111" s="50" t="n">
        <x:f>0</x:f>
        <x:v>0</x:v>
      </x:c>
      <x:c r="H111" s="41" t="n">
        <x:f>0</x:f>
        <x:v>0</x:v>
      </x:c>
      <x:c r="I111" s="50" t="n">
        <x:f>(I110*(1+Inputs!$B$12))+E111</x:f>
        <x:v>82854.64574149123</x:v>
      </x:c>
      <x:c r="J111" s="50" t="n">
        <x:f>(J110*(1+Inputs!$B$12))+F111+P111</x:f>
        <x:v>77108.39769177393</x:v>
      </x:c>
      <x:c r="K111" s="50" t="n">
        <x:f>(K110*(1+Inputs!$B$12))*(1-H111)</x:f>
        <x:v>19668.308751125784</x:v>
      </x:c>
      <x:c r="L111" s="50" t="n">
        <x:f>L110*(1+Inputs!$B$13)+Q111</x:f>
        <x:v>16547.289346738267</x:v>
      </x:c>
      <x:c r="M111" s="50" t="n">
        <x:f>I111+J111+L111</x:f>
        <x:v>176510.33278000343</x:v>
      </x:c>
      <x:c r="N111" s="50" t="n">
        <x:f>F111+P111</x:f>
        <x:v>0</x:v>
      </x:c>
      <x:c r="O111" s="50" t="n">
        <x:f>IF(B111=1,0,O110+F110+P110)</x:f>
        <x:v>0</x:v>
      </x:c>
      <x:c r="P111" s="50" t="n">
        <x:f>MIN(G111,MAX(0,Inputs!$B$20-O111-F111))</x:f>
        <x:v>0</x:v>
      </x:c>
      <x:c r="Q111" s="50" t="n">
        <x:f>(C111-E111-F111)+(G111-P111)</x:f>
        <x:v>0</x:v>
      </x:c>
    </x:row>
    <x:row r="112">
      <x:c r="A112" s="41" t="n">
        <x:f>IF(B112=1,A111+1,A111)</x:f>
        <x:v>2031</x:v>
      </x:c>
      <x:c r="B112" s="41" t="n">
        <x:f>IF(B111=26,1,B111+1)</x:f>
        <x:v>7</x:v>
      </x:c>
      <x:c r="C112" s="48" t="n">
        <x:f>Inputs!$F$7</x:f>
        <x:v>600</x:v>
      </x:c>
      <x:c r="D112" s="50" t="n">
        <x:f>IF(B112=1,0,D111+E111)</x:f>
        <x:v>3600</x:v>
      </x:c>
      <x:c r="E112" s="50" t="n">
        <x:f>MIN(C112,MAX(0,Inputs!$B$7-D112))</x:f>
        <x:v>600</x:v>
      </x:c>
      <x:c r="F112" s="50" t="n">
        <x:f>MIN(C112-E112,MAX(0,Inputs!$B$20-O112))</x:f>
        <x:v>0</x:v>
      </x:c>
      <x:c r="G112" s="50" t="n">
        <x:f>0</x:f>
        <x:v>0</x:v>
      </x:c>
      <x:c r="H112" s="41" t="n">
        <x:f>0</x:f>
        <x:v>0</x:v>
      </x:c>
      <x:c r="I112" s="50" t="n">
        <x:f>(I111*(1+Inputs!$B$12))+E112</x:f>
        <x:v>83610.27216841419</x:v>
      </x:c>
      <x:c r="J112" s="50" t="n">
        <x:f>(J111*(1+Inputs!$B$12))+F112+P112</x:f>
        <x:v>77253.23090313018</x:v>
      </x:c>
      <x:c r="K112" s="50" t="n">
        <x:f>(K111*(1+Inputs!$B$12))*(1-H112)</x:f>
        <x:v>19705.251865023165</x:v>
      </x:c>
      <x:c r="L112" s="50" t="n">
        <x:f>L111*(1+Inputs!$B$13)+Q112</x:f>
        <x:v>16576.241383664008</x:v>
      </x:c>
      <x:c r="M112" s="50" t="n">
        <x:f>I112+J112+L112</x:f>
        <x:v>177439.7444552084</x:v>
      </x:c>
      <x:c r="N112" s="50" t="n">
        <x:f>F112+P112</x:f>
        <x:v>0</x:v>
      </x:c>
      <x:c r="O112" s="50" t="n">
        <x:f>IF(B112=1,0,O111+F111+P111)</x:f>
        <x:v>0</x:v>
      </x:c>
      <x:c r="P112" s="50" t="n">
        <x:f>MIN(G112,MAX(0,Inputs!$B$20-O112-F112))</x:f>
        <x:v>0</x:v>
      </x:c>
      <x:c r="Q112" s="50" t="n">
        <x:f>(C112-E112-F112)+(G112-P112)</x:f>
        <x:v>0</x:v>
      </x:c>
    </x:row>
    <x:row r="113">
      <x:c r="A113" s="41" t="n">
        <x:f>IF(B113=1,A112+1,A112)</x:f>
        <x:v>2031</x:v>
      </x:c>
      <x:c r="B113" s="41" t="n">
        <x:f>IF(B112=26,1,B112+1)</x:f>
        <x:v>8</x:v>
      </x:c>
      <x:c r="C113" s="48" t="n">
        <x:f>Inputs!$F$7</x:f>
        <x:v>600</x:v>
      </x:c>
      <x:c r="D113" s="50" t="n">
        <x:f>IF(B113=1,0,D112+E112)</x:f>
        <x:v>4200</x:v>
      </x:c>
      <x:c r="E113" s="50" t="n">
        <x:f>MIN(C113,MAX(0,Inputs!$B$7-D113))</x:f>
        <x:v>600</x:v>
      </x:c>
      <x:c r="F113" s="50" t="n">
        <x:f>MIN(C113-E113,MAX(0,Inputs!$B$20-O113))</x:f>
        <x:v>0</x:v>
      </x:c>
      <x:c r="G113" s="50" t="n">
        <x:f>0</x:f>
        <x:v>0</x:v>
      </x:c>
      <x:c r="H113" s="41" t="n">
        <x:f>0</x:f>
        <x:v>0</x:v>
      </x:c>
      <x:c r="I113" s="50" t="n">
        <x:f>(I112*(1+Inputs!$B$12))+E113</x:f>
        <x:v>84367.31789343272</x:v>
      </x:c>
      <x:c r="J113" s="50" t="n">
        <x:f>(J112*(1+Inputs!$B$12))+F113+P113</x:f>
        <x:v>77398.33615566145</x:v>
      </x:c>
      <x:c r="K113" s="50" t="n">
        <x:f>(K112*(1+Inputs!$B$12))*(1-H113)</x:f>
        <x:v>19742.264369414755</x:v>
      </x:c>
      <x:c r="L113" s="50" t="n">
        <x:f>L112*(1+Inputs!$B$13)+Q113</x:f>
        <x:v>16605.24407664734</x:v>
      </x:c>
      <x:c r="M113" s="50" t="n">
        <x:f>I113+J113+L113</x:f>
        <x:v>178370.8981257415</x:v>
      </x:c>
      <x:c r="N113" s="50" t="n">
        <x:f>F113+P113</x:f>
        <x:v>0</x:v>
      </x:c>
      <x:c r="O113" s="50" t="n">
        <x:f>IF(B113=1,0,O112+F112+P112)</x:f>
        <x:v>0</x:v>
      </x:c>
      <x:c r="P113" s="50" t="n">
        <x:f>MIN(G113,MAX(0,Inputs!$B$20-O113-F113))</x:f>
        <x:v>0</x:v>
      </x:c>
      <x:c r="Q113" s="50" t="n">
        <x:f>(C113-E113-F113)+(G113-P113)</x:f>
        <x:v>0</x:v>
      </x:c>
    </x:row>
    <x:row r="114">
      <x:c r="A114" s="41" t="n">
        <x:f>IF(B114=1,A113+1,A113)</x:f>
        <x:v>2031</x:v>
      </x:c>
      <x:c r="B114" s="41" t="n">
        <x:f>IF(B113=26,1,B113+1)</x:f>
        <x:v>9</x:v>
      </x:c>
      <x:c r="C114" s="48" t="n">
        <x:f>Inputs!$F$7</x:f>
        <x:v>600</x:v>
      </x:c>
      <x:c r="D114" s="50" t="n">
        <x:f>IF(B114=1,0,D113+E113)</x:f>
        <x:v>4800</x:v>
      </x:c>
      <x:c r="E114" s="50" t="n">
        <x:f>MIN(C114,MAX(0,Inputs!$B$7-D114))</x:f>
        <x:v>600</x:v>
      </x:c>
      <x:c r="F114" s="50" t="n">
        <x:f>MIN(C114-E114,MAX(0,Inputs!$B$20-O114))</x:f>
        <x:v>0</x:v>
      </x:c>
      <x:c r="G114" s="50" t="n">
        <x:f>SUM(N80:N105)*Inputs!$B$6</x:f>
        <x:v>3360</x:v>
      </x:c>
      <x:c r="H114" s="41" t="n">
        <x:f>0</x:f>
        <x:v>0</x:v>
      </x:c>
      <x:c r="I114" s="50" t="n">
        <x:f>(I113*(1+Inputs!$B$12))+E114</x:f>
        <x:v>85125.78558242379</x:v>
      </x:c>
      <x:c r="J114" s="50" t="n">
        <x:f>(J113*(1+Inputs!$B$12))+F114+P114</x:f>
        <x:v>80903.71396034448</x:v>
      </x:c>
      <x:c r="K114" s="50" t="n">
        <x:f>(K113*(1+Inputs!$B$12))*(1-H114)</x:f>
        <x:v>19779.346394637174</x:v>
      </x:c>
      <x:c r="L114" s="50" t="n">
        <x:f>L113*(1+Inputs!$B$13)+Q114</x:f>
        <x:v>16634.297514318856</x:v>
      </x:c>
      <x:c r="M114" s="50" t="n">
        <x:f>I114+J114+L114</x:f>
        <x:v>182663.79705708715</x:v>
      </x:c>
      <x:c r="N114" s="50" t="n">
        <x:f>F114+P114</x:f>
        <x:v>3360</x:v>
      </x:c>
      <x:c r="O114" s="50" t="n">
        <x:f>IF(B114=1,0,O113+F113+P113)</x:f>
        <x:v>0</x:v>
      </x:c>
      <x:c r="P114" s="50" t="n">
        <x:f>MIN(G114,MAX(0,Inputs!$B$20-O114-F114))</x:f>
        <x:v>3360</x:v>
      </x:c>
      <x:c r="Q114" s="50" t="n">
        <x:f>(C114-E114-F114)+(G114-P114)</x:f>
        <x:v>0</x:v>
      </x:c>
    </x:row>
    <x:row r="115">
      <x:c r="A115" s="41" t="n">
        <x:f>IF(B115=1,A114+1,A114)</x:f>
        <x:v>2031</x:v>
      </x:c>
      <x:c r="B115" s="41" t="n">
        <x:f>IF(B114=26,1,B114+1)</x:f>
        <x:v>10</x:v>
      </x:c>
      <x:c r="C115" s="48" t="n">
        <x:f>Inputs!$F$7</x:f>
        <x:v>600</x:v>
      </x:c>
      <x:c r="D115" s="50" t="n">
        <x:f>IF(B115=1,0,D114+E114)</x:f>
        <x:v>5400</x:v>
      </x:c>
      <x:c r="E115" s="50" t="n">
        <x:f>MIN(C115,MAX(0,Inputs!$B$7-D115))</x:f>
        <x:v>600</x:v>
      </x:c>
      <x:c r="F115" s="50" t="n">
        <x:f>MIN(C115-E115,MAX(0,Inputs!$B$20-O115))</x:f>
        <x:v>0</x:v>
      </x:c>
      <x:c r="G115" s="50" t="n">
        <x:f>0</x:f>
        <x:v>0</x:v>
      </x:c>
      <x:c r="H115" s="41" t="n">
        <x:f>0</x:f>
        <x:v>0</x:v>
      </x:c>
      <x:c r="I115" s="50" t="n">
        <x:f>(I114*(1+Inputs!$B$12))+E115</x:f>
        <x:v>85885.6779062717</x:v>
      </x:c>
      <x:c r="J115" s="50" t="n">
        <x:f>(J114*(1+Inputs!$B$12))+F115+P115</x:f>
        <x:v>81055.67593925064</x:v>
      </x:c>
      <x:c r="K115" s="50" t="n">
        <x:f>(K114*(1+Inputs!$B$12))*(1-H115)</x:f>
        <x:v>19816.498071271853</x:v>
      </x:c>
      <x:c r="L115" s="50" t="n">
        <x:f>L114*(1+Inputs!$B$13)+Q115</x:f>
        <x:v>16663.401785464222</x:v>
      </x:c>
      <x:c r="M115" s="50" t="n">
        <x:f>I115+J115+L115</x:f>
        <x:v>183604.75563098656</x:v>
      </x:c>
      <x:c r="N115" s="50" t="n">
        <x:f>F115+P115</x:f>
        <x:v>0</x:v>
      </x:c>
      <x:c r="O115" s="50" t="n">
        <x:f>IF(B115=1,0,O114+F114+P114)</x:f>
        <x:v>3360</x:v>
      </x:c>
      <x:c r="P115" s="50" t="n">
        <x:f>MIN(G115,MAX(0,Inputs!$B$20-O115-F115))</x:f>
        <x:v>0</x:v>
      </x:c>
      <x:c r="Q115" s="50" t="n">
        <x:f>(C115-E115-F115)+(G115-P115)</x:f>
        <x:v>0</x:v>
      </x:c>
    </x:row>
    <x:row r="116">
      <x:c r="A116" s="41" t="n">
        <x:f>IF(B116=1,A115+1,A115)</x:f>
        <x:v>2031</x:v>
      </x:c>
      <x:c r="B116" s="41" t="n">
        <x:f>IF(B115=26,1,B115+1)</x:f>
        <x:v>11</x:v>
      </x:c>
      <x:c r="C116" s="48" t="n">
        <x:f>Inputs!$F$7</x:f>
        <x:v>600</x:v>
      </x:c>
      <x:c r="D116" s="50" t="n">
        <x:f>IF(B116=1,0,D115+E115)</x:f>
        <x:v>6000</x:v>
      </x:c>
      <x:c r="E116" s="50" t="n">
        <x:f>MIN(C116,MAX(0,Inputs!$B$7-D116))</x:f>
        <x:v>600</x:v>
      </x:c>
      <x:c r="F116" s="50" t="n">
        <x:f>MIN(C116-E116,MAX(0,Inputs!$B$20-O116))</x:f>
        <x:v>0</x:v>
      </x:c>
      <x:c r="G116" s="50" t="n">
        <x:f>0</x:f>
        <x:v>0</x:v>
      </x:c>
      <x:c r="H116" s="41" t="n">
        <x:f>0</x:f>
        <x:v>0</x:v>
      </x:c>
      <x:c r="I116" s="50" t="n">
        <x:f>(I115*(1+Inputs!$B$12))+E116</x:f>
        <x:v>86646.99754087748</x:v>
      </x:c>
      <x:c r="J116" s="50" t="n">
        <x:f>(J115*(1+Inputs!$B$12))+F116+P116</x:f>
        <x:v>81207.92334934286</x:v>
      </x:c>
      <x:c r="K116" s="50" t="n">
        <x:f>(K115*(1+Inputs!$B$12))*(1-H116)</x:f>
        <x:v>19853.719530145503</x:v>
      </x:c>
      <x:c r="L116" s="50" t="n">
        <x:f>L115*(1+Inputs!$B$13)+Q116</x:f>
        <x:v>16692.556979024448</x:v>
      </x:c>
      <x:c r="M116" s="50" t="n">
        <x:f>I116+J116+L116</x:f>
        <x:v>184547.47786924476</x:v>
      </x:c>
      <x:c r="N116" s="50" t="n">
        <x:f>F116+P116</x:f>
        <x:v>0</x:v>
      </x:c>
      <x:c r="O116" s="50" t="n">
        <x:f>IF(B116=1,0,O115+F115+P115)</x:f>
        <x:v>3360</x:v>
      </x:c>
      <x:c r="P116" s="50" t="n">
        <x:f>MIN(G116,MAX(0,Inputs!$B$20-O116-F116))</x:f>
        <x:v>0</x:v>
      </x:c>
      <x:c r="Q116" s="50" t="n">
        <x:f>(C116-E116-F116)+(G116-P116)</x:f>
        <x:v>0</x:v>
      </x:c>
    </x:row>
    <x:row r="117">
      <x:c r="A117" s="41" t="n">
        <x:f>IF(B117=1,A116+1,A116)</x:f>
        <x:v>2031</x:v>
      </x:c>
      <x:c r="B117" s="41" t="n">
        <x:f>IF(B116=26,1,B116+1)</x:f>
        <x:v>12</x:v>
      </x:c>
      <x:c r="C117" s="48" t="n">
        <x:f>Inputs!$F$7</x:f>
        <x:v>600</x:v>
      </x:c>
      <x:c r="D117" s="50" t="n">
        <x:f>IF(B117=1,0,D116+E116)</x:f>
        <x:v>6600</x:v>
      </x:c>
      <x:c r="E117" s="50" t="n">
        <x:f>MIN(C117,MAX(0,Inputs!$B$7-D117))</x:f>
        <x:v>600</x:v>
      </x:c>
      <x:c r="F117" s="50" t="n">
        <x:f>MIN(C117-E117,MAX(0,Inputs!$B$20-O117))</x:f>
        <x:v>0</x:v>
      </x:c>
      <x:c r="G117" s="50" t="n">
        <x:f>0</x:f>
        <x:v>0</x:v>
      </x:c>
      <x:c r="H117" s="41" t="n">
        <x:f>0</x:f>
        <x:v>0</x:v>
      </x:c>
      <x:c r="I117" s="50" t="n">
        <x:f>(I116*(1+Inputs!$B$12))+E117</x:f>
        <x:v>87409.74716716833</x:v>
      </x:c>
      <x:c r="J117" s="50" t="n">
        <x:f>(J116*(1+Inputs!$B$12))+F117+P117</x:f>
        <x:v>81360.45672674844</x:v>
      </x:c>
      <x:c r="K117" s="50" t="n">
        <x:f>(K116*(1+Inputs!$B$12))*(1-H117)</x:f>
        <x:v>19891.01090233056</x:v>
      </x:c>
      <x:c r="L117" s="50" t="n">
        <x:f>L116*(1+Inputs!$B$13)+Q117</x:f>
        <x:v>16721.763184096155</x:v>
      </x:c>
      <x:c r="M117" s="50" t="n">
        <x:f>I117+J117+L117</x:f>
        <x:v>185491.96707801294</x:v>
      </x:c>
      <x:c r="N117" s="50" t="n">
        <x:f>F117+P117</x:f>
        <x:v>0</x:v>
      </x:c>
      <x:c r="O117" s="50" t="n">
        <x:f>IF(B117=1,0,O116+F116+P116)</x:f>
        <x:v>3360</x:v>
      </x:c>
      <x:c r="P117" s="50" t="n">
        <x:f>MIN(G117,MAX(0,Inputs!$B$20-O117-F117))</x:f>
        <x:v>0</x:v>
      </x:c>
      <x:c r="Q117" s="50" t="n">
        <x:f>(C117-E117-F117)+(G117-P117)</x:f>
        <x:v>0</x:v>
      </x:c>
    </x:row>
    <x:row r="118">
      <x:c r="A118" s="41" t="n">
        <x:f>IF(B118=1,A117+1,A117)</x:f>
        <x:v>2031</x:v>
      </x:c>
      <x:c r="B118" s="41" t="n">
        <x:f>IF(B117=26,1,B117+1)</x:f>
        <x:v>13</x:v>
      </x:c>
      <x:c r="C118" s="48" t="n">
        <x:f>Inputs!$F$7</x:f>
        <x:v>600</x:v>
      </x:c>
      <x:c r="D118" s="50" t="n">
        <x:f>IF(B118=1,0,D117+E117)</x:f>
        <x:v>7200</x:v>
      </x:c>
      <x:c r="E118" s="50" t="n">
        <x:f>MIN(C118,MAX(0,Inputs!$B$7-D118))</x:f>
        <x:v>600</x:v>
      </x:c>
      <x:c r="F118" s="50" t="n">
        <x:f>MIN(C118-E118,MAX(0,Inputs!$B$20-O118))</x:f>
        <x:v>0</x:v>
      </x:c>
      <x:c r="G118" s="50" t="n">
        <x:f>0</x:f>
        <x:v>0</x:v>
      </x:c>
      <x:c r="H118" s="41" t="n">
        <x:f>0</x:f>
        <x:v>0</x:v>
      </x:c>
      <x:c r="I118" s="50" t="n">
        <x:f>(I117*(1+Inputs!$B$12))+E118</x:f>
        <x:v>88173.92947110707</x:v>
      </x:c>
      <x:c r="J118" s="50" t="n">
        <x:f>(J117*(1+Inputs!$B$12))+F118+P118</x:f>
        <x:v>81513.27660860165</x:v>
      </x:c>
      <x:c r="K118" s="50" t="n">
        <x:f>(K117*(1+Inputs!$B$12))*(1-H118)</x:f>
        <x:v>19928.37231914566</x:v>
      </x:c>
      <x:c r="L118" s="50" t="n">
        <x:f>L117*(1+Inputs!$B$13)+Q118</x:f>
        <x:v>16751.02048993186</x:v>
      </x:c>
      <x:c r="M118" s="50" t="n">
        <x:f>I118+J118+L118</x:f>
        <x:v>186438.22656964057</x:v>
      </x:c>
      <x:c r="N118" s="50" t="n">
        <x:f>F118+P118</x:f>
        <x:v>0</x:v>
      </x:c>
      <x:c r="O118" s="50" t="n">
        <x:f>IF(B118=1,0,O117+F117+P117)</x:f>
        <x:v>3360</x:v>
      </x:c>
      <x:c r="P118" s="50" t="n">
        <x:f>MIN(G118,MAX(0,Inputs!$B$20-O118-F118))</x:f>
        <x:v>0</x:v>
      </x:c>
      <x:c r="Q118" s="50" t="n">
        <x:f>(C118-E118-F118)+(G118-P118)</x:f>
        <x:v>0</x:v>
      </x:c>
    </x:row>
    <x:row r="119">
      <x:c r="A119" s="41" t="n">
        <x:f>IF(B119=1,A118+1,A118)</x:f>
        <x:v>2031</x:v>
      </x:c>
      <x:c r="B119" s="41" t="n">
        <x:f>IF(B118=26,1,B118+1)</x:f>
        <x:v>14</x:v>
      </x:c>
      <x:c r="C119" s="48" t="n">
        <x:f>Inputs!$F$7</x:f>
        <x:v>600</x:v>
      </x:c>
      <x:c r="D119" s="50" t="n">
        <x:f>IF(B119=1,0,D118+E118)</x:f>
        <x:v>7800</x:v>
      </x:c>
      <x:c r="E119" s="50" t="n">
        <x:f>MIN(C119,MAX(0,Inputs!$B$7-D119))</x:f>
        <x:v>200</x:v>
      </x:c>
      <x:c r="F119" s="50" t="n">
        <x:f>MIN(C119-E119,MAX(0,Inputs!$B$20-O119))</x:f>
        <x:v>400</x:v>
      </x:c>
      <x:c r="G119" s="50" t="n">
        <x:f>0</x:f>
        <x:v>0</x:v>
      </x:c>
      <x:c r="H119" s="41" t="n">
        <x:f>0</x:f>
        <x:v>0</x:v>
      </x:c>
      <x:c r="I119" s="50" t="n">
        <x:f>(I118*(1+Inputs!$B$12))+E119</x:f>
        <x:v>88539.54714370154</x:v>
      </x:c>
      <x:c r="J119" s="50" t="n">
        <x:f>(J118*(1+Inputs!$B$12))+F119+P119</x:f>
        <x:v>82066.38353304568</x:v>
      </x:c>
      <x:c r="K119" s="50" t="n">
        <x:f>(K118*(1+Inputs!$B$12))*(1-H119)</x:f>
        <x:v>19965.80391215609</x:v>
      </x:c>
      <x:c r="L119" s="50" t="n">
        <x:f>L118*(1+Inputs!$B$13)+Q119</x:f>
        <x:v>16780.328985940236</x:v>
      </x:c>
      <x:c r="M119" s="50" t="n">
        <x:f>I119+J119+L119</x:f>
        <x:v>187386.25966268746</x:v>
      </x:c>
      <x:c r="N119" s="50" t="n">
        <x:f>F119+P119</x:f>
        <x:v>400</x:v>
      </x:c>
      <x:c r="O119" s="50" t="n">
        <x:f>IF(B119=1,0,O118+F118+P118)</x:f>
        <x:v>3360</x:v>
      </x:c>
      <x:c r="P119" s="50" t="n">
        <x:f>MIN(G119,MAX(0,Inputs!$B$20-O119-F119))</x:f>
        <x:v>0</x:v>
      </x:c>
      <x:c r="Q119" s="50" t="n">
        <x:f>(C119-E119-F119)+(G119-P119)</x:f>
        <x:v>0</x:v>
      </x:c>
    </x:row>
    <x:row r="120">
      <x:c r="A120" s="41" t="n">
        <x:f>IF(B120=1,A119+1,A119)</x:f>
        <x:v>2031</x:v>
      </x:c>
      <x:c r="B120" s="41" t="n">
        <x:f>IF(B119=26,1,B119+1)</x:f>
        <x:v>15</x:v>
      </x:c>
      <x:c r="C120" s="48" t="n">
        <x:f>Inputs!$F$7</x:f>
        <x:v>600</x:v>
      </x:c>
      <x:c r="D120" s="50" t="n">
        <x:f>IF(B120=1,0,D119+E119)</x:f>
        <x:v>8000</x:v>
      </x:c>
      <x:c r="E120" s="50" t="n">
        <x:f>MIN(C120,MAX(0,Inputs!$B$7-D120))</x:f>
        <x:v>0</x:v>
      </x:c>
      <x:c r="F120" s="50" t="n">
        <x:f>MIN(C120-E120,MAX(0,Inputs!$B$20-O120))</x:f>
        <x:v>600</x:v>
      </x:c>
      <x:c r="G120" s="50" t="n">
        <x:f>0</x:f>
        <x:v>0</x:v>
      </x:c>
      <x:c r="H120" s="41" t="n">
        <x:f>0</x:f>
        <x:v>0</x:v>
      </x:c>
      <x:c r="I120" s="50" t="n">
        <x:f>(I119*(1+Inputs!$B$12))+E120</x:f>
        <x:v>88705.85155837904</x:v>
      </x:c>
      <x:c r="J120" s="50" t="n">
        <x:f>(J119*(1+Inputs!$B$12))+F120+P120</x:f>
        <x:v>82820.52936186963</x:v>
      </x:c>
      <x:c r="K120" s="50" t="n">
        <x:f>(K119*(1+Inputs!$B$12))*(1-H120)</x:f>
        <x:v>20003.305813174265</x:v>
      </x:c>
      <x:c r="L120" s="50" t="n">
        <x:f>L119*(1+Inputs!$B$13)+Q120</x:f>
        <x:v>16809.688761686393</x:v>
      </x:c>
      <x:c r="M120" s="50" t="n">
        <x:f>I120+J120+L120</x:f>
        <x:v>188336.06968193507</x:v>
      </x:c>
      <x:c r="N120" s="50" t="n">
        <x:f>F120+P120</x:f>
        <x:v>600</x:v>
      </x:c>
      <x:c r="O120" s="50" t="n">
        <x:f>IF(B120=1,0,O119+F119+P119)</x:f>
        <x:v>3760</x:v>
      </x:c>
      <x:c r="P120" s="50" t="n">
        <x:f>MIN(G120,MAX(0,Inputs!$B$20-O120-F120))</x:f>
        <x:v>0</x:v>
      </x:c>
      <x:c r="Q120" s="50" t="n">
        <x:f>(C120-E120-F120)+(G120-P120)</x:f>
        <x:v>0</x:v>
      </x:c>
    </x:row>
    <x:row r="121">
      <x:c r="A121" s="41" t="n">
        <x:f>IF(B121=1,A120+1,A120)</x:f>
        <x:v>2031</x:v>
      </x:c>
      <x:c r="B121" s="41" t="n">
        <x:f>IF(B120=26,1,B120+1)</x:f>
        <x:v>16</x:v>
      </x:c>
      <x:c r="C121" s="48" t="n">
        <x:f>Inputs!$F$7</x:f>
        <x:v>600</x:v>
      </x:c>
      <x:c r="D121" s="50" t="n">
        <x:f>IF(B121=1,0,D120+E120)</x:f>
        <x:v>8000</x:v>
      </x:c>
      <x:c r="E121" s="50" t="n">
        <x:f>MIN(C121,MAX(0,Inputs!$B$7-D121))</x:f>
        <x:v>0</x:v>
      </x:c>
      <x:c r="F121" s="50" t="n">
        <x:f>MIN(C121-E121,MAX(0,Inputs!$B$20-O121))</x:f>
        <x:v>600</x:v>
      </x:c>
      <x:c r="G121" s="50" t="n">
        <x:f>0</x:f>
        <x:v>0</x:v>
      </x:c>
      <x:c r="H121" s="41" t="n">
        <x:f>0</x:f>
        <x:v>0</x:v>
      </x:c>
      <x:c r="I121" s="50" t="n">
        <x:f>(I120*(1+Inputs!$B$12))+E121</x:f>
        <x:v>88872.46834373422</x:v>
      </x:c>
      <x:c r="J121" s="50" t="n">
        <x:f>(J120*(1+Inputs!$B$12))+F121+P121</x:f>
        <x:v>83576.091707772</x:v>
      </x:c>
      <x:c r="K121" s="50" t="n">
        <x:f>(K120*(1+Inputs!$B$12))*(1-H121)</x:f>
        <x:v>20040.878154260176</x:v>
      </x:c>
      <x:c r="L121" s="50" t="n">
        <x:f>L120*(1+Inputs!$B$13)+Q121</x:f>
        <x:v>16839.099906892145</x:v>
      </x:c>
      <x:c r="M121" s="50" t="n">
        <x:f>I121+J121+L121</x:f>
        <x:v>189287.65995839835</x:v>
      </x:c>
      <x:c r="N121" s="50" t="n">
        <x:f>F121+P121</x:f>
        <x:v>600</x:v>
      </x:c>
      <x:c r="O121" s="50" t="n">
        <x:f>IF(B121=1,0,O120+F120+P120)</x:f>
        <x:v>4360</x:v>
      </x:c>
      <x:c r="P121" s="50" t="n">
        <x:f>MIN(G121,MAX(0,Inputs!$B$20-O121-F121))</x:f>
        <x:v>0</x:v>
      </x:c>
      <x:c r="Q121" s="50" t="n">
        <x:f>(C121-E121-F121)+(G121-P121)</x:f>
        <x:v>0</x:v>
      </x:c>
    </x:row>
    <x:row r="122">
      <x:c r="A122" s="41" t="n">
        <x:f>IF(B122=1,A121+1,A121)</x:f>
        <x:v>2031</x:v>
      </x:c>
      <x:c r="B122" s="41" t="n">
        <x:f>IF(B121=26,1,B121+1)</x:f>
        <x:v>17</x:v>
      </x:c>
      <x:c r="C122" s="48" t="n">
        <x:f>Inputs!$F$7</x:f>
        <x:v>600</x:v>
      </x:c>
      <x:c r="D122" s="50" t="n">
        <x:f>IF(B122=1,0,D121+E121)</x:f>
        <x:v>8000</x:v>
      </x:c>
      <x:c r="E122" s="50" t="n">
        <x:f>MIN(C122,MAX(0,Inputs!$B$7-D122))</x:f>
        <x:v>0</x:v>
      </x:c>
      <x:c r="F122" s="50" t="n">
        <x:f>MIN(C122-E122,MAX(0,Inputs!$B$20-O122))</x:f>
        <x:v>600</x:v>
      </x:c>
      <x:c r="G122" s="50" t="n">
        <x:f>0</x:f>
        <x:v>0</x:v>
      </x:c>
      <x:c r="H122" s="41" t="n">
        <x:f>0</x:f>
        <x:v>0</x:v>
      </x:c>
      <x:c r="I122" s="50" t="n">
        <x:f>(I121*(1+Inputs!$B$12))+E122</x:f>
        <x:v>89039.39808649496</x:v>
      </x:c>
      <x:c r="J122" s="50" t="n">
        <x:f>(J121*(1+Inputs!$B$12))+F122+P122</x:f>
        <x:v>84333.07323140613</x:v>
      </x:c>
      <x:c r="K122" s="50" t="n">
        <x:f>(K121*(1+Inputs!$B$12))*(1-H122)</x:f>
        <x:v>20078.521067721864</x:v>
      </x:c>
      <x:c r="L122" s="50" t="n">
        <x:f>L121*(1+Inputs!$B$13)+Q122</x:f>
        <x:v>16868.562511436292</x:v>
      </x:c>
      <x:c r="M122" s="50" t="n">
        <x:f>I122+J122+L122</x:f>
        <x:v>190241.0338293374</x:v>
      </x:c>
      <x:c r="N122" s="50" t="n">
        <x:f>F122+P122</x:f>
        <x:v>600</x:v>
      </x:c>
      <x:c r="O122" s="50" t="n">
        <x:f>IF(B122=1,0,O121+F121+P121)</x:f>
        <x:v>4960</x:v>
      </x:c>
      <x:c r="P122" s="50" t="n">
        <x:f>MIN(G122,MAX(0,Inputs!$B$20-O122-F122))</x:f>
        <x:v>0</x:v>
      </x:c>
      <x:c r="Q122" s="50" t="n">
        <x:f>(C122-E122-F122)+(G122-P122)</x:f>
        <x:v>0</x:v>
      </x:c>
    </x:row>
    <x:row r="123">
      <x:c r="A123" s="41" t="n">
        <x:f>IF(B123=1,A122+1,A122)</x:f>
        <x:v>2031</x:v>
      </x:c>
      <x:c r="B123" s="41" t="n">
        <x:f>IF(B122=26,1,B122+1)</x:f>
        <x:v>18</x:v>
      </x:c>
      <x:c r="C123" s="48" t="n">
        <x:f>Inputs!$F$7</x:f>
        <x:v>600</x:v>
      </x:c>
      <x:c r="D123" s="50" t="n">
        <x:f>IF(B123=1,0,D122+E122)</x:f>
        <x:v>8000</x:v>
      </x:c>
      <x:c r="E123" s="50" t="n">
        <x:f>MIN(C123,MAX(0,Inputs!$B$7-D123))</x:f>
        <x:v>0</x:v>
      </x:c>
      <x:c r="F123" s="50" t="n">
        <x:f>MIN(C123-E123,MAX(0,Inputs!$B$20-O123))</x:f>
        <x:v>600</x:v>
      </x:c>
      <x:c r="G123" s="50" t="n">
        <x:f>0</x:f>
        <x:v>0</x:v>
      </x:c>
      <x:c r="H123" s="41" t="n">
        <x:f>0</x:f>
        <x:v>0</x:v>
      </x:c>
      <x:c r="I123" s="50" t="n">
        <x:f>(I122*(1+Inputs!$B$12))+E123</x:f>
        <x:v>89206.64137449121</x:v>
      </x:c>
      <x:c r="J123" s="50" t="n">
        <x:f>(J122*(1+Inputs!$B$12))+F123+P123</x:f>
        <x:v>85091.47659842293</x:v>
      </x:c>
      <x:c r="K123" s="50" t="n">
        <x:f>(K122*(1+Inputs!$B$12))*(1-H123)</x:f>
        <x:v>20116.23468611589</x:v>
      </x:c>
      <x:c r="L123" s="50" t="n">
        <x:f>L122*(1+Inputs!$B$13)+Q123</x:f>
        <x:v>16898.076665354893</x:v>
      </x:c>
      <x:c r="M123" s="50" t="n">
        <x:f>I123+J123+L123</x:f>
        <x:v>191196.19463826902</x:v>
      </x:c>
      <x:c r="N123" s="50" t="n">
        <x:f>F123+P123</x:f>
        <x:v>600</x:v>
      </x:c>
      <x:c r="O123" s="50" t="n">
        <x:f>IF(B123=1,0,O122+F122+P122)</x:f>
        <x:v>5560</x:v>
      </x:c>
      <x:c r="P123" s="50" t="n">
        <x:f>MIN(G123,MAX(0,Inputs!$B$20-O123-F123))</x:f>
        <x:v>0</x:v>
      </x:c>
      <x:c r="Q123" s="50" t="n">
        <x:f>(C123-E123-F123)+(G123-P123)</x:f>
        <x:v>0</x:v>
      </x:c>
    </x:row>
    <x:row r="124">
      <x:c r="A124" s="41" t="n">
        <x:f>IF(B124=1,A123+1,A123)</x:f>
        <x:v>2031</x:v>
      </x:c>
      <x:c r="B124" s="41" t="n">
        <x:f>IF(B123=26,1,B123+1)</x:f>
        <x:v>19</x:v>
      </x:c>
      <x:c r="C124" s="48" t="n">
        <x:f>Inputs!$F$7</x:f>
        <x:v>600</x:v>
      </x:c>
      <x:c r="D124" s="50" t="n">
        <x:f>IF(B124=1,0,D123+E123)</x:f>
        <x:v>8000</x:v>
      </x:c>
      <x:c r="E124" s="50" t="n">
        <x:f>MIN(C124,MAX(0,Inputs!$B$7-D124))</x:f>
        <x:v>0</x:v>
      </x:c>
      <x:c r="F124" s="50" t="n">
        <x:f>MIN(C124-E124,MAX(0,Inputs!$B$20-O124))</x:f>
        <x:v>600</x:v>
      </x:c>
      <x:c r="G124" s="50" t="n">
        <x:f>0</x:f>
        <x:v>0</x:v>
      </x:c>
      <x:c r="H124" s="41" t="n">
        <x:f>0</x:f>
        <x:v>0</x:v>
      </x:c>
      <x:c r="I124" s="50" t="n">
        <x:f>(I123*(1+Inputs!$B$12))+E124</x:f>
        <x:v>89374.19879665707</x:v>
      </x:c>
      <x:c r="J124" s="50" t="n">
        <x:f>(J123*(1+Inputs!$B$12))+F124+P124</x:f>
        <x:v>85851.30447948017</x:v>
      </x:c>
      <x:c r="K124" s="50" t="n">
        <x:f>(K123*(1+Inputs!$B$12))*(1-H124)</x:f>
        <x:v>20154.019142247795</x:v>
      </x:c>
      <x:c r="L124" s="50" t="n">
        <x:f>L123*(1+Inputs!$B$13)+Q124</x:f>
        <x:v>16927.642458841532</x:v>
      </x:c>
      <x:c r="M124" s="50" t="n">
        <x:f>I124+J124+L124</x:f>
        <x:v>192153.14573497875</x:v>
      </x:c>
      <x:c r="N124" s="50" t="n">
        <x:f>F124+P124</x:f>
        <x:v>600</x:v>
      </x:c>
      <x:c r="O124" s="50" t="n">
        <x:f>IF(B124=1,0,O123+F123+P123)</x:f>
        <x:v>6160</x:v>
      </x:c>
      <x:c r="P124" s="50" t="n">
        <x:f>MIN(G124,MAX(0,Inputs!$B$20-O124-F124))</x:f>
        <x:v>0</x:v>
      </x:c>
      <x:c r="Q124" s="50" t="n">
        <x:f>(C124-E124-F124)+(G124-P124)</x:f>
        <x:v>0</x:v>
      </x:c>
    </x:row>
    <x:row r="125">
      <x:c r="A125" s="41" t="n">
        <x:f>IF(B125=1,A124+1,A124)</x:f>
        <x:v>2031</x:v>
      </x:c>
      <x:c r="B125" s="41" t="n">
        <x:f>IF(B124=26,1,B124+1)</x:f>
        <x:v>20</x:v>
      </x:c>
      <x:c r="C125" s="48" t="n">
        <x:f>Inputs!$F$7</x:f>
        <x:v>600</x:v>
      </x:c>
      <x:c r="D125" s="50" t="n">
        <x:f>IF(B125=1,0,D124+E124)</x:f>
        <x:v>8000</x:v>
      </x:c>
      <x:c r="E125" s="50" t="n">
        <x:f>MIN(C125,MAX(0,Inputs!$B$7-D125))</x:f>
        <x:v>0</x:v>
      </x:c>
      <x:c r="F125" s="50" t="n">
        <x:f>MIN(C125-E125,MAX(0,Inputs!$B$20-O125))</x:f>
        <x:v>600</x:v>
      </x:c>
      <x:c r="G125" s="50" t="n">
        <x:f>0</x:f>
        <x:v>0</x:v>
      </x:c>
      <x:c r="H125" s="41" t="n">
        <x:f>0</x:f>
        <x:v>0</x:v>
      </x:c>
      <x:c r="I125" s="50" t="n">
        <x:f>(I124*(1+Inputs!$B$12))+E125</x:f>
        <x:v>89542.07094303281</x:v>
      </x:c>
      <x:c r="J125" s="50" t="n">
        <x:f>(J124*(1+Inputs!$B$12))+F125+P125</x:f>
        <x:v>86612.55955025197</x:v>
      </x:c>
      <x:c r="K125" s="50" t="n">
        <x:f>(K124*(1+Inputs!$B$12))*(1-H125)</x:f>
        <x:v>20191.874569172567</x:v>
      </x:c>
      <x:c r="L125" s="50" t="n">
        <x:f>L124*(1+Inputs!$B$13)+Q125</x:f>
        <x:v>16957.259982247604</x:v>
      </x:c>
      <x:c r="M125" s="50" t="n">
        <x:f>I125+J125+L125</x:f>
        <x:v>193111.8904755324</x:v>
      </x:c>
      <x:c r="N125" s="50" t="n">
        <x:f>F125+P125</x:f>
        <x:v>600</x:v>
      </x:c>
      <x:c r="O125" s="50" t="n">
        <x:f>IF(B125=1,0,O124+F124+P124)</x:f>
        <x:v>6760</x:v>
      </x:c>
      <x:c r="P125" s="50" t="n">
        <x:f>MIN(G125,MAX(0,Inputs!$B$20-O125-F125))</x:f>
        <x:v>0</x:v>
      </x:c>
      <x:c r="Q125" s="50" t="n">
        <x:f>(C125-E125-F125)+(G125-P125)</x:f>
        <x:v>0</x:v>
      </x:c>
    </x:row>
    <x:row r="126">
      <x:c r="A126" s="41" t="n">
        <x:f>IF(B126=1,A125+1,A125)</x:f>
        <x:v>2031</x:v>
      </x:c>
      <x:c r="B126" s="41" t="n">
        <x:f>IF(B125=26,1,B125+1)</x:f>
        <x:v>21</x:v>
      </x:c>
      <x:c r="C126" s="48" t="n">
        <x:f>Inputs!$F$7</x:f>
        <x:v>600</x:v>
      </x:c>
      <x:c r="D126" s="50" t="n">
        <x:f>IF(B126=1,0,D125+E125)</x:f>
        <x:v>8000</x:v>
      </x:c>
      <x:c r="E126" s="50" t="n">
        <x:f>MIN(C126,MAX(0,Inputs!$B$7-D126))</x:f>
        <x:v>0</x:v>
      </x:c>
      <x:c r="F126" s="50" t="n">
        <x:f>MIN(C126-E126,MAX(0,Inputs!$B$20-O126))</x:f>
        <x:v>600</x:v>
      </x:c>
      <x:c r="G126" s="50" t="n">
        <x:f>0</x:f>
        <x:v>0</x:v>
      </x:c>
      <x:c r="H126" s="41" t="n">
        <x:f>0</x:f>
        <x:v>0</x:v>
      </x:c>
      <x:c r="I126" s="50" t="n">
        <x:f>(I125*(1+Inputs!$B$12))+E126</x:f>
        <x:v>89710.258404767</x:v>
      </x:c>
      <x:c r="J126" s="50" t="n">
        <x:f>(J125*(1+Inputs!$B$12))+F126+P126</x:f>
        <x:v>87375.24449143816</x:v>
      </x:c>
      <x:c r="K126" s="50" t="n">
        <x:f>(K125*(1+Inputs!$B$12))*(1-H126)</x:f>
        <x:v>20229.801100195116</x:v>
      </x:c>
      <x:c r="L126" s="50" t="n">
        <x:f>L125*(1+Inputs!$B$13)+Q126</x:f>
        <x:v>16986.92932608259</x:v>
      </x:c>
      <x:c r="M126" s="50" t="n">
        <x:f>I126+J126+L126</x:f>
        <x:v>194072.43222228775</x:v>
      </x:c>
      <x:c r="N126" s="50" t="n">
        <x:f>F126+P126</x:f>
        <x:v>600</x:v>
      </x:c>
      <x:c r="O126" s="50" t="n">
        <x:f>IF(B126=1,0,O125+F125+P125)</x:f>
        <x:v>7360</x:v>
      </x:c>
      <x:c r="P126" s="50" t="n">
        <x:f>MIN(G126,MAX(0,Inputs!$B$20-O126-F126))</x:f>
        <x:v>0</x:v>
      </x:c>
      <x:c r="Q126" s="50" t="n">
        <x:f>(C126-E126-F126)+(G126-P126)</x:f>
        <x:v>0</x:v>
      </x:c>
    </x:row>
    <x:row r="127">
      <x:c r="A127" s="41" t="n">
        <x:f>IF(B127=1,A126+1,A126)</x:f>
        <x:v>2031</x:v>
      </x:c>
      <x:c r="B127" s="41" t="n">
        <x:f>IF(B126=26,1,B126+1)</x:f>
        <x:v>22</x:v>
      </x:c>
      <x:c r="C127" s="48" t="n">
        <x:f>Inputs!$F$7</x:f>
        <x:v>600</x:v>
      </x:c>
      <x:c r="D127" s="50" t="n">
        <x:f>IF(B127=1,0,D126+E126)</x:f>
        <x:v>8000</x:v>
      </x:c>
      <x:c r="E127" s="50" t="n">
        <x:f>MIN(C127,MAX(0,Inputs!$B$7-D127))</x:f>
        <x:v>0</x:v>
      </x:c>
      <x:c r="F127" s="50" t="n">
        <x:f>MIN(C127-E127,MAX(0,Inputs!$B$20-O127))</x:f>
        <x:v>600</x:v>
      </x:c>
      <x:c r="G127" s="50" t="n">
        <x:f>0</x:f>
        <x:v>0</x:v>
      </x:c>
      <x:c r="H127" s="41" t="n">
        <x:f>0</x:f>
        <x:v>0</x:v>
      </x:c>
      <x:c r="I127" s="50" t="n">
        <x:f>(I126*(1+Inputs!$B$12))+E127</x:f>
        <x:v>89878.76177411852</x:v>
      </x:c>
      <x:c r="J127" s="50" t="n">
        <x:f>(J126*(1+Inputs!$B$12))+F127+P127</x:f>
        <x:v>88139.36198877377</x:v>
      </x:c>
      <x:c r="K127" s="50" t="n">
        <x:f>(K126*(1+Inputs!$B$12))*(1-H127)</x:f>
        <x:v>20267.798868870734</x:v>
      </x:c>
      <x:c r="L127" s="50" t="n">
        <x:f>L126*(1+Inputs!$B$13)+Q127</x:f>
        <x:v>17016.65058101433</x:v>
      </x:c>
      <x:c r="M127" s="50" t="n">
        <x:f>I127+J127+L127</x:f>
        <x:v>195034.77434390664</x:v>
      </x:c>
      <x:c r="N127" s="50" t="n">
        <x:f>F127+P127</x:f>
        <x:v>600</x:v>
      </x:c>
      <x:c r="O127" s="50" t="n">
        <x:f>IF(B127=1,0,O126+F126+P126)</x:f>
        <x:v>7960</x:v>
      </x:c>
      <x:c r="P127" s="50" t="n">
        <x:f>MIN(G127,MAX(0,Inputs!$B$20-O127-F127))</x:f>
        <x:v>0</x:v>
      </x:c>
      <x:c r="Q127" s="50" t="n">
        <x:f>(C127-E127-F127)+(G127-P127)</x:f>
        <x:v>0</x:v>
      </x:c>
    </x:row>
    <x:row r="128">
      <x:c r="A128" s="41" t="n">
        <x:f>IF(B128=1,A127+1,A127)</x:f>
        <x:v>2031</x:v>
      </x:c>
      <x:c r="B128" s="41" t="n">
        <x:f>IF(B127=26,1,B127+1)</x:f>
        <x:v>23</x:v>
      </x:c>
      <x:c r="C128" s="48" t="n">
        <x:f>Inputs!$F$7</x:f>
        <x:v>600</x:v>
      </x:c>
      <x:c r="D128" s="50" t="n">
        <x:f>IF(B128=1,0,D127+E127)</x:f>
        <x:v>8000</x:v>
      </x:c>
      <x:c r="E128" s="50" t="n">
        <x:f>MIN(C128,MAX(0,Inputs!$B$7-D128))</x:f>
        <x:v>0</x:v>
      </x:c>
      <x:c r="F128" s="50" t="n">
        <x:f>MIN(C128-E128,MAX(0,Inputs!$B$20-O128))</x:f>
        <x:v>600</x:v>
      </x:c>
      <x:c r="G128" s="50" t="n">
        <x:f>0</x:f>
        <x:v>0</x:v>
      </x:c>
      <x:c r="H128" s="41" t="n">
        <x:f>0</x:f>
        <x:v>0</x:v>
      </x:c>
      <x:c r="I128" s="50" t="n">
        <x:f>(I127*(1+Inputs!$B$12))+E128</x:f>
        <x:v>90047.58164445877</x:v>
      </x:c>
      <x:c r="J128" s="50" t="n">
        <x:f>(J127*(1+Inputs!$B$12))+F128+P128</x:f>
        <x:v>88904.91473303846</x:v>
      </x:c>
      <x:c r="K128" s="50" t="n">
        <x:f>(K127*(1+Inputs!$B$12))*(1-H128)</x:f>
        <x:v>20305.868009005575</x:v>
      </x:c>
      <x:c r="L128" s="50" t="n">
        <x:f>L127*(1+Inputs!$B$13)+Q128</x:f>
        <x:v>17046.4238378693</x:v>
      </x:c>
      <x:c r="M128" s="50" t="n">
        <x:f>I128+J128+L128</x:f>
        <x:v>195998.92021536652</x:v>
      </x:c>
      <x:c r="N128" s="50" t="n">
        <x:f>F128+P128</x:f>
        <x:v>600</x:v>
      </x:c>
      <x:c r="O128" s="50" t="n">
        <x:f>IF(B128=1,0,O127+F127+P127)</x:f>
        <x:v>8560</x:v>
      </x:c>
      <x:c r="P128" s="50" t="n">
        <x:f>MIN(G128,MAX(0,Inputs!$B$20-O128-F128))</x:f>
        <x:v>0</x:v>
      </x:c>
      <x:c r="Q128" s="50" t="n">
        <x:f>(C128-E128-F128)+(G128-P128)</x:f>
        <x:v>0</x:v>
      </x:c>
    </x:row>
    <x:row r="129">
      <x:c r="A129" s="41" t="n">
        <x:f>IF(B129=1,A128+1,A128)</x:f>
        <x:v>2031</x:v>
      </x:c>
      <x:c r="B129" s="41" t="n">
        <x:f>IF(B128=26,1,B128+1)</x:f>
        <x:v>24</x:v>
      </x:c>
      <x:c r="C129" s="48" t="n">
        <x:f>Inputs!$F$7</x:f>
        <x:v>600</x:v>
      </x:c>
      <x:c r="D129" s="50" t="n">
        <x:f>IF(B129=1,0,D128+E128)</x:f>
        <x:v>8000</x:v>
      </x:c>
      <x:c r="E129" s="50" t="n">
        <x:f>MIN(C129,MAX(0,Inputs!$B$7-D129))</x:f>
        <x:v>0</x:v>
      </x:c>
      <x:c r="F129" s="50" t="n">
        <x:f>MIN(C129-E129,MAX(0,Inputs!$B$20-O129))</x:f>
        <x:v>600</x:v>
      </x:c>
      <x:c r="G129" s="50" t="n">
        <x:f>0</x:f>
        <x:v>0</x:v>
      </x:c>
      <x:c r="H129" s="41" t="n">
        <x:f>0</x:f>
        <x:v>0</x:v>
      </x:c>
      <x:c r="I129" s="50" t="n">
        <x:f>(I128*(1+Inputs!$B$12))+E129</x:f>
        <x:v>90216.71861027362</x:v>
      </x:c>
      <x:c r="J129" s="50" t="n">
        <x:f>(J128*(1+Inputs!$B$12))+F129+P129</x:f>
        <x:v>89671.90542006597</x:v>
      </x:c>
      <x:c r="K129" s="50" t="n">
        <x:f>(K128*(1+Inputs!$B$12))*(1-H129)</x:f>
        <x:v>20344.008654657122</x:v>
      </x:c>
      <x:c r="L129" s="50" t="n">
        <x:f>L128*(1+Inputs!$B$13)+Q129</x:f>
        <x:v>17076.24918763289</x:v>
      </x:c>
      <x:c r="M129" s="50" t="n">
        <x:f>I129+J129+L129</x:f>
        <x:v>196964.8732179725</x:v>
      </x:c>
      <x:c r="N129" s="50" t="n">
        <x:f>F129+P129</x:f>
        <x:v>600</x:v>
      </x:c>
      <x:c r="O129" s="50" t="n">
        <x:f>IF(B129=1,0,O128+F128+P128)</x:f>
        <x:v>9160</x:v>
      </x:c>
      <x:c r="P129" s="50" t="n">
        <x:f>MIN(G129,MAX(0,Inputs!$B$20-O129-F129))</x:f>
        <x:v>0</x:v>
      </x:c>
      <x:c r="Q129" s="50" t="n">
        <x:f>(C129-E129-F129)+(G129-P129)</x:f>
        <x:v>0</x:v>
      </x:c>
    </x:row>
    <x:row r="130">
      <x:c r="A130" s="41" t="n">
        <x:f>IF(B130=1,A129+1,A129)</x:f>
        <x:v>2031</x:v>
      </x:c>
      <x:c r="B130" s="41" t="n">
        <x:f>IF(B129=26,1,B129+1)</x:f>
        <x:v>25</x:v>
      </x:c>
      <x:c r="C130" s="48" t="n">
        <x:f>Inputs!$F$7</x:f>
        <x:v>600</x:v>
      </x:c>
      <x:c r="D130" s="50" t="n">
        <x:f>IF(B130=1,0,D129+E129)</x:f>
        <x:v>8000</x:v>
      </x:c>
      <x:c r="E130" s="50" t="n">
        <x:f>MIN(C130,MAX(0,Inputs!$B$7-D130))</x:f>
        <x:v>0</x:v>
      </x:c>
      <x:c r="F130" s="50" t="n">
        <x:f>MIN(C130-E130,MAX(0,Inputs!$B$20-O130))</x:f>
        <x:v>600</x:v>
      </x:c>
      <x:c r="G130" s="50" t="n">
        <x:f>0</x:f>
        <x:v>0</x:v>
      </x:c>
      <x:c r="H130" s="41" t="n">
        <x:f>0</x:f>
        <x:v>0</x:v>
      </x:c>
      <x:c r="I130" s="50" t="n">
        <x:f>(I129*(1+Inputs!$B$12))+E130</x:f>
        <x:v>90386.17326716559</x:v>
      </x:c>
      <x:c r="J130" s="50" t="n">
        <x:f>(J129*(1+Inputs!$B$12))+F130+P130</x:f>
        <x:v>90440.33675075369</x:v>
      </x:c>
      <x:c r="K130" s="50" t="n">
        <x:f>(K129*(1+Inputs!$B$12))*(1-H130)</x:f>
        <x:v>20382.22094013466</x:v>
      </x:c>
      <x:c r="L130" s="50" t="n">
        <x:f>L129*(1+Inputs!$B$13)+Q130</x:f>
        <x:v>17106.126721449684</x:v>
      </x:c>
      <x:c r="M130" s="50" t="n">
        <x:f>I130+J130+L130</x:f>
        <x:v>197932.636739369</x:v>
      </x:c>
      <x:c r="N130" s="50" t="n">
        <x:f>F130+P130</x:f>
        <x:v>600</x:v>
      </x:c>
      <x:c r="O130" s="50" t="n">
        <x:f>IF(B130=1,0,O129+F129+P129)</x:f>
        <x:v>9760</x:v>
      </x:c>
      <x:c r="P130" s="50" t="n">
        <x:f>MIN(G130,MAX(0,Inputs!$B$20-O130-F130))</x:f>
        <x:v>0</x:v>
      </x:c>
      <x:c r="Q130" s="50" t="n">
        <x:f>(C130-E130-F130)+(G130-P130)</x:f>
        <x:v>0</x:v>
      </x:c>
    </x:row>
    <x:row r="131">
      <x:c r="A131" s="41" t="n">
        <x:f>IF(B131=1,A130+1,A130)</x:f>
        <x:v>2031</x:v>
      </x:c>
      <x:c r="B131" s="41" t="n">
        <x:f>IF(B130=26,1,B130+1)</x:f>
        <x:v>26</x:v>
      </x:c>
      <x:c r="C131" s="48" t="n">
        <x:f>Inputs!$F$7</x:f>
        <x:v>600</x:v>
      </x:c>
      <x:c r="D131" s="50" t="n">
        <x:f>IF(B131=1,0,D130+E130)</x:f>
        <x:v>8000</x:v>
      </x:c>
      <x:c r="E131" s="50" t="n">
        <x:f>MIN(C131,MAX(0,Inputs!$B$7-D131))</x:f>
        <x:v>0</x:v>
      </x:c>
      <x:c r="F131" s="50" t="n">
        <x:f>MIN(C131-E131,MAX(0,Inputs!$B$20-O131))</x:f>
        <x:v>600</x:v>
      </x:c>
      <x:c r="G131" s="50" t="n">
        <x:f>0</x:f>
        <x:v>0</x:v>
      </x:c>
      <x:c r="H131" s="41" t="n">
        <x:f>IF(A131=Inputs!$B$8,1,0)</x:f>
        <x:v>0</x:v>
      </x:c>
      <x:c r="I131" s="50" t="n">
        <x:f>(I130*(1+Inputs!$B$12))+E131</x:f>
        <x:v>90555.94621185593</x:v>
      </x:c>
      <x:c r="J131" s="50" t="n">
        <x:f>(J130*(1+Inputs!$B$12))+F131+P131</x:f>
        <x:v>91210.21143107208</x:v>
      </x:c>
      <x:c r="K131" s="50" t="n">
        <x:f>(K130*(1+Inputs!$B$12))*(1-H131)</x:f>
        <x:v>20420.504999999743</x:v>
      </x:c>
      <x:c r="L131" s="50" t="n">
        <x:f>L130*(1+Inputs!$B$13)+Q131</x:f>
        <x:v>17136.05653062374</x:v>
      </x:c>
      <x:c r="M131" s="50" t="n">
        <x:f>I131+J131+L131</x:f>
        <x:v>198902.21417355177</x:v>
      </x:c>
      <x:c r="N131" s="50" t="n">
        <x:f>F131+P131</x:f>
        <x:v>600</x:v>
      </x:c>
      <x:c r="O131" s="50" t="n">
        <x:f>IF(B131=1,0,O130+F130+P130)</x:f>
        <x:v>10360</x:v>
      </x:c>
      <x:c r="P131" s="50" t="n">
        <x:f>MIN(G131,MAX(0,Inputs!$B$20-O131-F131))</x:f>
        <x:v>0</x:v>
      </x:c>
      <x:c r="Q131" s="50" t="n">
        <x:f>(C131-E131-F131)+(G131-P131)</x:f>
        <x:v>0</x:v>
      </x:c>
    </x:row>
    <x:row r="132">
      <x:c r="A132" s="41" t="n">
        <x:f>IF(B132=1,A131+1,A131)</x:f>
        <x:v>2032</x:v>
      </x:c>
      <x:c r="B132" s="41" t="n">
        <x:f>IF(B131=26,1,B131+1)</x:f>
        <x:v>1</x:v>
      </x:c>
      <x:c r="C132" s="48" t="n">
        <x:f>Inputs!$F$8</x:f>
        <x:v>600</x:v>
      </x:c>
      <x:c r="D132" s="50" t="n">
        <x:f>IF(B132=1,0,D131+E131)</x:f>
        <x:v>0</x:v>
      </x:c>
      <x:c r="E132" s="50" t="n">
        <x:f>MIN(C132,MAX(0,Inputs!$B$7-D132))</x:f>
        <x:v>600</x:v>
      </x:c>
      <x:c r="F132" s="50" t="n">
        <x:f>MIN(C132-E132,MAX(0,Inputs!$B$20-O132))</x:f>
        <x:v>0</x:v>
      </x:c>
      <x:c r="G132" s="50" t="n">
        <x:f>0</x:f>
        <x:v>0</x:v>
      </x:c>
      <x:c r="H132" s="41" t="n">
        <x:f>0</x:f>
        <x:v>0</x:v>
      </x:c>
      <x:c r="I132" s="50" t="n">
        <x:f>(I131*(1+Inputs!$B$12))+E132</x:f>
        <x:v>91326.03804218672</x:v>
      </x:c>
      <x:c r="J132" s="50" t="n">
        <x:f>(J131*(1+Inputs!$B$12))+F132+P132</x:f>
        <x:v>91381.53217207425</x:v>
      </x:c>
      <x:c r="K132" s="50" t="n">
        <x:f>(K131*(1+Inputs!$B$12))*(1-H132)</x:f>
        <x:v>20458.860969066674</x:v>
      </x:c>
      <x:c r="L132" s="50" t="n">
        <x:f>L131*(1+Inputs!$B$13)+Q132</x:f>
        <x:v>17166.038706618867</x:v>
      </x:c>
      <x:c r="M132" s="50" t="n">
        <x:f>I132+J132+L132</x:f>
        <x:v>199873.6089208798</x:v>
      </x:c>
      <x:c r="N132" s="50" t="n">
        <x:f>F132+P132</x:f>
        <x:v>0</x:v>
      </x:c>
      <x:c r="O132" s="50" t="n">
        <x:f>IF(B132=1,0,O131+F131+P131)</x:f>
        <x:v>0</x:v>
      </x:c>
      <x:c r="P132" s="50" t="n">
        <x:f>MIN(G132,MAX(0,Inputs!$B$20-O132-F132))</x:f>
        <x:v>0</x:v>
      </x:c>
      <x:c r="Q132" s="50" t="n">
        <x:f>(C132-E132-F132)+(G132-P132)</x:f>
        <x:v>0</x:v>
      </x:c>
    </x:row>
    <x:row r="133">
      <x:c r="A133" s="41" t="n">
        <x:f>IF(B133=1,A132+1,A132)</x:f>
        <x:v>2032</x:v>
      </x:c>
      <x:c r="B133" s="41" t="n">
        <x:f>IF(B132=26,1,B132+1)</x:f>
        <x:v>2</x:v>
      </x:c>
      <x:c r="C133" s="48" t="n">
        <x:f>Inputs!$F$8</x:f>
        <x:v>600</x:v>
      </x:c>
      <x:c r="D133" s="50" t="n">
        <x:f>IF(B133=1,0,D132+E132)</x:f>
        <x:v>600</x:v>
      </x:c>
      <x:c r="E133" s="50" t="n">
        <x:f>MIN(C133,MAX(0,Inputs!$B$7-D133))</x:f>
        <x:v>600</x:v>
      </x:c>
      <x:c r="F133" s="50" t="n">
        <x:f>MIN(C133-E133,MAX(0,Inputs!$B$20-O133))</x:f>
        <x:v>0</x:v>
      </x:c>
      <x:c r="G133" s="50" t="n">
        <x:f>0</x:f>
        <x:v>0</x:v>
      </x:c>
      <x:c r="H133" s="41" t="n">
        <x:f>0</x:f>
        <x:v>0</x:v>
      </x:c>
      <x:c r="I133" s="50" t="n">
        <x:f>(I132*(1+Inputs!$B$12))+E133</x:f>
        <x:v>92097.57634107559</x:v>
      </x:c>
      <x:c r="J133" s="50" t="n">
        <x:f>(J132*(1+Inputs!$B$12))+F133+P133</x:f>
        <x:v>91553.17470595287</x:v>
      </x:c>
      <x:c r="K133" s="50" t="n">
        <x:f>(K132*(1+Inputs!$B$12))*(1-H133)</x:f>
        <x:v>20497.288982402984</x:v>
      </x:c>
      <x:c r="L133" s="50" t="n">
        <x:f>L132*(1+Inputs!$B$13)+Q133</x:f>
        <x:v>17196.0733410589</x:v>
      </x:c>
      <x:c r="M133" s="50" t="n">
        <x:f>I133+J133+L133</x:f>
        <x:v>200846.82438808735</x:v>
      </x:c>
      <x:c r="N133" s="50" t="n">
        <x:f>F133+P133</x:f>
        <x:v>0</x:v>
      </x:c>
      <x:c r="O133" s="50" t="n">
        <x:f>IF(B133=1,0,O132+F132+P132)</x:f>
        <x:v>0</x:v>
      </x:c>
      <x:c r="P133" s="50" t="n">
        <x:f>MIN(G133,MAX(0,Inputs!$B$20-O133-F133))</x:f>
        <x:v>0</x:v>
      </x:c>
      <x:c r="Q133" s="50" t="n">
        <x:f>(C133-E133-F133)+(G133-P133)</x:f>
        <x:v>0</x:v>
      </x:c>
    </x:row>
    <x:row r="134">
      <x:c r="A134" s="41" t="n">
        <x:f>IF(B134=1,A133+1,A133)</x:f>
        <x:v>2032</x:v>
      </x:c>
      <x:c r="B134" s="41" t="n">
        <x:f>IF(B133=26,1,B133+1)</x:f>
        <x:v>3</x:v>
      </x:c>
      <x:c r="C134" s="48" t="n">
        <x:f>Inputs!$F$8</x:f>
        <x:v>600</x:v>
      </x:c>
      <x:c r="D134" s="50" t="n">
        <x:f>IF(B134=1,0,D133+E133)</x:f>
        <x:v>1200</x:v>
      </x:c>
      <x:c r="E134" s="50" t="n">
        <x:f>MIN(C134,MAX(0,Inputs!$B$7-D134))</x:f>
        <x:v>600</x:v>
      </x:c>
      <x:c r="F134" s="50" t="n">
        <x:f>MIN(C134-E134,MAX(0,Inputs!$B$20-O134))</x:f>
        <x:v>0</x:v>
      </x:c>
      <x:c r="G134" s="50" t="n">
        <x:f>0</x:f>
        <x:v>0</x:v>
      </x:c>
      <x:c r="H134" s="41" t="n">
        <x:f>0</x:f>
        <x:v>0</x:v>
      </x:c>
      <x:c r="I134" s="50" t="n">
        <x:f>(I133*(1+Inputs!$B$12))+E134</x:f>
        <x:v>92870.56382543397</x:v>
      </x:c>
      <x:c r="J134" s="50" t="n">
        <x:f>(J133*(1+Inputs!$B$12))+F134+P134</x:f>
        <x:v>91725.13963713362</x:v>
      </x:c>
      <x:c r="K134" s="50" t="n">
        <x:f>(K133*(1+Inputs!$B$12))*(1-H134)</x:f>
        <x:v>20535.7891753299</x:v>
      </x:c>
      <x:c r="L134" s="50" t="n">
        <x:f>L133*(1+Inputs!$B$13)+Q134</x:f>
        <x:v>17226.16052572798</x:v>
      </x:c>
      <x:c r="M134" s="50" t="n">
        <x:f>I134+J134+L134</x:f>
        <x:v>201821.86398829558</x:v>
      </x:c>
      <x:c r="N134" s="50" t="n">
        <x:f>F134+P134</x:f>
        <x:v>0</x:v>
      </x:c>
      <x:c r="O134" s="50" t="n">
        <x:f>IF(B134=1,0,O133+F133+P133)</x:f>
        <x:v>0</x:v>
      </x:c>
      <x:c r="P134" s="50" t="n">
        <x:f>MIN(G134,MAX(0,Inputs!$B$20-O134-F134))</x:f>
        <x:v>0</x:v>
      </x:c>
      <x:c r="Q134" s="50" t="n">
        <x:f>(C134-E134-F134)+(G134-P134)</x:f>
        <x:v>0</x:v>
      </x:c>
    </x:row>
    <x:row r="135">
      <x:c r="A135" s="41" t="n">
        <x:f>IF(B135=1,A134+1,A134)</x:f>
        <x:v>2032</x:v>
      </x:c>
      <x:c r="B135" s="41" t="n">
        <x:f>IF(B134=26,1,B134+1)</x:f>
        <x:v>4</x:v>
      </x:c>
      <x:c r="C135" s="48" t="n">
        <x:f>Inputs!$F$8</x:f>
        <x:v>600</x:v>
      </x:c>
      <x:c r="D135" s="50" t="n">
        <x:f>IF(B135=1,0,D134+E134)</x:f>
        <x:v>1800</x:v>
      </x:c>
      <x:c r="E135" s="50" t="n">
        <x:f>MIN(C135,MAX(0,Inputs!$B$7-D135))</x:f>
        <x:v>600</x:v>
      </x:c>
      <x:c r="F135" s="50" t="n">
        <x:f>MIN(C135-E135,MAX(0,Inputs!$B$20-O135))</x:f>
        <x:v>0</x:v>
      </x:c>
      <x:c r="G135" s="50" t="n">
        <x:f>0</x:f>
        <x:v>0</x:v>
      </x:c>
      <x:c r="H135" s="41" t="n">
        <x:f>0</x:f>
        <x:v>0</x:v>
      </x:c>
      <x:c r="I135" s="50" t="n">
        <x:f>(I134*(1+Inputs!$B$12))+E135</x:f>
        <x:v>93645.00321727649</x:v>
      </x:c>
      <x:c r="J135" s="50" t="n">
        <x:f>(J134*(1+Inputs!$B$12))+F135+P135</x:f>
        <x:v>91897.42757117747</x:v>
      </x:c>
      <x:c r="K135" s="50" t="n">
        <x:f>(K134*(1+Inputs!$B$12))*(1-H135)</x:f>
        <x:v>20574.361683422823</x:v>
      </x:c>
      <x:c r="L135" s="50" t="n">
        <x:f>L134*(1+Inputs!$B$13)+Q135</x:f>
        <x:v>17256.300352570852</x:v>
      </x:c>
      <x:c r="M135" s="50" t="n">
        <x:f>I135+J135+L135</x:f>
        <x:v>202798.73114102482</x:v>
      </x:c>
      <x:c r="N135" s="50" t="n">
        <x:f>F135+P135</x:f>
        <x:v>0</x:v>
      </x:c>
      <x:c r="O135" s="50" t="n">
        <x:f>IF(B135=1,0,O134+F134+P134)</x:f>
        <x:v>0</x:v>
      </x:c>
      <x:c r="P135" s="50" t="n">
        <x:f>MIN(G135,MAX(0,Inputs!$B$20-O135-F135))</x:f>
        <x:v>0</x:v>
      </x:c>
      <x:c r="Q135" s="50" t="n">
        <x:f>(C135-E135-F135)+(G135-P135)</x:f>
        <x:v>0</x:v>
      </x:c>
    </x:row>
    <x:row r="136">
      <x:c r="A136" s="41" t="n">
        <x:f>IF(B136=1,A135+1,A135)</x:f>
        <x:v>2032</x:v>
      </x:c>
      <x:c r="B136" s="41" t="n">
        <x:f>IF(B135=26,1,B135+1)</x:f>
        <x:v>5</x:v>
      </x:c>
      <x:c r="C136" s="48" t="n">
        <x:f>Inputs!$F$8</x:f>
        <x:v>600</x:v>
      </x:c>
      <x:c r="D136" s="50" t="n">
        <x:f>IF(B136=1,0,D135+E135)</x:f>
        <x:v>2400</x:v>
      </x:c>
      <x:c r="E136" s="50" t="n">
        <x:f>MIN(C136,MAX(0,Inputs!$B$7-D136))</x:f>
        <x:v>600</x:v>
      </x:c>
      <x:c r="F136" s="50" t="n">
        <x:f>MIN(C136-E136,MAX(0,Inputs!$B$20-O136))</x:f>
        <x:v>0</x:v>
      </x:c>
      <x:c r="G136" s="50" t="n">
        <x:f>0</x:f>
        <x:v>0</x:v>
      </x:c>
      <x:c r="H136" s="41" t="n">
        <x:f>0</x:f>
        <x:v>0</x:v>
      </x:c>
      <x:c r="I136" s="50" t="n">
        <x:f>(I135*(1+Inputs!$B$12))+E136</x:f>
        <x:v>94420.89724373052</x:v>
      </x:c>
      <x:c r="J136" s="50" t="n">
        <x:f>(J135*(1+Inputs!$B$12))+F136+P136</x:f>
        <x:v>92070.03911478282</x:v>
      </x:c>
      <x:c r="K136" s="50" t="n">
        <x:f>(K135*(1+Inputs!$B$12))*(1-H136)</x:f>
        <x:v>20613.006642511802</x:v>
      </x:c>
      <x:c r="L136" s="50" t="n">
        <x:f>L135*(1+Inputs!$B$13)+Q136</x:f>
        <x:v>17286.49291369312</x:v>
      </x:c>
      <x:c r="M136" s="50" t="n">
        <x:f>I136+J136+L136</x:f>
        <x:v>203777.42927220647</x:v>
      </x:c>
      <x:c r="N136" s="50" t="n">
        <x:f>F136+P136</x:f>
        <x:v>0</x:v>
      </x:c>
      <x:c r="O136" s="50" t="n">
        <x:f>IF(B136=1,0,O135+F135+P135)</x:f>
        <x:v>0</x:v>
      </x:c>
      <x:c r="P136" s="50" t="n">
        <x:f>MIN(G136,MAX(0,Inputs!$B$20-O136-F136))</x:f>
        <x:v>0</x:v>
      </x:c>
      <x:c r="Q136" s="50" t="n">
        <x:f>(C136-E136-F136)+(G136-P136)</x:f>
        <x:v>0</x:v>
      </x:c>
    </x:row>
    <x:row r="137">
      <x:c r="A137" s="41" t="n">
        <x:f>IF(B137=1,A136+1,A136)</x:f>
        <x:v>2032</x:v>
      </x:c>
      <x:c r="B137" s="41" t="n">
        <x:f>IF(B136=26,1,B136+1)</x:f>
        <x:v>6</x:v>
      </x:c>
      <x:c r="C137" s="48" t="n">
        <x:f>Inputs!$F$8</x:f>
        <x:v>600</x:v>
      </x:c>
      <x:c r="D137" s="50" t="n">
        <x:f>IF(B137=1,0,D136+E136)</x:f>
        <x:v>3000</x:v>
      </x:c>
      <x:c r="E137" s="50" t="n">
        <x:f>MIN(C137,MAX(0,Inputs!$B$7-D137))</x:f>
        <x:v>600</x:v>
      </x:c>
      <x:c r="F137" s="50" t="n">
        <x:f>MIN(C137-E137,MAX(0,Inputs!$B$20-O137))</x:f>
        <x:v>0</x:v>
      </x:c>
      <x:c r="G137" s="50" t="n">
        <x:f>0</x:f>
        <x:v>0</x:v>
      </x:c>
      <x:c r="H137" s="41" t="n">
        <x:f>0</x:f>
        <x:v>0</x:v>
      </x:c>
      <x:c r="I137" s="50" t="n">
        <x:f>(I136*(1+Inputs!$B$12))+E137</x:f>
        <x:v>95198.24863704585</x:v>
      </x:c>
      <x:c r="J137" s="50" t="n">
        <x:f>(J136*(1+Inputs!$B$12))+F137+P137</x:f>
        <x:v>92242.97487578765</x:v>
      </x:c>
      <x:c r="K137" s="50" t="n">
        <x:f>(K136*(1+Inputs!$B$12))*(1-H137)</x:f>
        <x:v>20651.72418868202</x:v>
      </x:c>
      <x:c r="L137" s="50" t="n">
        <x:f>L136*(1+Inputs!$B$13)+Q137</x:f>
        <x:v>17316.73830136155</x:v>
      </x:c>
      <x:c r="M137" s="50" t="n">
        <x:f>I137+J137+L137</x:f>
        <x:v>204757.96181419506</x:v>
      </x:c>
      <x:c r="N137" s="50" t="n">
        <x:f>F137+P137</x:f>
        <x:v>0</x:v>
      </x:c>
      <x:c r="O137" s="50" t="n">
        <x:f>IF(B137=1,0,O136+F136+P136)</x:f>
        <x:v>0</x:v>
      </x:c>
      <x:c r="P137" s="50" t="n">
        <x:f>MIN(G137,MAX(0,Inputs!$B$20-O137-F137))</x:f>
        <x:v>0</x:v>
      </x:c>
      <x:c r="Q137" s="50" t="n">
        <x:f>(C137-E137-F137)+(G137-P137)</x:f>
        <x:v>0</x:v>
      </x:c>
    </x:row>
    <x:row r="138">
      <x:c r="A138" s="41" t="n">
        <x:f>IF(B138=1,A137+1,A137)</x:f>
        <x:v>2032</x:v>
      </x:c>
      <x:c r="B138" s="41" t="n">
        <x:f>IF(B137=26,1,B137+1)</x:f>
        <x:v>7</x:v>
      </x:c>
      <x:c r="C138" s="48" t="n">
        <x:f>Inputs!$F$8</x:f>
        <x:v>600</x:v>
      </x:c>
      <x:c r="D138" s="50" t="n">
        <x:f>IF(B138=1,0,D137+E137)</x:f>
        <x:v>3600</x:v>
      </x:c>
      <x:c r="E138" s="50" t="n">
        <x:f>MIN(C138,MAX(0,Inputs!$B$7-D138))</x:f>
        <x:v>600</x:v>
      </x:c>
      <x:c r="F138" s="50" t="n">
        <x:f>MIN(C138-E138,MAX(0,Inputs!$B$20-O138))</x:f>
        <x:v>0</x:v>
      </x:c>
      <x:c r="G138" s="50" t="n">
        <x:f>0</x:f>
        <x:v>0</x:v>
      </x:c>
      <x:c r="H138" s="41" t="n">
        <x:f>0</x:f>
        <x:v>0</x:v>
      </x:c>
      <x:c r="I138" s="50" t="n">
        <x:f>(I137*(1+Inputs!$B$12))+E138</x:f>
        <x:v>95977.06013460425</x:v>
      </x:c>
      <x:c r="J138" s="50" t="n">
        <x:f>(J137*(1+Inputs!$B$12))+F138+P138</x:f>
        <x:v>92416.23546317164</x:v>
      </x:c>
      <x:c r="K138" s="50" t="n">
        <x:f>(K137*(1+Inputs!$B$12))*(1-H138)</x:f>
        <x:v>20690.514458274272</x:v>
      </x:c>
      <x:c r="L138" s="50" t="n">
        <x:f>L137*(1+Inputs!$B$13)+Q138</x:f>
        <x:v>17347.03660800434</x:v>
      </x:c>
      <x:c r="M138" s="50" t="n">
        <x:f>I138+J138+L138</x:f>
        <x:v>205740.33220578023</x:v>
      </x:c>
      <x:c r="N138" s="50" t="n">
        <x:f>F138+P138</x:f>
        <x:v>0</x:v>
      </x:c>
      <x:c r="O138" s="50" t="n">
        <x:f>IF(B138=1,0,O137+F137+P137)</x:f>
        <x:v>0</x:v>
      </x:c>
      <x:c r="P138" s="50" t="n">
        <x:f>MIN(G138,MAX(0,Inputs!$B$20-O138-F138))</x:f>
        <x:v>0</x:v>
      </x:c>
      <x:c r="Q138" s="50" t="n">
        <x:f>(C138-E138-F138)+(G138-P138)</x:f>
        <x:v>0</x:v>
      </x:c>
    </x:row>
    <x:row r="139">
      <x:c r="A139" s="41" t="n">
        <x:f>IF(B139=1,A138+1,A138)</x:f>
        <x:v>2032</x:v>
      </x:c>
      <x:c r="B139" s="41" t="n">
        <x:f>IF(B138=26,1,B138+1)</x:f>
        <x:v>8</x:v>
      </x:c>
      <x:c r="C139" s="48" t="n">
        <x:f>Inputs!$F$8</x:f>
        <x:v>600</x:v>
      </x:c>
      <x:c r="D139" s="50" t="n">
        <x:f>IF(B139=1,0,D138+E138)</x:f>
        <x:v>4200</x:v>
      </x:c>
      <x:c r="E139" s="50" t="n">
        <x:f>MIN(C139,MAX(0,Inputs!$B$7-D139))</x:f>
        <x:v>600</x:v>
      </x:c>
      <x:c r="F139" s="50" t="n">
        <x:f>MIN(C139-E139,MAX(0,Inputs!$B$20-O139))</x:f>
        <x:v>0</x:v>
      </x:c>
      <x:c r="G139" s="50" t="n">
        <x:f>0</x:f>
        <x:v>0</x:v>
      </x:c>
      <x:c r="H139" s="41" t="n">
        <x:f>0</x:f>
        <x:v>0</x:v>
      </x:c>
      <x:c r="I139" s="50" t="n">
        <x:f>(I138*(1+Inputs!$B$12))+E139</x:f>
        <x:v>96757.33447892914</x:v>
      </x:c>
      <x:c r="J139" s="50" t="n">
        <x:f>(J138*(1+Inputs!$B$12))+F139+P139</x:f>
        <x:v>92589.82148705832</x:v>
      </x:c>
      <x:c r="K139" s="50" t="n">
        <x:f>(K138*(1+Inputs!$B$12))*(1-H139)</x:f>
        <x:v>20729.37758788544</x:v>
      </x:c>
      <x:c r="L139" s="50" t="n">
        <x:f>L138*(1+Inputs!$B$13)+Q139</x:f>
        <x:v>17377.387926211395</x:v>
      </x:c>
      <x:c r="M139" s="50" t="n">
        <x:f>I139+J139+L139</x:f>
        <x:v>206724.54389219888</x:v>
      </x:c>
      <x:c r="N139" s="50" t="n">
        <x:f>F139+P139</x:f>
        <x:v>0</x:v>
      </x:c>
      <x:c r="O139" s="50" t="n">
        <x:f>IF(B139=1,0,O138+F138+P138)</x:f>
        <x:v>0</x:v>
      </x:c>
      <x:c r="P139" s="50" t="n">
        <x:f>MIN(G139,MAX(0,Inputs!$B$20-O139-F139))</x:f>
        <x:v>0</x:v>
      </x:c>
      <x:c r="Q139" s="50" t="n">
        <x:f>(C139-E139-F139)+(G139-P139)</x:f>
        <x:v>0</x:v>
      </x:c>
    </x:row>
    <x:row r="140">
      <x:c r="A140" s="41" t="n">
        <x:f>IF(B140=1,A139+1,A139)</x:f>
        <x:v>2032</x:v>
      </x:c>
      <x:c r="B140" s="41" t="n">
        <x:f>IF(B139=26,1,B139+1)</x:f>
        <x:v>9</x:v>
      </x:c>
      <x:c r="C140" s="48" t="n">
        <x:f>Inputs!$F$8</x:f>
        <x:v>600</x:v>
      </x:c>
      <x:c r="D140" s="50" t="n">
        <x:f>IF(B140=1,0,D139+E139)</x:f>
        <x:v>4800</x:v>
      </x:c>
      <x:c r="E140" s="50" t="n">
        <x:f>MIN(C140,MAX(0,Inputs!$B$7-D140))</x:f>
        <x:v>600</x:v>
      </x:c>
      <x:c r="F140" s="50" t="n">
        <x:f>MIN(C140-E140,MAX(0,Inputs!$B$20-O140))</x:f>
        <x:v>0</x:v>
      </x:c>
      <x:c r="G140" s="50" t="n">
        <x:f>SUM(N106:N131)*Inputs!$B$6</x:f>
        <x:v>3288</x:v>
      </x:c>
      <x:c r="H140" s="41" t="n">
        <x:f>0</x:f>
        <x:v>0</x:v>
      </x:c>
      <x:c r="I140" s="50" t="n">
        <x:f>(I139*(1+Inputs!$B$12))+E140</x:f>
        <x:v>97539.07441769524</x:v>
      </x:c>
      <x:c r="J140" s="50" t="n">
        <x:f>(J139*(1+Inputs!$B$12))+F140+P140</x:f>
        <x:v>96051.7335587172</x:v>
      </x:c>
      <x:c r="K140" s="50" t="n">
        <x:f>(K139*(1+Inputs!$B$12))*(1-H140)</x:f>
        <x:v>20768.31371436898</x:v>
      </x:c>
      <x:c r="L140" s="50" t="n">
        <x:f>L139*(1+Inputs!$B$13)+Q140</x:f>
        <x:v>17407.792348734638</x:v>
      </x:c>
      <x:c r="M140" s="50" t="n">
        <x:f>I140+J140+L140</x:f>
        <x:v>210998.60032514707</x:v>
      </x:c>
      <x:c r="N140" s="50" t="n">
        <x:f>F140+P140</x:f>
        <x:v>3288</x:v>
      </x:c>
      <x:c r="O140" s="50" t="n">
        <x:f>IF(B140=1,0,O139+F139+P139)</x:f>
        <x:v>0</x:v>
      </x:c>
      <x:c r="P140" s="50" t="n">
        <x:f>MIN(G140,MAX(0,Inputs!$B$20-O140-F140))</x:f>
        <x:v>3288</x:v>
      </x:c>
      <x:c r="Q140" s="50" t="n">
        <x:f>(C140-E140-F140)+(G140-P140)</x:f>
        <x:v>0</x:v>
      </x:c>
    </x:row>
    <x:row r="141">
      <x:c r="A141" s="41" t="n">
        <x:f>IF(B141=1,A140+1,A140)</x:f>
        <x:v>2032</x:v>
      </x:c>
      <x:c r="B141" s="41" t="n">
        <x:f>IF(B140=26,1,B140+1)</x:f>
        <x:v>10</x:v>
      </x:c>
      <x:c r="C141" s="48" t="n">
        <x:f>Inputs!$F$8</x:f>
        <x:v>600</x:v>
      </x:c>
      <x:c r="D141" s="50" t="n">
        <x:f>IF(B141=1,0,D140+E140)</x:f>
        <x:v>5400</x:v>
      </x:c>
      <x:c r="E141" s="50" t="n">
        <x:f>MIN(C141,MAX(0,Inputs!$B$7-D141))</x:f>
        <x:v>600</x:v>
      </x:c>
      <x:c r="F141" s="50" t="n">
        <x:f>MIN(C141-E141,MAX(0,Inputs!$B$20-O141))</x:f>
        <x:v>0</x:v>
      </x:c>
      <x:c r="G141" s="50" t="n">
        <x:f>0</x:f>
        <x:v>0</x:v>
      </x:c>
      <x:c r="H141" s="41" t="n">
        <x:f>0</x:f>
        <x:v>0</x:v>
      </x:c>
      <x:c r="I141" s="50" t="n">
        <x:f>(I140*(1+Inputs!$B$12))+E141</x:f>
        <x:v>98322.28270373824</x:v>
      </x:c>
      <x:c r="J141" s="50" t="n">
        <x:f>(J140*(1+Inputs!$B$12))+F141+P141</x:f>
        <x:v>96232.14816262653</x:v>
      </x:c>
      <x:c r="K141" s="50" t="n">
        <x:f>(K140*(1+Inputs!$B$12))*(1-H141)</x:f>
        <x:v>20807.32297483539</x:v>
      </x:c>
      <x:c r="L141" s="50" t="n">
        <x:f>L140*(1+Inputs!$B$13)+Q141</x:f>
        <x:v>17438.249968488264</x:v>
      </x:c>
      <x:c r="M141" s="50" t="n">
        <x:f>I141+J141+L141</x:f>
        <x:v>211992.68083485303</x:v>
      </x:c>
      <x:c r="N141" s="50" t="n">
        <x:f>F141+P141</x:f>
        <x:v>0</x:v>
      </x:c>
      <x:c r="O141" s="50" t="n">
        <x:f>IF(B141=1,0,O140+F140+P140)</x:f>
        <x:v>3288</x:v>
      </x:c>
      <x:c r="P141" s="50" t="n">
        <x:f>MIN(G141,MAX(0,Inputs!$B$20-O141-F141))</x:f>
        <x:v>0</x:v>
      </x:c>
      <x:c r="Q141" s="50" t="n">
        <x:f>(C141-E141-F141)+(G141-P141)</x:f>
        <x:v>0</x:v>
      </x:c>
    </x:row>
    <x:row r="142">
      <x:c r="A142" s="41" t="n">
        <x:f>IF(B142=1,A141+1,A141)</x:f>
        <x:v>2032</x:v>
      </x:c>
      <x:c r="B142" s="41" t="n">
        <x:f>IF(B141=26,1,B141+1)</x:f>
        <x:v>11</x:v>
      </x:c>
      <x:c r="C142" s="48" t="n">
        <x:f>Inputs!$F$8</x:f>
        <x:v>600</x:v>
      </x:c>
      <x:c r="D142" s="50" t="n">
        <x:f>IF(B142=1,0,D141+E141)</x:f>
        <x:v>6000</x:v>
      </x:c>
      <x:c r="E142" s="50" t="n">
        <x:f>MIN(C142,MAX(0,Inputs!$B$7-D142))</x:f>
        <x:v>600</x:v>
      </x:c>
      <x:c r="F142" s="50" t="n">
        <x:f>MIN(C142-E142,MAX(0,Inputs!$B$20-O142))</x:f>
        <x:v>0</x:v>
      </x:c>
      <x:c r="G142" s="50" t="n">
        <x:f>0</x:f>
        <x:v>0</x:v>
      </x:c>
      <x:c r="H142" s="41" t="n">
        <x:f>0</x:f>
        <x:v>0</x:v>
      </x:c>
      <x:c r="I142" s="50" t="n">
        <x:f>(I141*(1+Inputs!$B$12))+E142</x:f>
        <x:v>99106.9620950645</x:v>
      </x:c>
      <x:c r="J142" s="50" t="n">
        <x:f>(J141*(1+Inputs!$B$12))+F142+P142</x:f>
        <x:v>96412.90164047491</x:v>
      </x:c>
      <x:c r="K142" s="50" t="n">
        <x:f>(K141*(1+Inputs!$B$12))*(1-H142)</x:f>
        <x:v>20846.40550665272</x:v>
      </x:c>
      <x:c r="L142" s="50" t="n">
        <x:f>L141*(1+Inputs!$B$13)+Q142</x:f>
        <x:v>17468.760878549037</x:v>
      </x:c>
      <x:c r="M142" s="50" t="n">
        <x:f>I142+J142+L142</x:f>
        <x:v>212988.62461408848</x:v>
      </x:c>
      <x:c r="N142" s="50" t="n">
        <x:f>F142+P142</x:f>
        <x:v>0</x:v>
      </x:c>
      <x:c r="O142" s="50" t="n">
        <x:f>IF(B142=1,0,O141+F141+P141)</x:f>
        <x:v>3288</x:v>
      </x:c>
      <x:c r="P142" s="50" t="n">
        <x:f>MIN(G142,MAX(0,Inputs!$B$20-O142-F142))</x:f>
        <x:v>0</x:v>
      </x:c>
      <x:c r="Q142" s="50" t="n">
        <x:f>(C142-E142-F142)+(G142-P142)</x:f>
        <x:v>0</x:v>
      </x:c>
    </x:row>
    <x:row r="143">
      <x:c r="A143" s="41" t="n">
        <x:f>IF(B143=1,A142+1,A142)</x:f>
        <x:v>2032</x:v>
      </x:c>
      <x:c r="B143" s="41" t="n">
        <x:f>IF(B142=26,1,B142+1)</x:f>
        <x:v>12</x:v>
      </x:c>
      <x:c r="C143" s="48" t="n">
        <x:f>Inputs!$F$8</x:f>
        <x:v>600</x:v>
      </x:c>
      <x:c r="D143" s="50" t="n">
        <x:f>IF(B143=1,0,D142+E142)</x:f>
        <x:v>6600</x:v>
      </x:c>
      <x:c r="E143" s="50" t="n">
        <x:f>MIN(C143,MAX(0,Inputs!$B$7-D143))</x:f>
        <x:v>600</x:v>
      </x:c>
      <x:c r="F143" s="50" t="n">
        <x:f>MIN(C143-E143,MAX(0,Inputs!$B$20-O143))</x:f>
        <x:v>0</x:v>
      </x:c>
      <x:c r="G143" s="50" t="n">
        <x:f>0</x:f>
        <x:v>0</x:v>
      </x:c>
      <x:c r="H143" s="41" t="n">
        <x:f>0</x:f>
        <x:v>0</x:v>
      </x:c>
      <x:c r="I143" s="50" t="n">
        <x:f>(I142*(1+Inputs!$B$12))+E143</x:f>
        <x:v>99893.11535486077</x:v>
      </x:c>
      <x:c r="J143" s="50" t="n">
        <x:f>(J142*(1+Inputs!$B$12))+F143+P143</x:f>
        <x:v>96593.9946287715</x:v>
      </x:c>
      <x:c r="K143" s="50" t="n">
        <x:f>(K142*(1+Inputs!$B$12))*(1-H143)</x:f>
        <x:v>20885.56144744703</x:v>
      </x:c>
      <x:c r="L143" s="50" t="n">
        <x:f>L142*(1+Inputs!$B$13)+Q143</x:f>
        <x:v>17499.32517215658</x:v>
      </x:c>
      <x:c r="M143" s="50" t="n">
        <x:f>I143+J143+L143</x:f>
        <x:v>213986.43515578887</x:v>
      </x:c>
      <x:c r="N143" s="50" t="n">
        <x:f>F143+P143</x:f>
        <x:v>0</x:v>
      </x:c>
      <x:c r="O143" s="50" t="n">
        <x:f>IF(B143=1,0,O142+F142+P142)</x:f>
        <x:v>3288</x:v>
      </x:c>
      <x:c r="P143" s="50" t="n">
        <x:f>MIN(G143,MAX(0,Inputs!$B$20-O143-F143))</x:f>
        <x:v>0</x:v>
      </x:c>
      <x:c r="Q143" s="50" t="n">
        <x:f>(C143-E143-F143)+(G143-P143)</x:f>
        <x:v>0</x:v>
      </x:c>
    </x:row>
    <x:row r="144">
      <x:c r="A144" s="41" t="n">
        <x:f>IF(B144=1,A143+1,A143)</x:f>
        <x:v>2032</x:v>
      </x:c>
      <x:c r="B144" s="41" t="n">
        <x:f>IF(B143=26,1,B143+1)</x:f>
        <x:v>13</x:v>
      </x:c>
      <x:c r="C144" s="48" t="n">
        <x:f>Inputs!$F$8</x:f>
        <x:v>600</x:v>
      </x:c>
      <x:c r="D144" s="50" t="n">
        <x:f>IF(B144=1,0,D143+E143)</x:f>
        <x:v>7200</x:v>
      </x:c>
      <x:c r="E144" s="50" t="n">
        <x:f>MIN(C144,MAX(0,Inputs!$B$7-D144))</x:f>
        <x:v>600</x:v>
      </x:c>
      <x:c r="F144" s="50" t="n">
        <x:f>MIN(C144-E144,MAX(0,Inputs!$B$20-O144))</x:f>
        <x:v>0</x:v>
      </x:c>
      <x:c r="G144" s="50" t="n">
        <x:f>0</x:f>
        <x:v>0</x:v>
      </x:c>
      <x:c r="H144" s="41" t="n">
        <x:f>0</x:f>
        <x:v>0</x:v>
      </x:c>
      <x:c r="I144" s="50" t="n">
        <x:f>(I143*(1+Inputs!$B$12))+E144</x:f>
        <x:v>100680.7452515039</x:v>
      </x:c>
      <x:c r="J144" s="50" t="n">
        <x:f>(J143*(1+Inputs!$B$12))+F144+P144</x:f>
        <x:v>96775.427765221</x:v>
      </x:c>
      <x:c r="K144" s="50" t="n">
        <x:f>(K143*(1+Inputs!$B$12))*(1-H144)</x:f>
        <x:v>20924.790935102887</x:v>
      </x:c>
      <x:c r="L144" s="50" t="n">
        <x:f>L143*(1+Inputs!$B$13)+Q144</x:f>
        <x:v>17529.942942713646</x:v>
      </x:c>
      <x:c r="M144" s="50" t="n">
        <x:f>I144+J144+L144</x:f>
        <x:v>214986.11595943855</x:v>
      </x:c>
      <x:c r="N144" s="50" t="n">
        <x:f>F144+P144</x:f>
        <x:v>0</x:v>
      </x:c>
      <x:c r="O144" s="50" t="n">
        <x:f>IF(B144=1,0,O143+F143+P143)</x:f>
        <x:v>3288</x:v>
      </x:c>
      <x:c r="P144" s="50" t="n">
        <x:f>MIN(G144,MAX(0,Inputs!$B$20-O144-F144))</x:f>
        <x:v>0</x:v>
      </x:c>
      <x:c r="Q144" s="50" t="n">
        <x:f>(C144-E144-F144)+(G144-P144)</x:f>
        <x:v>0</x:v>
      </x:c>
    </x:row>
    <x:row r="145">
      <x:c r="A145" s="41" t="n">
        <x:f>IF(B145=1,A144+1,A144)</x:f>
        <x:v>2032</x:v>
      </x:c>
      <x:c r="B145" s="41" t="n">
        <x:f>IF(B144=26,1,B144+1)</x:f>
        <x:v>14</x:v>
      </x:c>
      <x:c r="C145" s="48" t="n">
        <x:f>Inputs!$F$8</x:f>
        <x:v>600</x:v>
      </x:c>
      <x:c r="D145" s="50" t="n">
        <x:f>IF(B145=1,0,D144+E144)</x:f>
        <x:v>7800</x:v>
      </x:c>
      <x:c r="E145" s="50" t="n">
        <x:f>MIN(C145,MAX(0,Inputs!$B$7-D145))</x:f>
        <x:v>200</x:v>
      </x:c>
      <x:c r="F145" s="50" t="n">
        <x:f>MIN(C145-E145,MAX(0,Inputs!$B$20-O145))</x:f>
        <x:v>400</x:v>
      </x:c>
      <x:c r="G145" s="50" t="n">
        <x:f>0</x:f>
        <x:v>0</x:v>
      </x:c>
      <x:c r="H145" s="41" t="n">
        <x:f>0</x:f>
        <x:v>0</x:v>
      </x:c>
      <x:c r="I145" s="50" t="n">
        <x:f>(I144*(1+Inputs!$B$12))+E145</x:f>
        <x:v>101069.85455857063</x:v>
      </x:c>
      <x:c r="J145" s="50" t="n">
        <x:f>(J144*(1+Inputs!$B$12))+F145+P145</x:f>
        <x:v>97357.20168872594</x:v>
      </x:c>
      <x:c r="K145" s="50" t="n">
        <x:f>(K144*(1+Inputs!$B$12))*(1-H145)</x:f>
        <x:v>20964.094107763838</x:v>
      </x:c>
      <x:c r="L145" s="50" t="n">
        <x:f>L144*(1+Inputs!$B$13)+Q145</x:f>
        <x:v>17560.61428378641</x:v>
      </x:c>
      <x:c r="M145" s="50" t="n">
        <x:f>I145+J145+L145</x:f>
        <x:v>215987.670531083</x:v>
      </x:c>
      <x:c r="N145" s="50" t="n">
        <x:f>F145+P145</x:f>
        <x:v>400</x:v>
      </x:c>
      <x:c r="O145" s="50" t="n">
        <x:f>IF(B145=1,0,O144+F144+P144)</x:f>
        <x:v>3288</x:v>
      </x:c>
      <x:c r="P145" s="50" t="n">
        <x:f>MIN(G145,MAX(0,Inputs!$B$20-O145-F145))</x:f>
        <x:v>0</x:v>
      </x:c>
      <x:c r="Q145" s="50" t="n">
        <x:f>(C145-E145-F145)+(G145-P145)</x:f>
        <x:v>0</x:v>
      </x:c>
    </x:row>
    <x:row r="146">
      <x:c r="A146" s="41" t="n">
        <x:f>IF(B146=1,A145+1,A145)</x:f>
        <x:v>2032</x:v>
      </x:c>
      <x:c r="B146" s="41" t="n">
        <x:f>IF(B145=26,1,B145+1)</x:f>
        <x:v>15</x:v>
      </x:c>
      <x:c r="C146" s="48" t="n">
        <x:f>Inputs!$F$8</x:f>
        <x:v>600</x:v>
      </x:c>
      <x:c r="D146" s="50" t="n">
        <x:f>IF(B146=1,0,D145+E145)</x:f>
        <x:v>8000</x:v>
      </x:c>
      <x:c r="E146" s="50" t="n">
        <x:f>MIN(C146,MAX(0,Inputs!$B$7-D146))</x:f>
        <x:v>0</x:v>
      </x:c>
      <x:c r="F146" s="50" t="n">
        <x:f>MIN(C146-E146,MAX(0,Inputs!$B$20-O146))</x:f>
        <x:v>600</x:v>
      </x:c>
      <x:c r="G146" s="50" t="n">
        <x:f>0</x:f>
        <x:v>0</x:v>
      </x:c>
      <x:c r="H146" s="41" t="n">
        <x:f>0</x:f>
        <x:v>0</x:v>
      </x:c>
      <x:c r="I146" s="50" t="n">
        <x:f>(I145*(1+Inputs!$B$12))+E146</x:f>
        <x:v>101259.69473221217</x:v>
      </x:c>
      <x:c r="J146" s="50" t="n">
        <x:f>(J145*(1+Inputs!$B$12))+F146+P146</x:f>
        <x:v>98140.06836202397</x:v>
      </x:c>
      <x:c r="K146" s="50" t="n">
        <x:f>(K145*(1+Inputs!$B$12))*(1-H146)</x:f>
        <x:v>21003.47110383292</x:v>
      </x:c>
      <x:c r="L146" s="50" t="n">
        <x:f>L145*(1+Inputs!$B$13)+Q146</x:f>
        <x:v>17591.339289104762</x:v>
      </x:c>
      <x:c r="M146" s="50" t="n">
        <x:f>I146+J146+L146</x:f>
        <x:v>216991.1023833409</x:v>
      </x:c>
      <x:c r="N146" s="50" t="n">
        <x:f>F146+P146</x:f>
        <x:v>600</x:v>
      </x:c>
      <x:c r="O146" s="50" t="n">
        <x:f>IF(B146=1,0,O145+F145+P145)</x:f>
        <x:v>3688</x:v>
      </x:c>
      <x:c r="P146" s="50" t="n">
        <x:f>MIN(G146,MAX(0,Inputs!$B$20-O146-F146))</x:f>
        <x:v>0</x:v>
      </x:c>
      <x:c r="Q146" s="50" t="n">
        <x:f>(C146-E146-F146)+(G146-P146)</x:f>
        <x:v>0</x:v>
      </x:c>
    </x:row>
    <x:row r="147">
      <x:c r="A147" s="41" t="n">
        <x:f>IF(B147=1,A146+1,A146)</x:f>
        <x:v>2032</x:v>
      </x:c>
      <x:c r="B147" s="41" t="n">
        <x:f>IF(B146=26,1,B146+1)</x:f>
        <x:v>16</x:v>
      </x:c>
      <x:c r="C147" s="48" t="n">
        <x:f>Inputs!$F$8</x:f>
        <x:v>600</x:v>
      </x:c>
      <x:c r="D147" s="50" t="n">
        <x:f>IF(B147=1,0,D146+E146)</x:f>
        <x:v>8000</x:v>
      </x:c>
      <x:c r="E147" s="50" t="n">
        <x:f>MIN(C147,MAX(0,Inputs!$B$7-D147))</x:f>
        <x:v>0</x:v>
      </x:c>
      <x:c r="F147" s="50" t="n">
        <x:f>MIN(C147-E147,MAX(0,Inputs!$B$20-O147))</x:f>
        <x:v>600</x:v>
      </x:c>
      <x:c r="G147" s="50" t="n">
        <x:f>0</x:f>
        <x:v>0</x:v>
      </x:c>
      <x:c r="H147" s="41" t="n">
        <x:f>0</x:f>
        <x:v>0</x:v>
      </x:c>
      <x:c r="I147" s="50" t="n">
        <x:f>(I146*(1+Inputs!$B$12))+E147</x:f>
        <x:v>101449.8914839025</x:v>
      </x:c>
      <x:c r="J147" s="50" t="n">
        <x:f>(J146*(1+Inputs!$B$12))+F147+P147</x:f>
        <x:v>98924.4054989518</x:v>
      </x:c>
      <x:c r="K147" s="50" t="n">
        <x:f>(K146*(1+Inputs!$B$12))*(1-H147)</x:f>
        <x:v>21042.922061973124</x:v>
      </x:c>
      <x:c r="L147" s="50" t="n">
        <x:f>L146*(1+Inputs!$B$13)+Q147</x:f>
        <x:v>17622.118052562582</x:v>
      </x:c>
      <x:c r="M147" s="50" t="n">
        <x:f>I147+J147+L147</x:f>
        <x:v>217996.4150354169</x:v>
      </x:c>
      <x:c r="N147" s="50" t="n">
        <x:f>F147+P147</x:f>
        <x:v>600</x:v>
      </x:c>
      <x:c r="O147" s="50" t="n">
        <x:f>IF(B147=1,0,O146+F146+P146)</x:f>
        <x:v>4288</x:v>
      </x:c>
      <x:c r="P147" s="50" t="n">
        <x:f>MIN(G147,MAX(0,Inputs!$B$20-O147-F147))</x:f>
        <x:v>0</x:v>
      </x:c>
      <x:c r="Q147" s="50" t="n">
        <x:f>(C147-E147-F147)+(G147-P147)</x:f>
        <x:v>0</x:v>
      </x:c>
    </x:row>
    <x:row r="148">
      <x:c r="A148" s="41" t="n">
        <x:f>IF(B148=1,A147+1,A147)</x:f>
        <x:v>2032</x:v>
      </x:c>
      <x:c r="B148" s="41" t="n">
        <x:f>IF(B147=26,1,B147+1)</x:f>
        <x:v>17</x:v>
      </x:c>
      <x:c r="C148" s="48" t="n">
        <x:f>Inputs!$F$8</x:f>
        <x:v>600</x:v>
      </x:c>
      <x:c r="D148" s="50" t="n">
        <x:f>IF(B148=1,0,D147+E147)</x:f>
        <x:v>8000</x:v>
      </x:c>
      <x:c r="E148" s="50" t="n">
        <x:f>MIN(C148,MAX(0,Inputs!$B$7-D148))</x:f>
        <x:v>0</x:v>
      </x:c>
      <x:c r="F148" s="50" t="n">
        <x:f>MIN(C148-E148,MAX(0,Inputs!$B$20-O148))</x:f>
        <x:v>600</x:v>
      </x:c>
      <x:c r="G148" s="50" t="n">
        <x:f>0</x:f>
        <x:v>0</x:v>
      </x:c>
      <x:c r="H148" s="41" t="n">
        <x:f>0</x:f>
        <x:v>0</x:v>
      </x:c>
      <x:c r="I148" s="50" t="n">
        <x:f>(I147*(1+Inputs!$B$12))+E148</x:f>
        <x:v>101640.44548340449</x:v>
      </x:c>
      <x:c r="J148" s="50" t="n">
        <x:f>(J147*(1+Inputs!$B$12))+F148+P148</x:f>
        <x:v>99710.21586149096</x:v>
      </x:c>
      <x:c r="K148" s="50" t="n">
        <x:f>(K147*(1+Inputs!$B$12))*(1-H148)</x:f>
        <x:v>21082.447121107896</x:v>
      </x:c>
      <x:c r="L148" s="50" t="n">
        <x:f>L147*(1+Inputs!$B$13)+Q148</x:f>
        <x:v>17652.950668218033</x:v>
      </x:c>
      <x:c r="M148" s="50" t="n">
        <x:f>I148+J148+L148</x:f>
        <x:v>219003.61201311345</x:v>
      </x:c>
      <x:c r="N148" s="50" t="n">
        <x:f>F148+P148</x:f>
        <x:v>600</x:v>
      </x:c>
      <x:c r="O148" s="50" t="n">
        <x:f>IF(B148=1,0,O147+F147+P147)</x:f>
        <x:v>4888</x:v>
      </x:c>
      <x:c r="P148" s="50" t="n">
        <x:f>MIN(G148,MAX(0,Inputs!$B$20-O148-F148))</x:f>
        <x:v>0</x:v>
      </x:c>
      <x:c r="Q148" s="50" t="n">
        <x:f>(C148-E148-F148)+(G148-P148)</x:f>
        <x:v>0</x:v>
      </x:c>
    </x:row>
    <x:row r="149">
      <x:c r="A149" s="41" t="n">
        <x:f>IF(B149=1,A148+1,A148)</x:f>
        <x:v>2032</x:v>
      </x:c>
      <x:c r="B149" s="41" t="n">
        <x:f>IF(B148=26,1,B148+1)</x:f>
        <x:v>18</x:v>
      </x:c>
      <x:c r="C149" s="48" t="n">
        <x:f>Inputs!$F$8</x:f>
        <x:v>600</x:v>
      </x:c>
      <x:c r="D149" s="50" t="n">
        <x:f>IF(B149=1,0,D148+E148)</x:f>
        <x:v>8000</x:v>
      </x:c>
      <x:c r="E149" s="50" t="n">
        <x:f>MIN(C149,MAX(0,Inputs!$B$7-D149))</x:f>
        <x:v>0</x:v>
      </x:c>
      <x:c r="F149" s="50" t="n">
        <x:f>MIN(C149-E149,MAX(0,Inputs!$B$20-O149))</x:f>
        <x:v>600</x:v>
      </x:c>
      <x:c r="G149" s="50" t="n">
        <x:f>0</x:f>
        <x:v>0</x:v>
      </x:c>
      <x:c r="H149" s="41" t="n">
        <x:f>0</x:f>
        <x:v>0</x:v>
      </x:c>
      <x:c r="I149" s="50" t="n">
        <x:f>(I148*(1+Inputs!$B$12))+E149</x:f>
        <x:v>101831.35740173906</x:v>
      </x:c>
      <x:c r="J149" s="50" t="n">
        <x:f>(J148*(1+Inputs!$B$12))+F149+P149</x:f>
        <x:v>100497.5022168108</x:v>
      </x:c>
      <x:c r="K149" s="50" t="n">
        <x:f>(K148*(1+Inputs!$B$12))*(1-H149)</x:f>
        <x:v>21122.046420421626</x:v>
      </x:c>
      <x:c r="L149" s="50" t="n">
        <x:f>L148*(1+Inputs!$B$13)+Q149</x:f>
        <x:v>17683.837230293848</x:v>
      </x:c>
      <x:c r="M149" s="50" t="n">
        <x:f>I149+J149+L149</x:f>
        <x:v>220012.6968488437</x:v>
      </x:c>
      <x:c r="N149" s="50" t="n">
        <x:f>F149+P149</x:f>
        <x:v>600</x:v>
      </x:c>
      <x:c r="O149" s="50" t="n">
        <x:f>IF(B149=1,0,O148+F148+P148)</x:f>
        <x:v>5488</x:v>
      </x:c>
      <x:c r="P149" s="50" t="n">
        <x:f>MIN(G149,MAX(0,Inputs!$B$20-O149-F149))</x:f>
        <x:v>0</x:v>
      </x:c>
      <x:c r="Q149" s="50" t="n">
        <x:f>(C149-E149-F149)+(G149-P149)</x:f>
        <x:v>0</x:v>
      </x:c>
    </x:row>
    <x:row r="150">
      <x:c r="A150" s="41" t="n">
        <x:f>IF(B150=1,A149+1,A149)</x:f>
        <x:v>2032</x:v>
      </x:c>
      <x:c r="B150" s="41" t="n">
        <x:f>IF(B149=26,1,B149+1)</x:f>
        <x:v>19</x:v>
      </x:c>
      <x:c r="C150" s="48" t="n">
        <x:f>Inputs!$F$8</x:f>
        <x:v>600</x:v>
      </x:c>
      <x:c r="D150" s="50" t="n">
        <x:f>IF(B150=1,0,D149+E149)</x:f>
        <x:v>8000</x:v>
      </x:c>
      <x:c r="E150" s="50" t="n">
        <x:f>MIN(C150,MAX(0,Inputs!$B$7-D150))</x:f>
        <x:v>0</x:v>
      </x:c>
      <x:c r="F150" s="50" t="n">
        <x:f>MIN(C150-E150,MAX(0,Inputs!$B$20-O150))</x:f>
        <x:v>600</x:v>
      </x:c>
      <x:c r="G150" s="50" t="n">
        <x:f>0</x:f>
        <x:v>0</x:v>
      </x:c>
      <x:c r="H150" s="41" t="n">
        <x:f>0</x:f>
        <x:v>0</x:v>
      </x:c>
      <x:c r="I150" s="50" t="n">
        <x:f>(I149*(1+Inputs!$B$12))+E150</x:f>
        <x:v>102022.62791118753</x:v>
      </x:c>
      <x:c r="J150" s="50" t="n">
        <x:f>(J149*(1+Inputs!$B$12))+F150+P150</x:f>
        <x:v>101286.26733727829</x:v>
      </x:c>
      <x:c r="K150" s="50" t="n">
        <x:f>(K149*(1+Inputs!$B$12))*(1-H150)</x:f>
        <x:v>21161.720099360125</x:v>
      </x:c>
      <x:c r="L150" s="50" t="n">
        <x:f>L149*(1+Inputs!$B$13)+Q150</x:f>
        <x:v>17714.777833177617</x:v>
      </x:c>
      <x:c r="M150" s="50" t="n">
        <x:f>I150+J150+L150</x:f>
        <x:v>221023.67308164344</x:v>
      </x:c>
      <x:c r="N150" s="50" t="n">
        <x:f>F150+P150</x:f>
        <x:v>600</x:v>
      </x:c>
      <x:c r="O150" s="50" t="n">
        <x:f>IF(B150=1,0,O149+F149+P149)</x:f>
        <x:v>6088</x:v>
      </x:c>
      <x:c r="P150" s="50" t="n">
        <x:f>MIN(G150,MAX(0,Inputs!$B$20-O150-F150))</x:f>
        <x:v>0</x:v>
      </x:c>
      <x:c r="Q150" s="50" t="n">
        <x:f>(C150-E150-F150)+(G150-P150)</x:f>
        <x:v>0</x:v>
      </x:c>
    </x:row>
    <x:row r="151">
      <x:c r="A151" s="41" t="n">
        <x:f>IF(B151=1,A150+1,A150)</x:f>
        <x:v>2032</x:v>
      </x:c>
      <x:c r="B151" s="41" t="n">
        <x:f>IF(B150=26,1,B150+1)</x:f>
        <x:v>20</x:v>
      </x:c>
      <x:c r="C151" s="48" t="n">
        <x:f>Inputs!$F$8</x:f>
        <x:v>600</x:v>
      </x:c>
      <x:c r="D151" s="50" t="n">
        <x:f>IF(B151=1,0,D150+E150)</x:f>
        <x:v>8000</x:v>
      </x:c>
      <x:c r="E151" s="50" t="n">
        <x:f>MIN(C151,MAX(0,Inputs!$B$7-D151))</x:f>
        <x:v>0</x:v>
      </x:c>
      <x:c r="F151" s="50" t="n">
        <x:f>MIN(C151-E151,MAX(0,Inputs!$B$20-O151))</x:f>
        <x:v>600</x:v>
      </x:c>
      <x:c r="G151" s="50" t="n">
        <x:f>0</x:f>
        <x:v>0</x:v>
      </x:c>
      <x:c r="H151" s="41" t="n">
        <x:f>0</x:f>
        <x:v>0</x:v>
      </x:c>
      <x:c r="I151" s="50" t="n">
        <x:f>(I150*(1+Inputs!$B$12))+E151</x:f>
        <x:v>102214.25768529394</x:v>
      </x:c>
      <x:c r="J151" s="50" t="n">
        <x:f>(J150*(1+Inputs!$B$12))+F151+P151</x:f>
        <x:v>102076.51400046775</x:v>
      </x:c>
      <x:c r="K151" s="50" t="n">
        <x:f>(K150*(1+Inputs!$B$12))*(1-H151)</x:f>
        <x:v>21201.468297631138</x:v>
      </x:c>
      <x:c r="L151" s="50" t="n">
        <x:f>L150*(1+Inputs!$B$13)+Q151</x:f>
        <x:v>17745.772571422072</x:v>
      </x:c>
      <x:c r="M151" s="50" t="n">
        <x:f>I151+J151+L151</x:f>
        <x:v>222036.54425718376</x:v>
      </x:c>
      <x:c r="N151" s="50" t="n">
        <x:f>F151+P151</x:f>
        <x:v>600</x:v>
      </x:c>
      <x:c r="O151" s="50" t="n">
        <x:f>IF(B151=1,0,O150+F150+P150)</x:f>
        <x:v>6688</x:v>
      </x:c>
      <x:c r="P151" s="50" t="n">
        <x:f>MIN(G151,MAX(0,Inputs!$B$20-O151-F151))</x:f>
        <x:v>0</x:v>
      </x:c>
      <x:c r="Q151" s="50" t="n">
        <x:f>(C151-E151-F151)+(G151-P151)</x:f>
        <x:v>0</x:v>
      </x:c>
    </x:row>
    <x:row r="152">
      <x:c r="A152" s="41" t="n">
        <x:f>IF(B152=1,A151+1,A151)</x:f>
        <x:v>2032</x:v>
      </x:c>
      <x:c r="B152" s="41" t="n">
        <x:f>IF(B151=26,1,B151+1)</x:f>
        <x:v>21</x:v>
      </x:c>
      <x:c r="C152" s="48" t="n">
        <x:f>Inputs!$F$8</x:f>
        <x:v>600</x:v>
      </x:c>
      <x:c r="D152" s="50" t="n">
        <x:f>IF(B152=1,0,D151+E151)</x:f>
        <x:v>8000</x:v>
      </x:c>
      <x:c r="E152" s="50" t="n">
        <x:f>MIN(C152,MAX(0,Inputs!$B$7-D152))</x:f>
        <x:v>0</x:v>
      </x:c>
      <x:c r="F152" s="50" t="n">
        <x:f>MIN(C152-E152,MAX(0,Inputs!$B$20-O152))</x:f>
        <x:v>600</x:v>
      </x:c>
      <x:c r="G152" s="50" t="n">
        <x:f>0</x:f>
        <x:v>0</x:v>
      </x:c>
      <x:c r="H152" s="41" t="n">
        <x:f>0</x:f>
        <x:v>0</x:v>
      </x:c>
      <x:c r="I152" s="50" t="n">
        <x:f>(I151*(1+Inputs!$B$12))+E152</x:f>
        <x:v>102406.24739886746</x:v>
      </x:c>
      <x:c r="J152" s="50" t="n">
        <x:f>(J151*(1+Inputs!$B$12))+F152+P152</x:f>
        <x:v>102868.24498917065</x:v>
      </x:c>
      <x:c r="K152" s="50" t="n">
        <x:f>(K151*(1+Inputs!$B$12))*(1-H152)</x:f>
        <x:v>21241.291155204814</x:v>
      </x:c>
      <x:c r="L152" s="50" t="n">
        <x:f>L151*(1+Inputs!$B$13)+Q152</x:f>
        <x:v>17776.821539745386</x:v>
      </x:c>
      <x:c r="M152" s="50" t="n">
        <x:f>I152+J152+L152</x:f>
        <x:v>223051.31392778349</x:v>
      </x:c>
      <x:c r="N152" s="50" t="n">
        <x:f>F152+P152</x:f>
        <x:v>600</x:v>
      </x:c>
      <x:c r="O152" s="50" t="n">
        <x:f>IF(B152=1,0,O151+F151+P151)</x:f>
        <x:v>7288</x:v>
      </x:c>
      <x:c r="P152" s="50" t="n">
        <x:f>MIN(G152,MAX(0,Inputs!$B$20-O152-F152))</x:f>
        <x:v>0</x:v>
      </x:c>
      <x:c r="Q152" s="50" t="n">
        <x:f>(C152-E152-F152)+(G152-P152)</x:f>
        <x:v>0</x:v>
      </x:c>
    </x:row>
    <x:row r="153">
      <x:c r="A153" s="41" t="n">
        <x:f>IF(B153=1,A152+1,A152)</x:f>
        <x:v>2032</x:v>
      </x:c>
      <x:c r="B153" s="41" t="n">
        <x:f>IF(B152=26,1,B152+1)</x:f>
        <x:v>22</x:v>
      </x:c>
      <x:c r="C153" s="48" t="n">
        <x:f>Inputs!$F$8</x:f>
        <x:v>600</x:v>
      </x:c>
      <x:c r="D153" s="50" t="n">
        <x:f>IF(B153=1,0,D152+E152)</x:f>
        <x:v>8000</x:v>
      </x:c>
      <x:c r="E153" s="50" t="n">
        <x:f>MIN(C153,MAX(0,Inputs!$B$7-D153))</x:f>
        <x:v>0</x:v>
      </x:c>
      <x:c r="F153" s="50" t="n">
        <x:f>MIN(C153-E153,MAX(0,Inputs!$B$20-O153))</x:f>
        <x:v>600</x:v>
      </x:c>
      <x:c r="G153" s="50" t="n">
        <x:f>0</x:f>
        <x:v>0</x:v>
      </x:c>
      <x:c r="H153" s="41" t="n">
        <x:f>0</x:f>
        <x:v>0</x:v>
      </x:c>
      <x:c r="I153" s="50" t="n">
        <x:f>(I152*(1+Inputs!$B$12))+E153</x:f>
        <x:v>102598.59772798477</x:v>
      </x:c>
      <x:c r="J153" s="50" t="n">
        <x:f>(J152*(1+Inputs!$B$12))+F153+P153</x:f>
        <x:v>103661.46309140536</x:v>
      </x:c>
      <x:c r="K153" s="50" t="n">
        <x:f>(K152*(1+Inputs!$B$12))*(1-H153)</x:f>
        <x:v>21281.188812314213</x:v>
      </x:c>
      <x:c r="L153" s="50" t="n">
        <x:f>L152*(1+Inputs!$B$13)+Q153</x:f>
        <x:v>17807.92483303145</x:v>
      </x:c>
      <x:c r="M153" s="50" t="n">
        <x:f>I153+J153+L153</x:f>
        <x:v>224067.98565242157</x:v>
      </x:c>
      <x:c r="N153" s="50" t="n">
        <x:f>F153+P153</x:f>
        <x:v>600</x:v>
      </x:c>
      <x:c r="O153" s="50" t="n">
        <x:f>IF(B153=1,0,O152+F152+P152)</x:f>
        <x:v>7888</x:v>
      </x:c>
      <x:c r="P153" s="50" t="n">
        <x:f>MIN(G153,MAX(0,Inputs!$B$20-O153-F153))</x:f>
        <x:v>0</x:v>
      </x:c>
      <x:c r="Q153" s="50" t="n">
        <x:f>(C153-E153-F153)+(G153-P153)</x:f>
        <x:v>0</x:v>
      </x:c>
    </x:row>
    <x:row r="154">
      <x:c r="A154" s="41" t="n">
        <x:f>IF(B154=1,A153+1,A153)</x:f>
        <x:v>2032</x:v>
      </x:c>
      <x:c r="B154" s="41" t="n">
        <x:f>IF(B153=26,1,B153+1)</x:f>
        <x:v>23</x:v>
      </x:c>
      <x:c r="C154" s="48" t="n">
        <x:f>Inputs!$F$8</x:f>
        <x:v>600</x:v>
      </x:c>
      <x:c r="D154" s="50" t="n">
        <x:f>IF(B154=1,0,D153+E153)</x:f>
        <x:v>8000</x:v>
      </x:c>
      <x:c r="E154" s="50" t="n">
        <x:f>MIN(C154,MAX(0,Inputs!$B$7-D154))</x:f>
        <x:v>0</x:v>
      </x:c>
      <x:c r="F154" s="50" t="n">
        <x:f>MIN(C154-E154,MAX(0,Inputs!$B$20-O154))</x:f>
        <x:v>600</x:v>
      </x:c>
      <x:c r="G154" s="50" t="n">
        <x:f>0</x:f>
        <x:v>0</x:v>
      </x:c>
      <x:c r="H154" s="41" t="n">
        <x:f>0</x:f>
        <x:v>0</x:v>
      </x:c>
      <x:c r="I154" s="50" t="n">
        <x:f>(I153*(1+Inputs!$B$12))+E154</x:f>
        <x:v>102791.30934999243</x:v>
      </x:c>
      <x:c r="J154" s="50" t="n">
        <x:f>(J153*(1+Inputs!$B$12))+F154+P154</x:f>
        <x:v>104456.17110042702</x:v>
      </x:c>
      <x:c r="K154" s="50" t="n">
        <x:f>(K153*(1+Inputs!$B$12))*(1-H154)</x:f>
        <x:v>21321.161409455795</x:v>
      </x:c>
      <x:c r="L154" s="50" t="n">
        <x:f>L153*(1+Inputs!$B$13)+Q154</x:f>
        <x:v>17839.082546330177</x:v>
      </x:c>
      <x:c r="M154" s="50" t="n">
        <x:f>I154+J154+L154</x:f>
        <x:v>225086.56299674962</x:v>
      </x:c>
      <x:c r="N154" s="50" t="n">
        <x:f>F154+P154</x:f>
        <x:v>600</x:v>
      </x:c>
      <x:c r="O154" s="50" t="n">
        <x:f>IF(B154=1,0,O153+F153+P153)</x:f>
        <x:v>8488</x:v>
      </x:c>
      <x:c r="P154" s="50" t="n">
        <x:f>MIN(G154,MAX(0,Inputs!$B$20-O154-F154))</x:f>
        <x:v>0</x:v>
      </x:c>
      <x:c r="Q154" s="50" t="n">
        <x:f>(C154-E154-F154)+(G154-P154)</x:f>
        <x:v>0</x:v>
      </x:c>
    </x:row>
    <x:row r="155">
      <x:c r="A155" s="41" t="n">
        <x:f>IF(B155=1,A154+1,A154)</x:f>
        <x:v>2032</x:v>
      </x:c>
      <x:c r="B155" s="41" t="n">
        <x:f>IF(B154=26,1,B154+1)</x:f>
        <x:v>24</x:v>
      </x:c>
      <x:c r="C155" s="48" t="n">
        <x:f>Inputs!$F$8</x:f>
        <x:v>600</x:v>
      </x:c>
      <x:c r="D155" s="50" t="n">
        <x:f>IF(B155=1,0,D154+E154)</x:f>
        <x:v>8000</x:v>
      </x:c>
      <x:c r="E155" s="50" t="n">
        <x:f>MIN(C155,MAX(0,Inputs!$B$7-D155))</x:f>
        <x:v>0</x:v>
      </x:c>
      <x:c r="F155" s="50" t="n">
        <x:f>MIN(C155-E155,MAX(0,Inputs!$B$20-O155))</x:f>
        <x:v>600</x:v>
      </x:c>
      <x:c r="G155" s="50" t="n">
        <x:f>0</x:f>
        <x:v>0</x:v>
      </x:c>
      <x:c r="H155" s="41" t="n">
        <x:f>0</x:f>
        <x:v>0</x:v>
      </x:c>
      <x:c r="I155" s="50" t="n">
        <x:f>(I154*(1+Inputs!$B$12))+E155</x:f>
        <x:v>102984.38294350923</x:v>
      </x:c>
      <x:c r="J155" s="50" t="n">
        <x:f>(J154*(1+Inputs!$B$12))+F155+P155</x:f>
        <x:v>105252.37181473737</x:v>
      </x:c>
      <x:c r="K155" s="50" t="n">
        <x:f>(K154*(1+Inputs!$B$12))*(1-H155)</x:f>
        <x:v>21361.20908738992</x:v>
      </x:c>
      <x:c r="L155" s="50" t="n">
        <x:f>L154*(1+Inputs!$B$13)+Q155</x:f>
        <x:v>17870.294774857775</x:v>
      </x:c>
      <x:c r="M155" s="50" t="n">
        <x:f>I155+J155+L155</x:f>
        <x:v>226107.04953310438</x:v>
      </x:c>
      <x:c r="N155" s="50" t="n">
        <x:f>F155+P155</x:f>
        <x:v>600</x:v>
      </x:c>
      <x:c r="O155" s="50" t="n">
        <x:f>IF(B155=1,0,O154+F154+P154)</x:f>
        <x:v>9088</x:v>
      </x:c>
      <x:c r="P155" s="50" t="n">
        <x:f>MIN(G155,MAX(0,Inputs!$B$20-O155-F155))</x:f>
        <x:v>0</x:v>
      </x:c>
      <x:c r="Q155" s="50" t="n">
        <x:f>(C155-E155-F155)+(G155-P155)</x:f>
        <x:v>0</x:v>
      </x:c>
    </x:row>
    <x:row r="156">
      <x:c r="A156" s="41" t="n">
        <x:f>IF(B156=1,A155+1,A155)</x:f>
        <x:v>2032</x:v>
      </x:c>
      <x:c r="B156" s="41" t="n">
        <x:f>IF(B155=26,1,B155+1)</x:f>
        <x:v>25</x:v>
      </x:c>
      <x:c r="C156" s="48" t="n">
        <x:f>Inputs!$F$8</x:f>
        <x:v>600</x:v>
      </x:c>
      <x:c r="D156" s="50" t="n">
        <x:f>IF(B156=1,0,D155+E155)</x:f>
        <x:v>8000</x:v>
      </x:c>
      <x:c r="E156" s="50" t="n">
        <x:f>MIN(C156,MAX(0,Inputs!$B$7-D156))</x:f>
        <x:v>0</x:v>
      </x:c>
      <x:c r="F156" s="50" t="n">
        <x:f>MIN(C156-E156,MAX(0,Inputs!$B$20-O156))</x:f>
        <x:v>600</x:v>
      </x:c>
      <x:c r="G156" s="50" t="n">
        <x:f>0</x:f>
        <x:v>0</x:v>
      </x:c>
      <x:c r="H156" s="41" t="n">
        <x:f>0</x:f>
        <x:v>0</x:v>
      </x:c>
      <x:c r="I156" s="50" t="n">
        <x:f>(I155*(1+Inputs!$B$12))+E156</x:f>
        <x:v>103177.81918842866</x:v>
      </x:c>
      <x:c r="J156" s="50" t="n">
        <x:f>(J155*(1+Inputs!$B$12))+F156+P156</x:f>
        <x:v>106050.0680380946</x:v>
      </x:c>
      <x:c r="K156" s="50" t="n">
        <x:f>(K155*(1+Inputs!$B$12))*(1-H156)</x:f>
        <x:v>21401.331987141333</x:v>
      </x:c>
      <x:c r="L156" s="50" t="n">
        <x:f>L155*(1+Inputs!$B$13)+Q156</x:f>
        <x:v>17901.56161399705</x:v>
      </x:c>
      <x:c r="M156" s="50" t="n">
        <x:f>I156+J156+L156</x:f>
        <x:v>227129.4488405203</x:v>
      </x:c>
      <x:c r="N156" s="50" t="n">
        <x:f>F156+P156</x:f>
        <x:v>600</x:v>
      </x:c>
      <x:c r="O156" s="50" t="n">
        <x:f>IF(B156=1,0,O155+F155+P155)</x:f>
        <x:v>9688</x:v>
      </x:c>
      <x:c r="P156" s="50" t="n">
        <x:f>MIN(G156,MAX(0,Inputs!$B$20-O156-F156))</x:f>
        <x:v>0</x:v>
      </x:c>
      <x:c r="Q156" s="50" t="n">
        <x:f>(C156-E156-F156)+(G156-P156)</x:f>
        <x:v>0</x:v>
      </x:c>
    </x:row>
    <x:row r="157">
      <x:c r="A157" s="41" t="n">
        <x:f>IF(B157=1,A156+1,A156)</x:f>
        <x:v>2032</x:v>
      </x:c>
      <x:c r="B157" s="41" t="n">
        <x:f>IF(B156=26,1,B156+1)</x:f>
        <x:v>26</x:v>
      </x:c>
      <x:c r="C157" s="48" t="n">
        <x:f>Inputs!$F$8</x:f>
        <x:v>600</x:v>
      </x:c>
      <x:c r="D157" s="50" t="n">
        <x:f>IF(B157=1,0,D156+E156)</x:f>
        <x:v>8000</x:v>
      </x:c>
      <x:c r="E157" s="50" t="n">
        <x:f>MIN(C157,MAX(0,Inputs!$B$7-D157))</x:f>
        <x:v>0</x:v>
      </x:c>
      <x:c r="F157" s="50" t="n">
        <x:f>MIN(C157-E157,MAX(0,Inputs!$B$20-O157))</x:f>
        <x:v>600</x:v>
      </x:c>
      <x:c r="G157" s="50" t="n">
        <x:f>0</x:f>
        <x:v>0</x:v>
      </x:c>
      <x:c r="H157" s="41" t="n">
        <x:f>IF(A157=Inputs!$B$8,1,0)</x:f>
        <x:v>0</x:v>
      </x:c>
      <x:c r="I157" s="50" t="n">
        <x:f>(I156*(1+Inputs!$B$12))+E157</x:f>
        <x:v>103371.61876592124</x:v>
      </x:c>
      <x:c r="J157" s="50" t="n">
        <x:f>(J156*(1+Inputs!$B$12))+F157+P157</x:f>
        <x:v>106849.2625795232</x:v>
      </x:c>
      <x:c r="K157" s="50" t="n">
        <x:f>(K156*(1+Inputs!$B$12))*(1-H157)</x:f>
        <x:v>21441.53024999967</x:v>
      </x:c>
      <x:c r="L157" s="50" t="n">
        <x:f>L156*(1+Inputs!$B$13)+Q157</x:f>
        <x:v>17932.883159297704</x:v>
      </x:c>
      <x:c r="M157" s="50" t="n">
        <x:f>I157+J157+L157</x:f>
        <x:v>228153.76450474214</x:v>
      </x:c>
      <x:c r="N157" s="50" t="n">
        <x:f>F157+P157</x:f>
        <x:v>600</x:v>
      </x:c>
      <x:c r="O157" s="50" t="n">
        <x:f>IF(B157=1,0,O156+F156+P156)</x:f>
        <x:v>10288</x:v>
      </x:c>
      <x:c r="P157" s="50" t="n">
        <x:f>MIN(G157,MAX(0,Inputs!$B$20-O157-F157))</x:f>
        <x:v>0</x:v>
      </x:c>
      <x:c r="Q157" s="50" t="n">
        <x:f>(C157-E157-F157)+(G157-P157)</x:f>
        <x:v>0</x:v>
      </x:c>
    </x:row>
    <x:row r="158">
      <x:c r="A158" s="41" t="n">
        <x:f>IF(B158=1,A157+1,A157)</x:f>
        <x:v>2033</x:v>
      </x:c>
      <x:c r="B158" s="41" t="n">
        <x:f>IF(B157=26,1,B157+1)</x:f>
        <x:v>1</x:v>
      </x:c>
      <x:c r="C158" s="48" t="n">
        <x:f>Inputs!$F$9</x:f>
        <x:v>600</x:v>
      </x:c>
      <x:c r="D158" s="50" t="n">
        <x:f>IF(B158=1,0,D157+E157)</x:f>
        <x:v>0</x:v>
      </x:c>
      <x:c r="E158" s="50" t="n">
        <x:f>MIN(C158,MAX(0,Inputs!$B$7-D158))</x:f>
        <x:v>600</x:v>
      </x:c>
      <x:c r="F158" s="50" t="n">
        <x:f>MIN(C158-E158,MAX(0,Inputs!$B$20-O158))</x:f>
        <x:v>0</x:v>
      </x:c>
      <x:c r="G158" s="50" t="n">
        <x:f>0</x:f>
        <x:v>0</x:v>
      </x:c>
      <x:c r="H158" s="41" t="n">
        <x:f>0</x:f>
        <x:v>0</x:v>
      </x:c>
      <x:c r="I158" s="50" t="n">
        <x:f>(I157*(1+Inputs!$B$12))+E158</x:f>
        <x:v>104165.78235843693</x:v>
      </x:c>
      <x:c r="J158" s="50" t="n">
        <x:f>(J157*(1+Inputs!$B$12))+F158+P158</x:f>
        <x:v>107049.95825332387</x:v>
      </x:c>
      <x:c r="K158" s="50" t="n">
        <x:f>(K157*(1+Inputs!$B$12))*(1-H158)</x:f>
        <x:v>21481.80401751995</x:v>
      </x:c>
      <x:c r="L158" s="50" t="n">
        <x:f>L157*(1+Inputs!$B$13)+Q158</x:f>
        <x:v>17964.259506476603</x:v>
      </x:c>
      <x:c r="M158" s="50" t="n">
        <x:f>I158+J158+L158</x:f>
        <x:v>229180.00011823743</x:v>
      </x:c>
      <x:c r="N158" s="50" t="n">
        <x:f>F158+P158</x:f>
        <x:v>0</x:v>
      </x:c>
      <x:c r="O158" s="50" t="n">
        <x:f>IF(B158=1,0,O157+F157+P157)</x:f>
        <x:v>0</x:v>
      </x:c>
      <x:c r="P158" s="50" t="n">
        <x:f>MIN(G158,MAX(0,Inputs!$B$20-O158-F158))</x:f>
        <x:v>0</x:v>
      </x:c>
      <x:c r="Q158" s="50" t="n">
        <x:f>(C158-E158-F158)+(G158-P158)</x:f>
        <x:v>0</x:v>
      </x:c>
    </x:row>
    <x:row r="159">
      <x:c r="A159" s="41" t="n">
        <x:f>IF(B159=1,A158+1,A158)</x:f>
        <x:v>2033</x:v>
      </x:c>
      <x:c r="B159" s="41" t="n">
        <x:f>IF(B158=26,1,B158+1)</x:f>
        <x:v>2</x:v>
      </x:c>
      <x:c r="C159" s="48" t="n">
        <x:f>Inputs!$F$9</x:f>
        <x:v>600</x:v>
      </x:c>
      <x:c r="D159" s="50" t="n">
        <x:f>IF(B159=1,0,D158+E158)</x:f>
        <x:v>600</x:v>
      </x:c>
      <x:c r="E159" s="50" t="n">
        <x:f>MIN(C159,MAX(0,Inputs!$B$7-D159))</x:f>
        <x:v>600</x:v>
      </x:c>
      <x:c r="F159" s="50" t="n">
        <x:f>MIN(C159-E159,MAX(0,Inputs!$B$20-O159))</x:f>
        <x:v>0</x:v>
      </x:c>
      <x:c r="G159" s="50" t="n">
        <x:f>0</x:f>
        <x:v>0</x:v>
      </x:c>
      <x:c r="H159" s="41" t="n">
        <x:f>0</x:f>
        <x:v>0</x:v>
      </x:c>
      <x:c r="I159" s="50" t="n">
        <x:f>(I158*(1+Inputs!$B$12))+E159</x:f>
        <x:v>104961.4376336602</x:v>
      </x:c>
      <x:c r="J159" s="50" t="n">
        <x:f>(J158*(1+Inputs!$B$12))+F159+P159</x:f>
        <x:v>107251.03089513077</x:v>
      </x:c>
      <x:c r="K159" s="50" t="n">
        <x:f>(K158*(1+Inputs!$B$12))*(1-H159)</x:f>
        <x:v>21522.15343152308</x:v>
      </x:c>
      <x:c r="L159" s="50" t="n">
        <x:f>L158*(1+Inputs!$B$13)+Q159</x:f>
        <x:v>17995.690751418097</x:v>
      </x:c>
      <x:c r="M159" s="50" t="n">
        <x:f>I159+J159+L159</x:f>
        <x:v>230208.15928020907</x:v>
      </x:c>
      <x:c r="N159" s="50" t="n">
        <x:f>F159+P159</x:f>
        <x:v>0</x:v>
      </x:c>
      <x:c r="O159" s="50" t="n">
        <x:f>IF(B159=1,0,O158+F158+P158)</x:f>
        <x:v>0</x:v>
      </x:c>
      <x:c r="P159" s="50" t="n">
        <x:f>MIN(G159,MAX(0,Inputs!$B$20-O159-F159))</x:f>
        <x:v>0</x:v>
      </x:c>
      <x:c r="Q159" s="50" t="n">
        <x:f>(C159-E159-F159)+(G159-P159)</x:f>
        <x:v>0</x:v>
      </x:c>
    </x:row>
    <x:row r="160">
      <x:c r="A160" s="41" t="n">
        <x:f>IF(B160=1,A159+1,A159)</x:f>
        <x:v>2033</x:v>
      </x:c>
      <x:c r="B160" s="41" t="n">
        <x:f>IF(B159=26,1,B159+1)</x:f>
        <x:v>3</x:v>
      </x:c>
      <x:c r="C160" s="48" t="n">
        <x:f>Inputs!$F$9</x:f>
        <x:v>600</x:v>
      </x:c>
      <x:c r="D160" s="50" t="n">
        <x:f>IF(B160=1,0,D159+E159)</x:f>
        <x:v>1200</x:v>
      </x:c>
      <x:c r="E160" s="50" t="n">
        <x:f>MIN(C160,MAX(0,Inputs!$B$7-D160))</x:f>
        <x:v>600</x:v>
      </x:c>
      <x:c r="F160" s="50" t="n">
        <x:f>MIN(C160-E160,MAX(0,Inputs!$B$20-O160))</x:f>
        <x:v>0</x:v>
      </x:c>
      <x:c r="G160" s="50" t="n">
        <x:f>0</x:f>
        <x:v>0</x:v>
      </x:c>
      <x:c r="H160" s="41" t="n">
        <x:f>0</x:f>
        <x:v>0</x:v>
      </x:c>
      <x:c r="I160" s="50" t="n">
        <x:f>(I159*(1+Inputs!$B$12))+E160</x:f>
        <x:v>105758.5873934285</x:v>
      </x:c>
      <x:c r="J160" s="50" t="n">
        <x:f>(J159*(1+Inputs!$B$12))+F160+P160</x:f>
        <x:v>107452.48121300539</x:v>
      </x:c>
      <x:c r="K160" s="50" t="n">
        <x:f>(K159*(1+Inputs!$B$12))*(1-H160)</x:f>
        <x:v>21562.57863409634</x:v>
      </x:c>
      <x:c r="L160" s="50" t="n">
        <x:f>L159*(1+Inputs!$B$13)+Q160</x:f>
        <x:v>18027.176990174292</x:v>
      </x:c>
      <x:c r="M160" s="50" t="n">
        <x:f>I160+J160+L160</x:f>
        <x:v>231238.24559660818</x:v>
      </x:c>
      <x:c r="N160" s="50" t="n">
        <x:f>F160+P160</x:f>
        <x:v>0</x:v>
      </x:c>
      <x:c r="O160" s="50" t="n">
        <x:f>IF(B160=1,0,O159+F159+P159)</x:f>
        <x:v>0</x:v>
      </x:c>
      <x:c r="P160" s="50" t="n">
        <x:f>MIN(G160,MAX(0,Inputs!$B$20-O160-F160))</x:f>
        <x:v>0</x:v>
      </x:c>
      <x:c r="Q160" s="50" t="n">
        <x:f>(C160-E160-F160)+(G160-P160)</x:f>
        <x:v>0</x:v>
      </x:c>
    </x:row>
    <x:row r="161">
      <x:c r="A161" s="41" t="n">
        <x:f>IF(B161=1,A160+1,A160)</x:f>
        <x:v>2033</x:v>
      </x:c>
      <x:c r="B161" s="41" t="n">
        <x:f>IF(B160=26,1,B160+1)</x:f>
        <x:v>4</x:v>
      </x:c>
      <x:c r="C161" s="48" t="n">
        <x:f>Inputs!$F$9</x:f>
        <x:v>600</x:v>
      </x:c>
      <x:c r="D161" s="50" t="n">
        <x:f>IF(B161=1,0,D160+E160)</x:f>
        <x:v>1800</x:v>
      </x:c>
      <x:c r="E161" s="50" t="n">
        <x:f>MIN(C161,MAX(0,Inputs!$B$7-D161))</x:f>
        <x:v>600</x:v>
      </x:c>
      <x:c r="F161" s="50" t="n">
        <x:f>MIN(C161-E161,MAX(0,Inputs!$B$20-O161))</x:f>
        <x:v>0</x:v>
      </x:c>
      <x:c r="G161" s="50" t="n">
        <x:f>0</x:f>
        <x:v>0</x:v>
      </x:c>
      <x:c r="H161" s="41" t="n">
        <x:f>0</x:f>
        <x:v>0</x:v>
      </x:c>
      <x:c r="I161" s="50" t="n">
        <x:f>(I160*(1+Inputs!$B$12))+E161</x:f>
        <x:v>106557.23444484202</x:v>
      </x:c>
      <x:c r="J161" s="50" t="n">
        <x:f>(J160*(1+Inputs!$B$12))+F161+P161</x:f>
        <x:v>107654.30991633919</x:v>
      </x:c>
      <x:c r="K161" s="50" t="n">
        <x:f>(K160*(1+Inputs!$B$12))*(1-H161)</x:f>
        <x:v>21603.079767593907</x:v>
      </x:c>
      <x:c r="L161" s="50" t="n">
        <x:f>L160*(1+Inputs!$B$13)+Q161</x:f>
        <x:v>18058.71831896536</x:v>
      </x:c>
      <x:c r="M161" s="50" t="n">
        <x:f>I161+J161+L161</x:f>
        <x:v>232270.26268014655</x:v>
      </x:c>
      <x:c r="N161" s="50" t="n">
        <x:f>F161+P161</x:f>
        <x:v>0</x:v>
      </x:c>
      <x:c r="O161" s="50" t="n">
        <x:f>IF(B161=1,0,O160+F160+P160)</x:f>
        <x:v>0</x:v>
      </x:c>
      <x:c r="P161" s="50" t="n">
        <x:f>MIN(G161,MAX(0,Inputs!$B$20-O161-F161))</x:f>
        <x:v>0</x:v>
      </x:c>
      <x:c r="Q161" s="50" t="n">
        <x:f>(C161-E161-F161)+(G161-P161)</x:f>
        <x:v>0</x:v>
      </x:c>
    </x:row>
    <x:row r="162">
      <x:c r="A162" s="41" t="n">
        <x:f>IF(B162=1,A161+1,A161)</x:f>
        <x:v>2033</x:v>
      </x:c>
      <x:c r="B162" s="41" t="n">
        <x:f>IF(B161=26,1,B161+1)</x:f>
        <x:v>5</x:v>
      </x:c>
      <x:c r="C162" s="48" t="n">
        <x:f>Inputs!$F$9</x:f>
        <x:v>600</x:v>
      </x:c>
      <x:c r="D162" s="50" t="n">
        <x:f>IF(B162=1,0,D161+E161)</x:f>
        <x:v>2400</x:v>
      </x:c>
      <x:c r="E162" s="50" t="n">
        <x:f>MIN(C162,MAX(0,Inputs!$B$7-D162))</x:f>
        <x:v>600</x:v>
      </x:c>
      <x:c r="F162" s="50" t="n">
        <x:f>MIN(C162-E162,MAX(0,Inputs!$B$20-O162))</x:f>
        <x:v>0</x:v>
      </x:c>
      <x:c r="G162" s="50" t="n">
        <x:f>0</x:f>
        <x:v>0</x:v>
      </x:c>
      <x:c r="H162" s="41" t="n">
        <x:f>0</x:f>
        <x:v>0</x:v>
      </x:c>
      <x:c r="I162" s="50" t="n">
        <x:f>(I161*(1+Inputs!$B$12))+E162</x:f>
        <x:v>107357.3816002735</x:v>
      </x:c>
      <x:c r="J162" s="50" t="n">
        <x:f>(J161*(1+Inputs!$B$12))+F162+P162</x:f>
        <x:v>107856.51771585605</x:v>
      </x:c>
      <x:c r="K162" s="50" t="n">
        <x:f>(K161*(1+Inputs!$B$12))*(1-H162)</x:f>
        <x:v>21643.656974637335</x:v>
      </x:c>
      <x:c r="L162" s="50" t="n">
        <x:f>L161*(1+Inputs!$B$13)+Q162</x:f>
        <x:v>18090.314834179815</x:v>
      </x:c>
      <x:c r="M162" s="50" t="n">
        <x:f>I162+J162+L162</x:f>
        <x:v>233304.2141503094</x:v>
      </x:c>
      <x:c r="N162" s="50" t="n">
        <x:f>F162+P162</x:f>
        <x:v>0</x:v>
      </x:c>
      <x:c r="O162" s="50" t="n">
        <x:f>IF(B162=1,0,O161+F161+P161)</x:f>
        <x:v>0</x:v>
      </x:c>
      <x:c r="P162" s="50" t="n">
        <x:f>MIN(G162,MAX(0,Inputs!$B$20-O162-F162))</x:f>
        <x:v>0</x:v>
      </x:c>
      <x:c r="Q162" s="50" t="n">
        <x:f>(C162-E162-F162)+(G162-P162)</x:f>
        <x:v>0</x:v>
      </x:c>
    </x:row>
    <x:row r="163">
      <x:c r="A163" s="41" t="n">
        <x:f>IF(B163=1,A162+1,A162)</x:f>
        <x:v>2033</x:v>
      </x:c>
      <x:c r="B163" s="41" t="n">
        <x:f>IF(B162=26,1,B162+1)</x:f>
        <x:v>6</x:v>
      </x:c>
      <x:c r="C163" s="48" t="n">
        <x:f>Inputs!$F$9</x:f>
        <x:v>600</x:v>
      </x:c>
      <x:c r="D163" s="50" t="n">
        <x:f>IF(B163=1,0,D162+E162)</x:f>
        <x:v>3000</x:v>
      </x:c>
      <x:c r="E163" s="50" t="n">
        <x:f>MIN(C163,MAX(0,Inputs!$B$7-D163))</x:f>
        <x:v>600</x:v>
      </x:c>
      <x:c r="F163" s="50" t="n">
        <x:f>MIN(C163-E163,MAX(0,Inputs!$B$20-O163))</x:f>
        <x:v>0</x:v>
      </x:c>
      <x:c r="G163" s="50" t="n">
        <x:f>0</x:f>
        <x:v>0</x:v>
      </x:c>
      <x:c r="H163" s="41" t="n">
        <x:f>0</x:f>
        <x:v>0</x:v>
      </x:c>
      <x:c r="I163" s="50" t="n">
        <x:f>(I162*(1+Inputs!$B$12))+E163</x:f>
        <x:v>108159.03167737821</x:v>
      </x:c>
      <x:c r="J163" s="50" t="n">
        <x:f>(J162*(1+Inputs!$B$12))+F163+P163</x:f>
        <x:v>108059.10532361486</x:v>
      </x:c>
      <x:c r="K163" s="50" t="n">
        <x:f>(K162*(1+Inputs!$B$12))*(1-H163)</x:f>
        <x:v>21684.310398116064</x:v>
      </x:c>
      <x:c r="L163" s="50" t="n">
        <x:f>L162*(1+Inputs!$B$13)+Q163</x:f>
        <x:v>18121.966632374828</x:v>
      </x:c>
      <x:c r="M163" s="50" t="n">
        <x:f>I163+J163+L163</x:f>
        <x:v>234340.1036333679</x:v>
      </x:c>
      <x:c r="N163" s="50" t="n">
        <x:f>F163+P163</x:f>
        <x:v>0</x:v>
      </x:c>
      <x:c r="O163" s="50" t="n">
        <x:f>IF(B163=1,0,O162+F162+P162)</x:f>
        <x:v>0</x:v>
      </x:c>
      <x:c r="P163" s="50" t="n">
        <x:f>MIN(G163,MAX(0,Inputs!$B$20-O163-F163))</x:f>
        <x:v>0</x:v>
      </x:c>
      <x:c r="Q163" s="50" t="n">
        <x:f>(C163-E163-F163)+(G163-P163)</x:f>
        <x:v>0</x:v>
      </x:c>
    </x:row>
    <x:row r="164">
      <x:c r="A164" s="41" t="n">
        <x:f>IF(B164=1,A163+1,A163)</x:f>
        <x:v>2033</x:v>
      </x:c>
      <x:c r="B164" s="41" t="n">
        <x:f>IF(B163=26,1,B163+1)</x:f>
        <x:v>7</x:v>
      </x:c>
      <x:c r="C164" s="48" t="n">
        <x:f>Inputs!$F$9</x:f>
        <x:v>600</x:v>
      </x:c>
      <x:c r="D164" s="50" t="n">
        <x:f>IF(B164=1,0,D163+E163)</x:f>
        <x:v>3600</x:v>
      </x:c>
      <x:c r="E164" s="50" t="n">
        <x:f>MIN(C164,MAX(0,Inputs!$B$7-D164))</x:f>
        <x:v>600</x:v>
      </x:c>
      <x:c r="F164" s="50" t="n">
        <x:f>MIN(C164-E164,MAX(0,Inputs!$B$20-O164))</x:f>
        <x:v>0</x:v>
      </x:c>
      <x:c r="G164" s="50" t="n">
        <x:f>0</x:f>
        <x:v>0</x:v>
      </x:c>
      <x:c r="H164" s="41" t="n">
        <x:f>0</x:f>
        <x:v>0</x:v>
      </x:c>
      <x:c r="I164" s="50" t="n">
        <x:f>(I163*(1+Inputs!$B$12))+E164</x:f>
        <x:v>108962.18749910382</x:v>
      </x:c>
      <x:c r="J164" s="50" t="n">
        <x:f>(J163*(1+Inputs!$B$12))+F164+P164</x:f>
        <x:v>108262.07345301191</x:v>
      </x:c>
      <x:c r="K164" s="50" t="n">
        <x:f>(K163*(1+Inputs!$B$12))*(1-H164)</x:f>
        <x:v>21725.040181187927</x:v>
      </x:c>
      <x:c r="L164" s="50" t="n">
        <x:f>L163*(1+Inputs!$B$13)+Q164</x:f>
        <x:v>18153.673810276505</x:v>
      </x:c>
      <x:c r="M164" s="50" t="n">
        <x:f>I164+J164+L164</x:f>
        <x:v>235377.93476239222</x:v>
      </x:c>
      <x:c r="N164" s="50" t="n">
        <x:f>F164+P164</x:f>
        <x:v>0</x:v>
      </x:c>
      <x:c r="O164" s="50" t="n">
        <x:f>IF(B164=1,0,O163+F163+P163)</x:f>
        <x:v>0</x:v>
      </x:c>
      <x:c r="P164" s="50" t="n">
        <x:f>MIN(G164,MAX(0,Inputs!$B$20-O164-F164))</x:f>
        <x:v>0</x:v>
      </x:c>
      <x:c r="Q164" s="50" t="n">
        <x:f>(C164-E164-F164)+(G164-P164)</x:f>
        <x:v>0</x:v>
      </x:c>
    </x:row>
    <x:row r="165">
      <x:c r="A165" s="41" t="n">
        <x:f>IF(B165=1,A164+1,A164)</x:f>
        <x:v>2033</x:v>
      </x:c>
      <x:c r="B165" s="41" t="n">
        <x:f>IF(B164=26,1,B164+1)</x:f>
        <x:v>8</x:v>
      </x:c>
      <x:c r="C165" s="48" t="n">
        <x:f>Inputs!$F$9</x:f>
        <x:v>600</x:v>
      </x:c>
      <x:c r="D165" s="50" t="n">
        <x:f>IF(B165=1,0,D164+E164)</x:f>
        <x:v>4200</x:v>
      </x:c>
      <x:c r="E165" s="50" t="n">
        <x:f>MIN(C165,MAX(0,Inputs!$B$7-D165))</x:f>
        <x:v>600</x:v>
      </x:c>
      <x:c r="F165" s="50" t="n">
        <x:f>MIN(C165-E165,MAX(0,Inputs!$B$20-O165))</x:f>
        <x:v>0</x:v>
      </x:c>
      <x:c r="G165" s="50" t="n">
        <x:f>0</x:f>
        <x:v>0</x:v>
      </x:c>
      <x:c r="H165" s="41" t="n">
        <x:f>0</x:f>
        <x:v>0</x:v>
      </x:c>
      <x:c r="I165" s="50" t="n">
        <x:f>(I164*(1+Inputs!$B$12))+E165</x:f>
        <x:v>109766.85189370038</x:v>
      </x:c>
      <x:c r="J165" s="50" t="n">
        <x:f>(J164*(1+Inputs!$B$12))+F165+P165</x:f>
        <x:v>108465.42281878351</x:v>
      </x:c>
      <x:c r="K165" s="50" t="n">
        <x:f>(K164*(1+Inputs!$B$12))*(1-H165)</x:f>
        <x:v>21765.846467279654</x:v>
      </x:c>
      <x:c r="L165" s="50" t="n">
        <x:f>L164*(1+Inputs!$B$13)+Q165</x:f>
        <x:v>18185.43646478019</x:v>
      </x:c>
      <x:c r="M165" s="50" t="n">
        <x:f>I165+J165+L165</x:f>
        <x:v>236417.71117726408</x:v>
      </x:c>
      <x:c r="N165" s="50" t="n">
        <x:f>F165+P165</x:f>
        <x:v>0</x:v>
      </x:c>
      <x:c r="O165" s="50" t="n">
        <x:f>IF(B165=1,0,O164+F164+P164)</x:f>
        <x:v>0</x:v>
      </x:c>
      <x:c r="P165" s="50" t="n">
        <x:f>MIN(G165,MAX(0,Inputs!$B$20-O165-F165))</x:f>
        <x:v>0</x:v>
      </x:c>
      <x:c r="Q165" s="50" t="n">
        <x:f>(C165-E165-F165)+(G165-P165)</x:f>
        <x:v>0</x:v>
      </x:c>
    </x:row>
    <x:row r="166">
      <x:c r="A166" s="41" t="n">
        <x:f>IF(B166=1,A165+1,A165)</x:f>
        <x:v>2033</x:v>
      </x:c>
      <x:c r="B166" s="41" t="n">
        <x:f>IF(B165=26,1,B165+1)</x:f>
        <x:v>9</x:v>
      </x:c>
      <x:c r="C166" s="48" t="n">
        <x:f>Inputs!$F$9</x:f>
        <x:v>600</x:v>
      </x:c>
      <x:c r="D166" s="50" t="n">
        <x:f>IF(B166=1,0,D165+E165)</x:f>
        <x:v>4800</x:v>
      </x:c>
      <x:c r="E166" s="50" t="n">
        <x:f>MIN(C166,MAX(0,Inputs!$B$7-D166))</x:f>
        <x:v>600</x:v>
      </x:c>
      <x:c r="F166" s="50" t="n">
        <x:f>MIN(C166-E166,MAX(0,Inputs!$B$20-O166))</x:f>
        <x:v>0</x:v>
      </x:c>
      <x:c r="G166" s="50" t="n">
        <x:f>SUM(N132:N157)*Inputs!$B$6</x:f>
        <x:v>3266.4</x:v>
      </x:c>
      <x:c r="H166" s="41" t="n">
        <x:f>0</x:f>
        <x:v>0</x:v>
      </x:c>
      <x:c r="I166" s="50" t="n">
        <x:f>(I165*(1+Inputs!$B$12))+E166</x:f>
        <x:v>110573.02769473025</x:v>
      </x:c>
      <x:c r="J166" s="50" t="n">
        <x:f>(J165*(1+Inputs!$B$12))+F166+P166</x:f>
        <x:v>111935.55413700845</x:v>
      </x:c>
      <x:c r="K166" s="50" t="n">
        <x:f>(K165*(1+Inputs!$B$12))*(1-H166)</x:f>
        <x:v>21806.72940008737</x:v>
      </x:c>
      <x:c r="L166" s="50" t="n">
        <x:f>L165*(1+Inputs!$B$13)+Q166</x:f>
        <x:v>18217.254692950763</x:v>
      </x:c>
      <x:c r="M166" s="50" t="n">
        <x:f>I166+J166+L166</x:f>
        <x:v>240725.83652468945</x:v>
      </x:c>
      <x:c r="N166" s="50" t="n">
        <x:f>F166+P166</x:f>
        <x:v>3266.4</x:v>
      </x:c>
      <x:c r="O166" s="50" t="n">
        <x:f>IF(B166=1,0,O165+F165+P165)</x:f>
        <x:v>0</x:v>
      </x:c>
      <x:c r="P166" s="50" t="n">
        <x:f>MIN(G166,MAX(0,Inputs!$B$20-O166-F166))</x:f>
        <x:v>3266.4</x:v>
      </x:c>
      <x:c r="Q166" s="50" t="n">
        <x:f>(C166-E166-F166)+(G166-P166)</x:f>
        <x:v>0</x:v>
      </x:c>
    </x:row>
    <x:row r="167">
      <x:c r="A167" s="41" t="n">
        <x:f>IF(B167=1,A166+1,A166)</x:f>
        <x:v>2033</x:v>
      </x:c>
      <x:c r="B167" s="41" t="n">
        <x:f>IF(B166=26,1,B166+1)</x:f>
        <x:v>10</x:v>
      </x:c>
      <x:c r="C167" s="48" t="n">
        <x:f>Inputs!$F$9</x:f>
        <x:v>600</x:v>
      </x:c>
      <x:c r="D167" s="50" t="n">
        <x:f>IF(B167=1,0,D166+E166)</x:f>
        <x:v>5400</x:v>
      </x:c>
      <x:c r="E167" s="50" t="n">
        <x:f>MIN(C167,MAX(0,Inputs!$B$7-D167))</x:f>
        <x:v>600</x:v>
      </x:c>
      <x:c r="F167" s="50" t="n">
        <x:f>MIN(C167-E167,MAX(0,Inputs!$B$20-O167))</x:f>
        <x:v>0</x:v>
      </x:c>
      <x:c r="G167" s="50" t="n">
        <x:f>0</x:f>
        <x:v>0</x:v>
      </x:c>
      <x:c r="H167" s="41" t="n">
        <x:f>0</x:f>
        <x:v>0</x:v>
      </x:c>
      <x:c r="I167" s="50" t="n">
        <x:f>(I166*(1+Inputs!$B$12))+E167</x:f>
        <x:v>111380.71774107809</x:v>
      </x:c>
      <x:c r="J167" s="50" t="n">
        <x:f>(J166*(1+Inputs!$B$12))+F167+P167</x:f>
        <x:v>112145.80342574882</x:v>
      </x:c>
      <x:c r="K167" s="50" t="n">
        <x:f>(K166*(1+Inputs!$B$12))*(1-H167)</x:f>
        <x:v>21847.689123577104</x:v>
      </x:c>
      <x:c r="L167" s="50" t="n">
        <x:f>L166*(1+Inputs!$B$13)+Q167</x:f>
        <x:v>18249.12859202293</x:v>
      </x:c>
      <x:c r="M167" s="50" t="n">
        <x:f>I167+J167+L167</x:f>
        <x:v>241775.64975884982</x:v>
      </x:c>
      <x:c r="N167" s="50" t="n">
        <x:f>F167+P167</x:f>
        <x:v>0</x:v>
      </x:c>
      <x:c r="O167" s="50" t="n">
        <x:f>IF(B167=1,0,O166+F166+P166)</x:f>
        <x:v>3266.4</x:v>
      </x:c>
      <x:c r="P167" s="50" t="n">
        <x:f>MIN(G167,MAX(0,Inputs!$B$20-O167-F167))</x:f>
        <x:v>0</x:v>
      </x:c>
      <x:c r="Q167" s="50" t="n">
        <x:f>(C167-E167-F167)+(G167-P167)</x:f>
        <x:v>0</x:v>
      </x:c>
    </x:row>
    <x:row r="168">
      <x:c r="A168" s="41" t="n">
        <x:f>IF(B168=1,A167+1,A167)</x:f>
        <x:v>2033</x:v>
      </x:c>
      <x:c r="B168" s="41" t="n">
        <x:f>IF(B167=26,1,B167+1)</x:f>
        <x:v>11</x:v>
      </x:c>
      <x:c r="C168" s="48" t="n">
        <x:f>Inputs!$F$9</x:f>
        <x:v>600</x:v>
      </x:c>
      <x:c r="D168" s="50" t="n">
        <x:f>IF(B168=1,0,D167+E167)</x:f>
        <x:v>6000</x:v>
      </x:c>
      <x:c r="E168" s="50" t="n">
        <x:f>MIN(C168,MAX(0,Inputs!$B$7-D168))</x:f>
        <x:v>600</x:v>
      </x:c>
      <x:c r="F168" s="50" t="n">
        <x:f>MIN(C168-E168,MAX(0,Inputs!$B$20-O168))</x:f>
        <x:v>0</x:v>
      </x:c>
      <x:c r="G168" s="50" t="n">
        <x:f>0</x:f>
        <x:v>0</x:v>
      </x:c>
      <x:c r="H168" s="41" t="n">
        <x:f>0</x:f>
        <x:v>0</x:v>
      </x:c>
      <x:c r="I168" s="50" t="n">
        <x:f>(I167*(1+Inputs!$B$12))+E168</x:f>
        <x:v>112189.92487696085</x:v>
      </x:c>
      <x:c r="J168" s="50" t="n">
        <x:f>(J167*(1+Inputs!$B$12))+F168+P168</x:f>
        <x:v>112356.4476271133</x:v>
      </x:c>
      <x:c r="K168" s="50" t="n">
        <x:f>(K167*(1+Inputs!$B$12))*(1-H168)</x:f>
        <x:v>21888.7257819853</x:v>
      </x:c>
      <x:c r="L168" s="50" t="n">
        <x:f>L167*(1+Inputs!$B$13)+Q168</x:f>
        <x:v>18281.058259401532</x:v>
      </x:c>
      <x:c r="M168" s="50" t="n">
        <x:f>I168+J168+L168</x:f>
        <x:v>242827.43076347568</x:v>
      </x:c>
      <x:c r="N168" s="50" t="n">
        <x:f>F168+P168</x:f>
        <x:v>0</x:v>
      </x:c>
      <x:c r="O168" s="50" t="n">
        <x:f>IF(B168=1,0,O167+F167+P167)</x:f>
        <x:v>3266.4</x:v>
      </x:c>
      <x:c r="P168" s="50" t="n">
        <x:f>MIN(G168,MAX(0,Inputs!$B$20-O168-F168))</x:f>
        <x:v>0</x:v>
      </x:c>
      <x:c r="Q168" s="50" t="n">
        <x:f>(C168-E168-F168)+(G168-P168)</x:f>
        <x:v>0</x:v>
      </x:c>
    </x:row>
    <x:row r="169">
      <x:c r="A169" s="41" t="n">
        <x:f>IF(B169=1,A168+1,A168)</x:f>
        <x:v>2033</x:v>
      </x:c>
      <x:c r="B169" s="41" t="n">
        <x:f>IF(B168=26,1,B168+1)</x:f>
        <x:v>12</x:v>
      </x:c>
      <x:c r="C169" s="48" t="n">
        <x:f>Inputs!$F$9</x:f>
        <x:v>600</x:v>
      </x:c>
      <x:c r="D169" s="50" t="n">
        <x:f>IF(B169=1,0,D168+E168)</x:f>
        <x:v>6600</x:v>
      </x:c>
      <x:c r="E169" s="50" t="n">
        <x:f>MIN(C169,MAX(0,Inputs!$B$7-D169))</x:f>
        <x:v>600</x:v>
      </x:c>
      <x:c r="F169" s="50" t="n">
        <x:f>MIN(C169-E169,MAX(0,Inputs!$B$20-O169))</x:f>
        <x:v>0</x:v>
      </x:c>
      <x:c r="G169" s="50" t="n">
        <x:f>0</x:f>
        <x:v>0</x:v>
      </x:c>
      <x:c r="H169" s="41" t="n">
        <x:f>0</x:f>
        <x:v>0</x:v>
      </x:c>
      <x:c r="I169" s="50" t="n">
        <x:f>(I168*(1+Inputs!$B$12))+E169</x:f>
        <x:v>113000.6519519378</x:v>
      </x:c>
      <x:c r="J169" s="50" t="n">
        <x:f>(J168*(1+Inputs!$B$12))+F169+P169</x:f>
        <x:v>112567.48748286888</x:v>
      </x:c>
      <x:c r="K169" s="50" t="n">
        <x:f>(K168*(1+Inputs!$B$12))*(1-H169)</x:f>
        <x:v>21929.839519819325</x:v>
      </x:c>
      <x:c r="L169" s="50" t="n">
        <x:f>L168*(1+Inputs!$B$13)+Q169</x:f>
        <x:v>18313.043792661825</x:v>
      </x:c>
      <x:c r="M169" s="50" t="n">
        <x:f>I169+J169+L169</x:f>
        <x:v>243881.18322746851</x:v>
      </x:c>
      <x:c r="N169" s="50" t="n">
        <x:f>F169+P169</x:f>
        <x:v>0</x:v>
      </x:c>
      <x:c r="O169" s="50" t="n">
        <x:f>IF(B169=1,0,O168+F168+P168)</x:f>
        <x:v>3266.4</x:v>
      </x:c>
      <x:c r="P169" s="50" t="n">
        <x:f>MIN(G169,MAX(0,Inputs!$B$20-O169-F169))</x:f>
        <x:v>0</x:v>
      </x:c>
      <x:c r="Q169" s="50" t="n">
        <x:f>(C169-E169-F169)+(G169-P169)</x:f>
        <x:v>0</x:v>
      </x:c>
    </x:row>
    <x:row r="170">
      <x:c r="A170" s="41" t="n">
        <x:f>IF(B170=1,A169+1,A169)</x:f>
        <x:v>2033</x:v>
      </x:c>
      <x:c r="B170" s="41" t="n">
        <x:f>IF(B169=26,1,B169+1)</x:f>
        <x:v>13</x:v>
      </x:c>
      <x:c r="C170" s="48" t="n">
        <x:f>Inputs!$F$9</x:f>
        <x:v>600</x:v>
      </x:c>
      <x:c r="D170" s="50" t="n">
        <x:f>IF(B170=1,0,D169+E169)</x:f>
        <x:v>7200</x:v>
      </x:c>
      <x:c r="E170" s="50" t="n">
        <x:f>MIN(C170,MAX(0,Inputs!$B$7-D170))</x:f>
        <x:v>600</x:v>
      </x:c>
      <x:c r="F170" s="50" t="n">
        <x:f>MIN(C170-E170,MAX(0,Inputs!$B$20-O170))</x:f>
        <x:v>0</x:v>
      </x:c>
      <x:c r="G170" s="50" t="n">
        <x:f>0</x:f>
        <x:v>0</x:v>
      </x:c>
      <x:c r="H170" s="41" t="n">
        <x:f>0</x:f>
        <x:v>0</x:v>
      </x:c>
      <x:c r="I170" s="50" t="n">
        <x:f>(I169*(1+Inputs!$B$12))+E170</x:f>
        <x:v>113812.90182092057</x:v>
      </x:c>
      <x:c r="J170" s="50" t="n">
        <x:f>(J169*(1+Inputs!$B$12))+F170+P170</x:f>
        <x:v>112778.9237361758</x:v>
      </x:c>
      <x:c r="K170" s="50" t="n">
        <x:f>(K169*(1+Inputs!$B$12))*(1-H170)</x:f>
        <x:v>21971.03048185797</x:v>
      </x:c>
      <x:c r="L170" s="50" t="n">
        <x:f>L169*(1+Inputs!$B$13)+Q170</x:f>
        <x:v>18345.085289549792</x:v>
      </x:c>
      <x:c r="M170" s="50" t="n">
        <x:f>I170+J170+L170</x:f>
        <x:v>244936.91084664615</x:v>
      </x:c>
      <x:c r="N170" s="50" t="n">
        <x:f>F170+P170</x:f>
        <x:v>0</x:v>
      </x:c>
      <x:c r="O170" s="50" t="n">
        <x:f>IF(B170=1,0,O169+F169+P169)</x:f>
        <x:v>3266.4</x:v>
      </x:c>
      <x:c r="P170" s="50" t="n">
        <x:f>MIN(G170,MAX(0,Inputs!$B$20-O170-F170))</x:f>
        <x:v>0</x:v>
      </x:c>
      <x:c r="Q170" s="50" t="n">
        <x:f>(C170-E170-F170)+(G170-P170)</x:f>
        <x:v>0</x:v>
      </x:c>
    </x:row>
    <x:row r="171">
      <x:c r="A171" s="41" t="n">
        <x:f>IF(B171=1,A170+1,A170)</x:f>
        <x:v>2033</x:v>
      </x:c>
      <x:c r="B171" s="41" t="n">
        <x:f>IF(B170=26,1,B170+1)</x:f>
        <x:v>14</x:v>
      </x:c>
      <x:c r="C171" s="48" t="n">
        <x:f>Inputs!$F$9</x:f>
        <x:v>600</x:v>
      </x:c>
      <x:c r="D171" s="50" t="n">
        <x:f>IF(B171=1,0,D170+E170)</x:f>
        <x:v>7800</x:v>
      </x:c>
      <x:c r="E171" s="50" t="n">
        <x:f>MIN(C171,MAX(0,Inputs!$B$7-D171))</x:f>
        <x:v>200</x:v>
      </x:c>
      <x:c r="F171" s="50" t="n">
        <x:f>MIN(C171-E171,MAX(0,Inputs!$B$20-O171))</x:f>
        <x:v>400</x:v>
      </x:c>
      <x:c r="G171" s="50" t="n">
        <x:f>0</x:f>
        <x:v>0</x:v>
      </x:c>
      <x:c r="H171" s="41" t="n">
        <x:f>0</x:f>
        <x:v>0</x:v>
      </x:c>
      <x:c r="I171" s="50" t="n">
        <x:f>(I170*(1+Inputs!$B$12))+E171</x:f>
        <x:v>114226.67734418315</x:v>
      </x:c>
      <x:c r="J171" s="50" t="n">
        <x:f>(J170*(1+Inputs!$B$12))+F171+P171</x:f>
        <x:v>113390.7571315902</x:v>
      </x:c>
      <x:c r="K171" s="50" t="n">
        <x:f>(K170*(1+Inputs!$B$12))*(1-H171)</x:f>
        <x:v>22012.298813151974</x:v>
      </x:c>
      <x:c r="L171" s="50" t="n">
        <x:f>L170*(1+Inputs!$B$13)+Q171</x:f>
        <x:v>18377.18284798244</x:v>
      </x:c>
      <x:c r="M171" s="50" t="n">
        <x:f>I171+J171+L171</x:f>
        <x:v>245994.6173237558</x:v>
      </x:c>
      <x:c r="N171" s="50" t="n">
        <x:f>F171+P171</x:f>
        <x:v>400</x:v>
      </x:c>
      <x:c r="O171" s="50" t="n">
        <x:f>IF(B171=1,0,O170+F170+P170)</x:f>
        <x:v>3266.4</x:v>
      </x:c>
      <x:c r="P171" s="50" t="n">
        <x:f>MIN(G171,MAX(0,Inputs!$B$20-O171-F171))</x:f>
        <x:v>0</x:v>
      </x:c>
      <x:c r="Q171" s="50" t="n">
        <x:f>(C171-E171-F171)+(G171-P171)</x:f>
        <x:v>0</x:v>
      </x:c>
    </x:row>
    <x:row r="172">
      <x:c r="A172" s="41" t="n">
        <x:f>IF(B172=1,A171+1,A171)</x:f>
        <x:v>2033</x:v>
      </x:c>
      <x:c r="B172" s="41" t="n">
        <x:f>IF(B171=26,1,B171+1)</x:f>
        <x:v>15</x:v>
      </x:c>
      <x:c r="C172" s="48" t="n">
        <x:f>Inputs!$F$9</x:f>
        <x:v>600</x:v>
      </x:c>
      <x:c r="D172" s="50" t="n">
        <x:f>IF(B172=1,0,D171+E171)</x:f>
        <x:v>8000</x:v>
      </x:c>
      <x:c r="E172" s="50" t="n">
        <x:f>MIN(C172,MAX(0,Inputs!$B$7-D172))</x:f>
        <x:v>0</x:v>
      </x:c>
      <x:c r="F172" s="50" t="n">
        <x:f>MIN(C172-E172,MAX(0,Inputs!$B$20-O172))</x:f>
        <x:v>600</x:v>
      </x:c>
      <x:c r="G172" s="50" t="n">
        <x:f>0</x:f>
        <x:v>0</x:v>
      </x:c>
      <x:c r="H172" s="41" t="n">
        <x:f>0</x:f>
        <x:v>0</x:v>
      </x:c>
      <x:c r="I172" s="50" t="n">
        <x:f>(I171*(1+Inputs!$B$12))+E172</x:f>
        <x:v>114441.23006473693</x:v>
      </x:c>
      <x:c r="J172" s="50" t="n">
        <x:f>(J171*(1+Inputs!$B$12))+F172+P172</x:f>
        <x:v>114203.73973770182</x:v>
      </x:c>
      <x:c r="K172" s="50" t="n">
        <x:f>(K171*(1+Inputs!$B$12))*(1-H172)</x:f>
        <x:v>22053.64465902451</x:v>
      </x:c>
      <x:c r="L172" s="50" t="n">
        <x:f>L171*(1+Inputs!$B$13)+Q172</x:f>
        <x:v>18409.336566048096</x:v>
      </x:c>
      <x:c r="M172" s="50" t="n">
        <x:f>I172+J172+L172</x:f>
        <x:v>247054.30636848684</x:v>
      </x:c>
      <x:c r="N172" s="50" t="n">
        <x:f>F172+P172</x:f>
        <x:v>600</x:v>
      </x:c>
      <x:c r="O172" s="50" t="n">
        <x:f>IF(B172=1,0,O171+F171+P171)</x:f>
        <x:v>3666.4</x:v>
      </x:c>
      <x:c r="P172" s="50" t="n">
        <x:f>MIN(G172,MAX(0,Inputs!$B$20-O172-F172))</x:f>
        <x:v>0</x:v>
      </x:c>
      <x:c r="Q172" s="50" t="n">
        <x:f>(C172-E172-F172)+(G172-P172)</x:f>
        <x:v>0</x:v>
      </x:c>
    </x:row>
    <x:row r="173">
      <x:c r="A173" s="41" t="n">
        <x:f>IF(B173=1,A172+1,A172)</x:f>
        <x:v>2033</x:v>
      </x:c>
      <x:c r="B173" s="41" t="n">
        <x:f>IF(B172=26,1,B172+1)</x:f>
        <x:v>16</x:v>
      </x:c>
      <x:c r="C173" s="48" t="n">
        <x:f>Inputs!$F$9</x:f>
        <x:v>600</x:v>
      </x:c>
      <x:c r="D173" s="50" t="n">
        <x:f>IF(B173=1,0,D172+E172)</x:f>
        <x:v>8000</x:v>
      </x:c>
      <x:c r="E173" s="50" t="n">
        <x:f>MIN(C173,MAX(0,Inputs!$B$7-D173))</x:f>
        <x:v>0</x:v>
      </x:c>
      <x:c r="F173" s="50" t="n">
        <x:f>MIN(C173-E173,MAX(0,Inputs!$B$20-O173))</x:f>
        <x:v>600</x:v>
      </x:c>
      <x:c r="G173" s="50" t="n">
        <x:f>0</x:f>
        <x:v>0</x:v>
      </x:c>
      <x:c r="H173" s="41" t="n">
        <x:f>0</x:f>
        <x:v>0</x:v>
      </x:c>
      <x:c r="I173" s="50" t="n">
        <x:f>(I172*(1+Inputs!$B$12))+E173</x:f>
        <x:v>114656.18578107914</x:v>
      </x:c>
      <x:c r="J173" s="50" t="n">
        <x:f>(J172*(1+Inputs!$B$12))+F173+P173</x:f>
        <x:v>115018.24937439823</x:v>
      </x:c>
      <x:c r="K173" s="50" t="n">
        <x:f>(K172*(1+Inputs!$B$12))*(1-H173)</x:f>
        <x:v>22095.068165071727</x:v>
      </x:c>
      <x:c r="L173" s="50" t="n">
        <x:f>L172*(1+Inputs!$B$13)+Q173</x:f>
        <x:v>18441.546542006705</x:v>
      </x:c>
      <x:c r="M173" s="50" t="n">
        <x:f>I173+J173+L173</x:f>
        <x:v>248115.9816974841</x:v>
      </x:c>
      <x:c r="N173" s="50" t="n">
        <x:f>F173+P173</x:f>
        <x:v>600</x:v>
      </x:c>
      <x:c r="O173" s="50" t="n">
        <x:f>IF(B173=1,0,O172+F172+P172)</x:f>
        <x:v>4266.4</x:v>
      </x:c>
      <x:c r="P173" s="50" t="n">
        <x:f>MIN(G173,MAX(0,Inputs!$B$20-O173-F173))</x:f>
        <x:v>0</x:v>
      </x:c>
      <x:c r="Q173" s="50" t="n">
        <x:f>(C173-E173-F173)+(G173-P173)</x:f>
        <x:v>0</x:v>
      </x:c>
    </x:row>
    <x:row r="174">
      <x:c r="A174" s="41" t="n">
        <x:f>IF(B174=1,A173+1,A173)</x:f>
        <x:v>2033</x:v>
      </x:c>
      <x:c r="B174" s="41" t="n">
        <x:f>IF(B173=26,1,B173+1)</x:f>
        <x:v>17</x:v>
      </x:c>
      <x:c r="C174" s="48" t="n">
        <x:f>Inputs!$F$9</x:f>
        <x:v>600</x:v>
      </x:c>
      <x:c r="D174" s="50" t="n">
        <x:f>IF(B174=1,0,D173+E173)</x:f>
        <x:v>8000</x:v>
      </x:c>
      <x:c r="E174" s="50" t="n">
        <x:f>MIN(C174,MAX(0,Inputs!$B$7-D174))</x:f>
        <x:v>0</x:v>
      </x:c>
      <x:c r="F174" s="50" t="n">
        <x:f>MIN(C174-E174,MAX(0,Inputs!$B$20-O174))</x:f>
        <x:v>600</x:v>
      </x:c>
      <x:c r="G174" s="50" t="n">
        <x:f>0</x:f>
        <x:v>0</x:v>
      </x:c>
      <x:c r="H174" s="41" t="n">
        <x:f>0</x:f>
        <x:v>0</x:v>
      </x:c>
      <x:c r="I174" s="50" t="n">
        <x:f>(I173*(1+Inputs!$B$12))+E174</x:f>
        <x:v>114871.54525015944</x:v>
      </x:c>
      <x:c r="J174" s="50" t="n">
        <x:f>(J173*(1+Inputs!$B$12))+F174+P174</x:f>
        <x:v>115834.28890991106</x:v>
      </x:c>
      <x:c r="K174" s="50" t="n">
        <x:f>(K173*(1+Inputs!$B$12))*(1-H174)</x:f>
        <x:v>22136.56947716324</x:v>
      </x:c>
      <x:c r="L174" s="50" t="n">
        <x:f>L173*(1+Inputs!$B$13)+Q174</x:f>
        <x:v>18473.812874290135</x:v>
      </x:c>
      <x:c r="M174" s="50" t="n">
        <x:f>I174+J174+L174</x:f>
        <x:v>249179.64703436065</x:v>
      </x:c>
      <x:c r="N174" s="50" t="n">
        <x:f>F174+P174</x:f>
        <x:v>600</x:v>
      </x:c>
      <x:c r="O174" s="50" t="n">
        <x:f>IF(B174=1,0,O173+F173+P173)</x:f>
        <x:v>4866.4</x:v>
      </x:c>
      <x:c r="P174" s="50" t="n">
        <x:f>MIN(G174,MAX(0,Inputs!$B$20-O174-F174))</x:f>
        <x:v>0</x:v>
      </x:c>
      <x:c r="Q174" s="50" t="n">
        <x:f>(C174-E174-F174)+(G174-P174)</x:f>
        <x:v>0</x:v>
      </x:c>
    </x:row>
    <x:row r="175">
      <x:c r="A175" s="41" t="n">
        <x:f>IF(B175=1,A174+1,A174)</x:f>
        <x:v>2033</x:v>
      </x:c>
      <x:c r="B175" s="41" t="n">
        <x:f>IF(B174=26,1,B174+1)</x:f>
        <x:v>18</x:v>
      </x:c>
      <x:c r="C175" s="48" t="n">
        <x:f>Inputs!$F$9</x:f>
        <x:v>600</x:v>
      </x:c>
      <x:c r="D175" s="50" t="n">
        <x:f>IF(B175=1,0,D174+E174)</x:f>
        <x:v>8000</x:v>
      </x:c>
      <x:c r="E175" s="50" t="n">
        <x:f>MIN(C175,MAX(0,Inputs!$B$7-D175))</x:f>
        <x:v>0</x:v>
      </x:c>
      <x:c r="F175" s="50" t="n">
        <x:f>MIN(C175-E175,MAX(0,Inputs!$B$20-O175))</x:f>
        <x:v>600</x:v>
      </x:c>
      <x:c r="G175" s="50" t="n">
        <x:f>0</x:f>
        <x:v>0</x:v>
      </x:c>
      <x:c r="H175" s="41" t="n">
        <x:f>0</x:f>
        <x:v>0</x:v>
      </x:c>
      <x:c r="I175" s="50" t="n">
        <x:f>(I174*(1+Inputs!$B$12))+E175</x:f>
        <x:v>115087.30923034926</x:v>
      </x:c>
      <x:c r="J175" s="50" t="n">
        <x:f>(J174*(1+Inputs!$B$12))+F175+P175</x:f>
        <x:v>116651.86121785932</x:v>
      </x:c>
      <x:c r="K175" s="50" t="n">
        <x:f>(K174*(1+Inputs!$B$12))*(1-H175)</x:f>
        <x:v>22178.148741442656</x:v>
      </x:c>
      <x:c r="L175" s="50" t="n">
        <x:f>L174*(1+Inputs!$B$13)+Q175</x:f>
        <x:v>18506.135661502474</x:v>
      </x:c>
      <x:c r="M175" s="50" t="n">
        <x:f>I175+J175+L175</x:f>
        <x:v>250245.30610971106</x:v>
      </x:c>
      <x:c r="N175" s="50" t="n">
        <x:f>F175+P175</x:f>
        <x:v>600</x:v>
      </x:c>
      <x:c r="O175" s="50" t="n">
        <x:f>IF(B175=1,0,O174+F174+P174)</x:f>
        <x:v>5466.4</x:v>
      </x:c>
      <x:c r="P175" s="50" t="n">
        <x:f>MIN(G175,MAX(0,Inputs!$B$20-O175-F175))</x:f>
        <x:v>0</x:v>
      </x:c>
      <x:c r="Q175" s="50" t="n">
        <x:f>(C175-E175-F175)+(G175-P175)</x:f>
        <x:v>0</x:v>
      </x:c>
    </x:row>
    <x:row r="176">
      <x:c r="A176" s="41" t="n">
        <x:f>IF(B176=1,A175+1,A175)</x:f>
        <x:v>2033</x:v>
      </x:c>
      <x:c r="B176" s="41" t="n">
        <x:f>IF(B175=26,1,B175+1)</x:f>
        <x:v>19</x:v>
      </x:c>
      <x:c r="C176" s="48" t="n">
        <x:f>Inputs!$F$9</x:f>
        <x:v>600</x:v>
      </x:c>
      <x:c r="D176" s="50" t="n">
        <x:f>IF(B176=1,0,D175+E175)</x:f>
        <x:v>8000</x:v>
      </x:c>
      <x:c r="E176" s="50" t="n">
        <x:f>MIN(C176,MAX(0,Inputs!$B$7-D176))</x:f>
        <x:v>0</x:v>
      </x:c>
      <x:c r="F176" s="50" t="n">
        <x:f>MIN(C176-E176,MAX(0,Inputs!$B$20-O176))</x:f>
        <x:v>600</x:v>
      </x:c>
      <x:c r="G176" s="50" t="n">
        <x:f>0</x:f>
        <x:v>0</x:v>
      </x:c>
      <x:c r="H176" s="41" t="n">
        <x:f>0</x:f>
        <x:v>0</x:v>
      </x:c>
      <x:c r="I176" s="50" t="n">
        <x:f>(I175*(1+Inputs!$B$12))+E176</x:f>
        <x:v>115303.47848144447</x:v>
      </x:c>
      <x:c r="J176" s="50" t="n">
        <x:f>(J175*(1+Inputs!$B$12))+F176+P176</x:f>
        <x:v>117470.96917725955</x:v>
      </x:c>
      <x:c r="K176" s="50" t="n">
        <x:f>(K175*(1+Inputs!$B$12))*(1-H176)</x:f>
        <x:v>22219.80610432808</x:v>
      </x:c>
      <x:c r="L176" s="50" t="n">
        <x:f>L175*(1+Inputs!$B$13)+Q176</x:f>
        <x:v>18538.515002420336</x:v>
      </x:c>
      <x:c r="M176" s="50" t="n">
        <x:f>I176+J176+L176</x:f>
        <x:v>251312.96266112436</x:v>
      </x:c>
      <x:c r="N176" s="50" t="n">
        <x:f>F176+P176</x:f>
        <x:v>600</x:v>
      </x:c>
      <x:c r="O176" s="50" t="n">
        <x:f>IF(B176=1,0,O175+F175+P175)</x:f>
        <x:v>6066.4</x:v>
      </x:c>
      <x:c r="P176" s="50" t="n">
        <x:f>MIN(G176,MAX(0,Inputs!$B$20-O176-F176))</x:f>
        <x:v>0</x:v>
      </x:c>
      <x:c r="Q176" s="50" t="n">
        <x:f>(C176-E176-F176)+(G176-P176)</x:f>
        <x:v>0</x:v>
      </x:c>
    </x:row>
    <x:row r="177">
      <x:c r="A177" s="41" t="n">
        <x:f>IF(B177=1,A176+1,A176)</x:f>
        <x:v>2033</x:v>
      </x:c>
      <x:c r="B177" s="41" t="n">
        <x:f>IF(B176=26,1,B176+1)</x:f>
        <x:v>20</x:v>
      </x:c>
      <x:c r="C177" s="48" t="n">
        <x:f>Inputs!$F$9</x:f>
        <x:v>600</x:v>
      </x:c>
      <x:c r="D177" s="50" t="n">
        <x:f>IF(B177=1,0,D176+E176)</x:f>
        <x:v>8000</x:v>
      </x:c>
      <x:c r="E177" s="50" t="n">
        <x:f>MIN(C177,MAX(0,Inputs!$B$7-D177))</x:f>
        <x:v>0</x:v>
      </x:c>
      <x:c r="F177" s="50" t="n">
        <x:f>MIN(C177-E177,MAX(0,Inputs!$B$20-O177))</x:f>
        <x:v>600</x:v>
      </x:c>
      <x:c r="G177" s="50" t="n">
        <x:f>0</x:f>
        <x:v>0</x:v>
      </x:c>
      <x:c r="H177" s="41" t="n">
        <x:f>0</x:f>
        <x:v>0</x:v>
      </x:c>
      <x:c r="I177" s="50" t="n">
        <x:f>(I176*(1+Inputs!$B$12))+E177</x:f>
        <x:v>115520.05376466808</x:v>
      </x:c>
      <x:c r="J177" s="50" t="n">
        <x:f>(J176*(1+Inputs!$B$12))+F177+P177</x:f>
        <x:v>118291.61567253603</x:v>
      </x:c>
      <x:c r="K177" s="50" t="n">
        <x:f>(K176*(1+Inputs!$B$12))*(1-H177)</x:f>
        <x:v>22261.54171251264</x:v>
      </x:c>
      <x:c r="L177" s="50" t="n">
        <x:f>L176*(1+Inputs!$B$13)+Q177</x:f>
        <x:v>18570.95099599316</x:v>
      </x:c>
      <x:c r="M177" s="50" t="n">
        <x:f>I177+J177+L177</x:f>
        <x:v>252382.62043319727</x:v>
      </x:c>
      <x:c r="N177" s="50" t="n">
        <x:f>F177+P177</x:f>
        <x:v>600</x:v>
      </x:c>
      <x:c r="O177" s="50" t="n">
        <x:f>IF(B177=1,0,O176+F176+P176)</x:f>
        <x:v>6666.4</x:v>
      </x:c>
      <x:c r="P177" s="50" t="n">
        <x:f>MIN(G177,MAX(0,Inputs!$B$20-O177-F177))</x:f>
        <x:v>0</x:v>
      </x:c>
      <x:c r="Q177" s="50" t="n">
        <x:f>(C177-E177-F177)+(G177-P177)</x:f>
        <x:v>0</x:v>
      </x:c>
    </x:row>
    <x:row r="178">
      <x:c r="A178" s="41" t="n">
        <x:f>IF(B178=1,A177+1,A177)</x:f>
        <x:v>2033</x:v>
      </x:c>
      <x:c r="B178" s="41" t="n">
        <x:f>IF(B177=26,1,B177+1)</x:f>
        <x:v>21</x:v>
      </x:c>
      <x:c r="C178" s="48" t="n">
        <x:f>Inputs!$F$9</x:f>
        <x:v>600</x:v>
      </x:c>
      <x:c r="D178" s="50" t="n">
        <x:f>IF(B178=1,0,D177+E177)</x:f>
        <x:v>8000</x:v>
      </x:c>
      <x:c r="E178" s="50" t="n">
        <x:f>MIN(C178,MAX(0,Inputs!$B$7-D178))</x:f>
        <x:v>0</x:v>
      </x:c>
      <x:c r="F178" s="50" t="n">
        <x:f>MIN(C178-E178,MAX(0,Inputs!$B$20-O178))</x:f>
        <x:v>600</x:v>
      </x:c>
      <x:c r="G178" s="50" t="n">
        <x:f>0</x:f>
        <x:v>0</x:v>
      </x:c>
      <x:c r="H178" s="41" t="n">
        <x:f>0</x:f>
        <x:v>0</x:v>
      </x:c>
      <x:c r="I178" s="50" t="n">
        <x:f>(I177*(1+Inputs!$B$12))+E178</x:f>
        <x:v>115737.0358426729</x:v>
      </x:c>
      <x:c r="J178" s="50" t="n">
        <x:f>(J177*(1+Inputs!$B$12))+F178+P178</x:f>
        <x:v>119113.80359353081</x:v>
      </x:c>
      <x:c r="K178" s="50" t="n">
        <x:f>(K177*(1+Inputs!$B$12))*(1-H178)</x:f>
        <x:v>22303.355712965</x:v>
      </x:c>
      <x:c r="L178" s="50" t="n">
        <x:f>L177*(1+Inputs!$B$13)+Q178</x:f>
        <x:v>18603.443741343508</x:v>
      </x:c>
      <x:c r="M178" s="50" t="n">
        <x:f>I178+J178+L178</x:f>
        <x:v>253454.28317754722</x:v>
      </x:c>
      <x:c r="N178" s="50" t="n">
        <x:f>F178+P178</x:f>
        <x:v>600</x:v>
      </x:c>
      <x:c r="O178" s="50" t="n">
        <x:f>IF(B178=1,0,O177+F177+P177)</x:f>
        <x:v>7266.4</x:v>
      </x:c>
      <x:c r="P178" s="50" t="n">
        <x:f>MIN(G178,MAX(0,Inputs!$B$20-O178-F178))</x:f>
        <x:v>0</x:v>
      </x:c>
      <x:c r="Q178" s="50" t="n">
        <x:f>(C178-E178-F178)+(G178-P178)</x:f>
        <x:v>0</x:v>
      </x:c>
    </x:row>
    <x:row r="179">
      <x:c r="A179" s="41" t="n">
        <x:f>IF(B179=1,A178+1,A178)</x:f>
        <x:v>2033</x:v>
      </x:c>
      <x:c r="B179" s="41" t="n">
        <x:f>IF(B178=26,1,B178+1)</x:f>
        <x:v>22</x:v>
      </x:c>
      <x:c r="C179" s="48" t="n">
        <x:f>Inputs!$F$9</x:f>
        <x:v>600</x:v>
      </x:c>
      <x:c r="D179" s="50" t="n">
        <x:f>IF(B179=1,0,D178+E178)</x:f>
        <x:v>8000</x:v>
      </x:c>
      <x:c r="E179" s="50" t="n">
        <x:f>MIN(C179,MAX(0,Inputs!$B$7-D179))</x:f>
        <x:v>0</x:v>
      </x:c>
      <x:c r="F179" s="50" t="n">
        <x:f>MIN(C179-E179,MAX(0,Inputs!$B$20-O179))</x:f>
        <x:v>600</x:v>
      </x:c>
      <x:c r="G179" s="50" t="n">
        <x:f>0</x:f>
        <x:v>0</x:v>
      </x:c>
      <x:c r="H179" s="41" t="n">
        <x:f>0</x:f>
        <x:v>0</x:v>
      </x:c>
      <x:c r="I179" s="50" t="n">
        <x:f>(I178*(1+Inputs!$B$12))+E179</x:f>
        <x:v>115954.42547954428</x:v>
      </x:c>
      <x:c r="J179" s="50" t="n">
        <x:f>(J178*(1+Inputs!$B$12))+F179+P179</x:f>
        <x:v>119937.53583551398</x:v>
      </x:c>
      <x:c r="K179" s="50" t="n">
        <x:f>(K178*(1+Inputs!$B$12))*(1-H179)</x:f>
        <x:v>22345.24825292987</x:v>
      </x:c>
      <x:c r="L179" s="50" t="n">
        <x:f>L178*(1+Inputs!$B$13)+Q179</x:f>
        <x:v>18635.993337767377</x:v>
      </x:c>
      <x:c r="M179" s="50" t="n">
        <x:f>I179+J179+L179</x:f>
        <x:v>254527.95465282563</x:v>
      </x:c>
      <x:c r="N179" s="50" t="n">
        <x:f>F179+P179</x:f>
        <x:v>600</x:v>
      </x:c>
      <x:c r="O179" s="50" t="n">
        <x:f>IF(B179=1,0,O178+F178+P178)</x:f>
        <x:v>7866.4</x:v>
      </x:c>
      <x:c r="P179" s="50" t="n">
        <x:f>MIN(G179,MAX(0,Inputs!$B$20-O179-F179))</x:f>
        <x:v>0</x:v>
      </x:c>
      <x:c r="Q179" s="50" t="n">
        <x:f>(C179-E179-F179)+(G179-P179)</x:f>
        <x:v>0</x:v>
      </x:c>
    </x:row>
    <x:row r="180">
      <x:c r="A180" s="41" t="n">
        <x:f>IF(B180=1,A179+1,A179)</x:f>
        <x:v>2033</x:v>
      </x:c>
      <x:c r="B180" s="41" t="n">
        <x:f>IF(B179=26,1,B179+1)</x:f>
        <x:v>23</x:v>
      </x:c>
      <x:c r="C180" s="48" t="n">
        <x:f>Inputs!$F$9</x:f>
        <x:v>600</x:v>
      </x:c>
      <x:c r="D180" s="50" t="n">
        <x:f>IF(B180=1,0,D179+E179)</x:f>
        <x:v>8000</x:v>
      </x:c>
      <x:c r="E180" s="50" t="n">
        <x:f>MIN(C180,MAX(0,Inputs!$B$7-D180))</x:f>
        <x:v>0</x:v>
      </x:c>
      <x:c r="F180" s="50" t="n">
        <x:f>MIN(C180-E180,MAX(0,Inputs!$B$20-O180))</x:f>
        <x:v>600</x:v>
      </x:c>
      <x:c r="G180" s="50" t="n">
        <x:f>0</x:f>
        <x:v>0</x:v>
      </x:c>
      <x:c r="H180" s="41" t="n">
        <x:f>0</x:f>
        <x:v>0</x:v>
      </x:c>
      <x:c r="I180" s="50" t="n">
        <x:f>(I179*(1+Inputs!$B$12))+E180</x:f>
        <x:v>116172.22344080271</x:v>
      </x:c>
      <x:c r="J180" s="50" t="n">
        <x:f>(J179*(1+Inputs!$B$12))+F180+P180</x:f>
        <x:v>120762.8152991938</x:v>
      </x:c>
      <x:c r="K180" s="50" t="n">
        <x:f>(K179*(1+Inputs!$B$12))*(1-H180)</x:f>
        <x:v>22387.21947992853</x:v>
      </x:c>
      <x:c r="L180" s="50" t="n">
        <x:f>L179*(1+Inputs!$B$13)+Q180</x:f>
        <x:v>18668.599884734493</x:v>
      </x:c>
      <x:c r="M180" s="50" t="n">
        <x:f>I180+J180+L180</x:f>
        <x:v>255603.638624731</x:v>
      </x:c>
      <x:c r="N180" s="50" t="n">
        <x:f>F180+P180</x:f>
        <x:v>600</x:v>
      </x:c>
      <x:c r="O180" s="50" t="n">
        <x:f>IF(B180=1,0,O179+F179+P179)</x:f>
        <x:v>8466.4</x:v>
      </x:c>
      <x:c r="P180" s="50" t="n">
        <x:f>MIN(G180,MAX(0,Inputs!$B$20-O180-F180))</x:f>
        <x:v>0</x:v>
      </x:c>
      <x:c r="Q180" s="50" t="n">
        <x:f>(C180-E180-F180)+(G180-P180)</x:f>
        <x:v>0</x:v>
      </x:c>
    </x:row>
    <x:row r="181">
      <x:c r="A181" s="41" t="n">
        <x:f>IF(B181=1,A180+1,A180)</x:f>
        <x:v>2033</x:v>
      </x:c>
      <x:c r="B181" s="41" t="n">
        <x:f>IF(B180=26,1,B180+1)</x:f>
        <x:v>24</x:v>
      </x:c>
      <x:c r="C181" s="48" t="n">
        <x:f>Inputs!$F$9</x:f>
        <x:v>600</x:v>
      </x:c>
      <x:c r="D181" s="50" t="n">
        <x:f>IF(B181=1,0,D180+E180)</x:f>
        <x:v>8000</x:v>
      </x:c>
      <x:c r="E181" s="50" t="n">
        <x:f>MIN(C181,MAX(0,Inputs!$B$7-D181))</x:f>
        <x:v>0</x:v>
      </x:c>
      <x:c r="F181" s="50" t="n">
        <x:f>MIN(C181-E181,MAX(0,Inputs!$B$20-O181))</x:f>
        <x:v>600</x:v>
      </x:c>
      <x:c r="G181" s="50" t="n">
        <x:f>0</x:f>
        <x:v>0</x:v>
      </x:c>
      <x:c r="H181" s="41" t="n">
        <x:f>0</x:f>
        <x:v>0</x:v>
      </x:c>
      <x:c r="I181" s="50" t="n">
        <x:f>(I180*(1+Inputs!$B$12))+E181</x:f>
        <x:v>116390.43049340657</x:v>
      </x:c>
      <x:c r="J181" s="50" t="n">
        <x:f>(J180*(1+Inputs!$B$12))+F181+P181</x:f>
        <x:v>121589.644890727</x:v>
      </x:c>
      <x:c r="K181" s="50" t="n">
        <x:f>(K180*(1+Inputs!$B$12))*(1-H181)</x:f>
        <x:v>22429.269541759364</x:v>
      </x:c>
      <x:c r="L181" s="50" t="n">
        <x:f>L180*(1+Inputs!$B$13)+Q181</x:f>
        <x:v>18701.26348188862</x:v>
      </x:c>
      <x:c r="M181" s="50" t="n">
        <x:f>I181+J181+L181</x:f>
        <x:v>256681.33886602218</x:v>
      </x:c>
      <x:c r="N181" s="50" t="n">
        <x:f>F181+P181</x:f>
        <x:v>600</x:v>
      </x:c>
      <x:c r="O181" s="50" t="n">
        <x:f>IF(B181=1,0,O180+F180+P180)</x:f>
        <x:v>9066.4</x:v>
      </x:c>
      <x:c r="P181" s="50" t="n">
        <x:f>MIN(G181,MAX(0,Inputs!$B$20-O181-F181))</x:f>
        <x:v>0</x:v>
      </x:c>
      <x:c r="Q181" s="50" t="n">
        <x:f>(C181-E181-F181)+(G181-P181)</x:f>
        <x:v>0</x:v>
      </x:c>
    </x:row>
    <x:row r="182">
      <x:c r="A182" s="41" t="n">
        <x:f>IF(B182=1,A181+1,A181)</x:f>
        <x:v>2033</x:v>
      </x:c>
      <x:c r="B182" s="41" t="n">
        <x:f>IF(B181=26,1,B181+1)</x:f>
        <x:v>25</x:v>
      </x:c>
      <x:c r="C182" s="48" t="n">
        <x:f>Inputs!$F$9</x:f>
        <x:v>600</x:v>
      </x:c>
      <x:c r="D182" s="50" t="n">
        <x:f>IF(B182=1,0,D181+E181)</x:f>
        <x:v>8000</x:v>
      </x:c>
      <x:c r="E182" s="50" t="n">
        <x:f>MIN(C182,MAX(0,Inputs!$B$7-D182))</x:f>
        <x:v>0</x:v>
      </x:c>
      <x:c r="F182" s="50" t="n">
        <x:f>MIN(C182-E182,MAX(0,Inputs!$B$20-O182))</x:f>
        <x:v>600</x:v>
      </x:c>
      <x:c r="G182" s="50" t="n">
        <x:f>0</x:f>
        <x:v>0</x:v>
      </x:c>
      <x:c r="H182" s="41" t="n">
        <x:f>0</x:f>
        <x:v>0</x:v>
      </x:c>
      <x:c r="I182" s="50" t="n">
        <x:f>(I181*(1+Inputs!$B$12))+E182</x:f>
        <x:v>116609.04740575483</x:v>
      </x:c>
      <x:c r="J182" s="50" t="n">
        <x:f>(J181*(1+Inputs!$B$12))+F182+P182</x:f>
        <x:v>122418.02752172893</x:v>
      </x:c>
      <x:c r="K182" s="50" t="n">
        <x:f>(K181*(1+Inputs!$B$12))*(1-H182)</x:f>
        <x:v>22471.398586498348</x:v>
      </x:c>
      <x:c r="L182" s="50" t="n">
        <x:f>L181*(1+Inputs!$B$13)+Q182</x:f>
        <x:v>18733.984229047874</x:v>
      </x:c>
      <x:c r="M182" s="50" t="n">
        <x:f>I182+J182+L182</x:f>
        <x:v>257761.0591565316</x:v>
      </x:c>
      <x:c r="N182" s="50" t="n">
        <x:f>F182+P182</x:f>
        <x:v>600</x:v>
      </x:c>
      <x:c r="O182" s="50" t="n">
        <x:f>IF(B182=1,0,O181+F181+P181)</x:f>
        <x:v>9666.4</x:v>
      </x:c>
      <x:c r="P182" s="50" t="n">
        <x:f>MIN(G182,MAX(0,Inputs!$B$20-O182-F182))</x:f>
        <x:v>0</x:v>
      </x:c>
      <x:c r="Q182" s="50" t="n">
        <x:f>(C182-E182-F182)+(G182-P182)</x:f>
        <x:v>0</x:v>
      </x:c>
    </x:row>
    <x:row r="183">
      <x:c r="A183" s="41" t="n">
        <x:f>IF(B183=1,A182+1,A182)</x:f>
        <x:v>2033</x:v>
      </x:c>
      <x:c r="B183" s="41" t="n">
        <x:f>IF(B182=26,1,B182+1)</x:f>
        <x:v>26</x:v>
      </x:c>
      <x:c r="C183" s="48" t="n">
        <x:f>Inputs!$F$9</x:f>
        <x:v>600</x:v>
      </x:c>
      <x:c r="D183" s="50" t="n">
        <x:f>IF(B183=1,0,D182+E182)</x:f>
        <x:v>8000</x:v>
      </x:c>
      <x:c r="E183" s="50" t="n">
        <x:f>MIN(C183,MAX(0,Inputs!$B$7-D183))</x:f>
        <x:v>0</x:v>
      </x:c>
      <x:c r="F183" s="50" t="n">
        <x:f>MIN(C183-E183,MAX(0,Inputs!$B$20-O183))</x:f>
        <x:v>600</x:v>
      </x:c>
      <x:c r="G183" s="50" t="n">
        <x:f>0</x:f>
        <x:v>0</x:v>
      </x:c>
      <x:c r="H183" s="41" t="n">
        <x:f>IF(A183=Inputs!$B$8,1,0)</x:f>
        <x:v>0</x:v>
      </x:c>
      <x:c r="I183" s="50" t="n">
        <x:f>(I182*(1+Inputs!$B$12))+E183</x:f>
        <x:v>116828.07494768975</x:v>
      </x:c>
      <x:c r="J183" s="50" t="n">
        <x:f>(J182*(1+Inputs!$B$12))+F183+P183</x:f>
        <x:v>123247.96610928387</x:v>
      </x:c>
      <x:c r="K183" s="50" t="n">
        <x:f>(K182*(1+Inputs!$B$12))*(1-H183)</x:f>
        <x:v>22513.6067624996</x:v>
      </x:c>
      <x:c r="L183" s="50" t="n">
        <x:f>L182*(1+Inputs!$B$13)+Q183</x:f>
        <x:v>18766.762226205006</x:v>
      </x:c>
      <x:c r="M183" s="50" t="n">
        <x:f>I183+J183+L183</x:f>
        <x:v>258842.80328317863</x:v>
      </x:c>
      <x:c r="N183" s="50" t="n">
        <x:f>F183+P183</x:f>
        <x:v>600</x:v>
      </x:c>
      <x:c r="O183" s="50" t="n">
        <x:f>IF(B183=1,0,O182+F182+P182)</x:f>
        <x:v>10266.4</x:v>
      </x:c>
      <x:c r="P183" s="50" t="n">
        <x:f>MIN(G183,MAX(0,Inputs!$B$20-O183-F183))</x:f>
        <x:v>0</x:v>
      </x:c>
      <x:c r="Q183" s="50" t="n">
        <x:f>(C183-E183-F183)+(G183-P183)</x:f>
        <x:v>0</x:v>
      </x:c>
    </x:row>
    <x:row r="184">
      <x:c r="A184" s="41" t="n">
        <x:f>IF(B184=1,A183+1,A183)</x:f>
        <x:v>2034</x:v>
      </x:c>
      <x:c r="B184" s="41" t="n">
        <x:f>IF(B183=26,1,B183+1)</x:f>
        <x:v>1</x:v>
      </x:c>
      <x:c r="C184" s="48" t="n">
        <x:f>Inputs!$F$10</x:f>
        <x:v>600</x:v>
      </x:c>
      <x:c r="D184" s="50" t="n">
        <x:f>IF(B184=1,0,D183+E183)</x:f>
        <x:v>0</x:v>
      </x:c>
      <x:c r="E184" s="50" t="n">
        <x:f>MIN(C184,MAX(0,Inputs!$B$7-D184))</x:f>
        <x:v>600</x:v>
      </x:c>
      <x:c r="F184" s="50" t="n">
        <x:f>MIN(C184-E184,MAX(0,Inputs!$B$20-O184))</x:f>
        <x:v>0</x:v>
      </x:c>
      <x:c r="G184" s="50" t="n">
        <x:f>0</x:f>
        <x:v>0</x:v>
      </x:c>
      <x:c r="H184" s="41" t="n">
        <x:f>0</x:f>
        <x:v>0</x:v>
      </x:c>
      <x:c r="I184" s="50" t="n">
        <x:f>(I183*(1+Inputs!$B$12))+E184</x:f>
        <x:v>117647.51389049958</x:v>
      </x:c>
      <x:c r="J184" s="50" t="n">
        <x:f>(J183*(1+Inputs!$B$12))+F184+P184</x:f>
        <x:v>123479.46357595525</x:v>
      </x:c>
      <x:c r="K184" s="50" t="n">
        <x:f>(K183*(1+Inputs!$B$12))*(1-H184)</x:f>
        <x:v>22555.894218395893</x:v>
      </x:c>
      <x:c r="L184" s="50" t="n">
        <x:f>L183*(1+Inputs!$B$13)+Q184</x:f>
        <x:v>18799.597573527724</x:v>
      </x:c>
      <x:c r="M184" s="50" t="n">
        <x:f>I184+J184+L184</x:f>
        <x:v>259926.57503998256</x:v>
      </x:c>
      <x:c r="N184" s="50" t="n">
        <x:f>F184+P184</x:f>
        <x:v>0</x:v>
      </x:c>
      <x:c r="O184" s="50" t="n">
        <x:f>IF(B184=1,0,O183+F183+P183)</x:f>
        <x:v>0</x:v>
      </x:c>
      <x:c r="P184" s="50" t="n">
        <x:f>MIN(G184,MAX(0,Inputs!$B$20-O184-F184))</x:f>
        <x:v>0</x:v>
      </x:c>
      <x:c r="Q184" s="50" t="n">
        <x:f>(C184-E184-F184)+(G184-P184)</x:f>
        <x:v>0</x:v>
      </x:c>
    </x:row>
    <x:row r="185">
      <x:c r="A185" s="41" t="n">
        <x:f>IF(B185=1,A184+1,A184)</x:f>
        <x:v>2034</x:v>
      </x:c>
      <x:c r="B185" s="41" t="n">
        <x:f>IF(B184=26,1,B184+1)</x:f>
        <x:v>2</x:v>
      </x:c>
      <x:c r="C185" s="48" t="n">
        <x:f>Inputs!$F$10</x:f>
        <x:v>600</x:v>
      </x:c>
      <x:c r="D185" s="50" t="n">
        <x:f>IF(B185=1,0,D184+E184)</x:f>
        <x:v>600</x:v>
      </x:c>
      <x:c r="E185" s="50" t="n">
        <x:f>MIN(C185,MAX(0,Inputs!$B$7-D185))</x:f>
        <x:v>600</x:v>
      </x:c>
      <x:c r="F185" s="50" t="n">
        <x:f>MIN(C185-E185,MAX(0,Inputs!$B$20-O185))</x:f>
        <x:v>0</x:v>
      </x:c>
      <x:c r="G185" s="50" t="n">
        <x:f>0</x:f>
        <x:v>0</x:v>
      </x:c>
      <x:c r="H185" s="41" t="n">
        <x:f>0</x:f>
        <x:v>0</x:v>
      </x:c>
      <x:c r="I185" s="50" t="n">
        <x:f>(I184*(1+Inputs!$B$12))+E185</x:f>
        <x:v>118468.49199087397</x:v>
      </x:c>
      <x:c r="J185" s="50" t="n">
        <x:f>(J184*(1+Inputs!$B$12))+F185+P185</x:f>
        <x:v>123711.39586584333</x:v>
      </x:c>
      <x:c r="K185" s="50" t="n">
        <x:f>(K184*(1+Inputs!$B$12))*(1-H185)</x:f>
        <x:v>22598.261103099176</x:v>
      </x:c>
      <x:c r="L185" s="50" t="n">
        <x:f>L184*(1+Inputs!$B$13)+Q185</x:f>
        <x:v>18832.490371358996</x:v>
      </x:c>
      <x:c r="M185" s="50" t="n">
        <x:f>I185+J185+L185</x:f>
        <x:v>261012.37822807627</x:v>
      </x:c>
      <x:c r="N185" s="50" t="n">
        <x:f>F185+P185</x:f>
        <x:v>0</x:v>
      </x:c>
      <x:c r="O185" s="50" t="n">
        <x:f>IF(B185=1,0,O184+F184+P184)</x:f>
        <x:v>0</x:v>
      </x:c>
      <x:c r="P185" s="50" t="n">
        <x:f>MIN(G185,MAX(0,Inputs!$B$20-O185-F185))</x:f>
        <x:v>0</x:v>
      </x:c>
      <x:c r="Q185" s="50" t="n">
        <x:f>(C185-E185-F185)+(G185-P185)</x:f>
        <x:v>0</x:v>
      </x:c>
    </x:row>
    <x:row r="186">
      <x:c r="A186" s="41" t="n">
        <x:f>IF(B186=1,A185+1,A185)</x:f>
        <x:v>2034</x:v>
      </x:c>
      <x:c r="B186" s="41" t="n">
        <x:f>IF(B185=26,1,B185+1)</x:f>
        <x:v>3</x:v>
      </x:c>
      <x:c r="C186" s="48" t="n">
        <x:f>Inputs!$F$10</x:f>
        <x:v>600</x:v>
      </x:c>
      <x:c r="D186" s="50" t="n">
        <x:f>IF(B186=1,0,D185+E185)</x:f>
        <x:v>1200</x:v>
      </x:c>
      <x:c r="E186" s="50" t="n">
        <x:f>MIN(C186,MAX(0,Inputs!$B$7-D186))</x:f>
        <x:v>600</x:v>
      </x:c>
      <x:c r="F186" s="50" t="n">
        <x:f>MIN(C186-E186,MAX(0,Inputs!$B$20-O186))</x:f>
        <x:v>0</x:v>
      </x:c>
      <x:c r="G186" s="50" t="n">
        <x:f>0</x:f>
        <x:v>0</x:v>
      </x:c>
      <x:c r="H186" s="41" t="n">
        <x:f>0</x:f>
        <x:v>0</x:v>
      </x:c>
      <x:c r="I186" s="50" t="n">
        <x:f>(I185*(1+Inputs!$B$12))+E186</x:f>
        <x:v>119291.01213982269</x:v>
      </x:c>
      <x:c r="J186" s="50" t="n">
        <x:f>(J185*(1+Inputs!$B$12))+F186+P186</x:f>
        <x:v>123943.76379567942</x:v>
      </x:c>
      <x:c r="K186" s="50" t="n">
        <x:f>(K185*(1+Inputs!$B$12))*(1-H186)</x:f>
        <x:v>22640.7075658011</x:v>
      </x:c>
      <x:c r="L186" s="50" t="n">
        <x:f>L185*(1+Inputs!$B$13)+Q186</x:f>
        <x:v>18865.440720217353</x:v>
      </x:c>
      <x:c r="M186" s="50" t="n">
        <x:f>I186+J186+L186</x:f>
        <x:v>262100.21665571947</x:v>
      </x:c>
      <x:c r="N186" s="50" t="n">
        <x:f>F186+P186</x:f>
        <x:v>0</x:v>
      </x:c>
      <x:c r="O186" s="50" t="n">
        <x:f>IF(B186=1,0,O185+F185+P185)</x:f>
        <x:v>0</x:v>
      </x:c>
      <x:c r="P186" s="50" t="n">
        <x:f>MIN(G186,MAX(0,Inputs!$B$20-O186-F186))</x:f>
        <x:v>0</x:v>
      </x:c>
      <x:c r="Q186" s="50" t="n">
        <x:f>(C186-E186-F186)+(G186-P186)</x:f>
        <x:v>0</x:v>
      </x:c>
    </x:row>
    <x:row r="187">
      <x:c r="A187" s="41" t="n">
        <x:f>IF(B187=1,A186+1,A186)</x:f>
        <x:v>2034</x:v>
      </x:c>
      <x:c r="B187" s="41" t="n">
        <x:f>IF(B186=26,1,B186+1)</x:f>
        <x:v>4</x:v>
      </x:c>
      <x:c r="C187" s="48" t="n">
        <x:f>Inputs!$F$10</x:f>
        <x:v>600</x:v>
      </x:c>
      <x:c r="D187" s="50" t="n">
        <x:f>IF(B187=1,0,D186+E186)</x:f>
        <x:v>1800</x:v>
      </x:c>
      <x:c r="E187" s="50" t="n">
        <x:f>MIN(C187,MAX(0,Inputs!$B$7-D187))</x:f>
        <x:v>600</x:v>
      </x:c>
      <x:c r="F187" s="50" t="n">
        <x:f>MIN(C187-E187,MAX(0,Inputs!$B$20-O187))</x:f>
        <x:v>0</x:v>
      </x:c>
      <x:c r="G187" s="50" t="n">
        <x:f>0</x:f>
        <x:v>0</x:v>
      </x:c>
      <x:c r="H187" s="41" t="n">
        <x:f>0</x:f>
        <x:v>0</x:v>
      </x:c>
      <x:c r="I187" s="50" t="n">
        <x:f>(I186*(1+Inputs!$B$12))+E187</x:f>
        <x:v>120115.07723378576</x:v>
      </x:c>
      <x:c r="J187" s="50" t="n">
        <x:f>(J186*(1+Inputs!$B$12))+F187+P187</x:f>
        <x:v>124176.5681837289</x:v>
      </x:c>
      <x:c r="K187" s="50" t="n">
        <x:f>(K186*(1+Inputs!$B$12))*(1-H187)</x:f>
        <x:v>22683.233755973546</x:v>
      </x:c>
      <x:c r="L187" s="50" t="n">
        <x:f>L186*(1+Inputs!$B$13)+Q187</x:f>
        <x:v>18898.4487207972</x:v>
      </x:c>
      <x:c r="M187" s="50" t="n">
        <x:f>I187+J187+L187</x:f>
        <x:v>263190.09413831186</x:v>
      </x:c>
      <x:c r="N187" s="50" t="n">
        <x:f>F187+P187</x:f>
        <x:v>0</x:v>
      </x:c>
      <x:c r="O187" s="50" t="n">
        <x:f>IF(B187=1,0,O186+F186+P186)</x:f>
        <x:v>0</x:v>
      </x:c>
      <x:c r="P187" s="50" t="n">
        <x:f>MIN(G187,MAX(0,Inputs!$B$20-O187-F187))</x:f>
        <x:v>0</x:v>
      </x:c>
      <x:c r="Q187" s="50" t="n">
        <x:f>(C187-E187-F187)+(G187-P187)</x:f>
        <x:v>0</x:v>
      </x:c>
    </x:row>
    <x:row r="188">
      <x:c r="A188" s="41" t="n">
        <x:f>IF(B188=1,A187+1,A187)</x:f>
        <x:v>2034</x:v>
      </x:c>
      <x:c r="B188" s="41" t="n">
        <x:f>IF(B187=26,1,B187+1)</x:f>
        <x:v>5</x:v>
      </x:c>
      <x:c r="C188" s="48" t="n">
        <x:f>Inputs!$F$10</x:f>
        <x:v>600</x:v>
      </x:c>
      <x:c r="D188" s="50" t="n">
        <x:f>IF(B188=1,0,D187+E187)</x:f>
        <x:v>2400</x:v>
      </x:c>
      <x:c r="E188" s="50" t="n">
        <x:f>MIN(C188,MAX(0,Inputs!$B$7-D188))</x:f>
        <x:v>600</x:v>
      </x:c>
      <x:c r="F188" s="50" t="n">
        <x:f>MIN(C188-E188,MAX(0,Inputs!$B$20-O188))</x:f>
        <x:v>0</x:v>
      </x:c>
      <x:c r="G188" s="50" t="n">
        <x:f>0</x:f>
        <x:v>0</x:v>
      </x:c>
      <x:c r="H188" s="41" t="n">
        <x:f>0</x:f>
        <x:v>0</x:v>
      </x:c>
      <x:c r="I188" s="50" t="n">
        <x:f>(I187*(1+Inputs!$B$12))+E188</x:f>
        <x:v>120940.69017464356</x:v>
      </x:c>
      <x:c r="J188" s="50" t="n">
        <x:f>(J187*(1+Inputs!$B$12))+F188+P188</x:f>
        <x:v>124409.80984979412</x:v>
      </x:c>
      <x:c r="K188" s="50" t="n">
        <x:f>(K187*(1+Inputs!$B$12))*(1-H188)</x:f>
        <x:v>22725.839823369144</x:v>
      </x:c>
      <x:c r="L188" s="50" t="n">
        <x:f>L187*(1+Inputs!$B$13)+Q188</x:f>
        <x:v>18931.514473969128</x:v>
      </x:c>
      <x:c r="M188" s="50" t="n">
        <x:f>I188+J188+L188</x:f>
        <x:v>264282.0144984068</x:v>
      </x:c>
      <x:c r="N188" s="50" t="n">
        <x:f>F188+P188</x:f>
        <x:v>0</x:v>
      </x:c>
      <x:c r="O188" s="50" t="n">
        <x:f>IF(B188=1,0,O187+F187+P187)</x:f>
        <x:v>0</x:v>
      </x:c>
      <x:c r="P188" s="50" t="n">
        <x:f>MIN(G188,MAX(0,Inputs!$B$20-O188-F188))</x:f>
        <x:v>0</x:v>
      </x:c>
      <x:c r="Q188" s="50" t="n">
        <x:f>(C188-E188-F188)+(G188-P188)</x:f>
        <x:v>0</x:v>
      </x:c>
    </x:row>
    <x:row r="189">
      <x:c r="A189" s="41" t="n">
        <x:f>IF(B189=1,A188+1,A188)</x:f>
        <x:v>2034</x:v>
      </x:c>
      <x:c r="B189" s="41" t="n">
        <x:f>IF(B188=26,1,B188+1)</x:f>
        <x:v>6</x:v>
      </x:c>
      <x:c r="C189" s="48" t="n">
        <x:f>Inputs!$F$10</x:f>
        <x:v>600</x:v>
      </x:c>
      <x:c r="D189" s="50" t="n">
        <x:f>IF(B189=1,0,D188+E188)</x:f>
        <x:v>3000</x:v>
      </x:c>
      <x:c r="E189" s="50" t="n">
        <x:f>MIN(C189,MAX(0,Inputs!$B$7-D189))</x:f>
        <x:v>600</x:v>
      </x:c>
      <x:c r="F189" s="50" t="n">
        <x:f>MIN(C189-E189,MAX(0,Inputs!$B$20-O189))</x:f>
        <x:v>0</x:v>
      </x:c>
      <x:c r="G189" s="50" t="n">
        <x:f>0</x:f>
        <x:v>0</x:v>
      </x:c>
      <x:c r="H189" s="41" t="n">
        <x:f>0</x:f>
        <x:v>0</x:v>
      </x:c>
      <x:c r="I189" s="50" t="n">
        <x:f>(I188*(1+Inputs!$B$12))+E189</x:f>
        <x:v>121767.85386972711</x:v>
      </x:c>
      <x:c r="J189" s="50" t="n">
        <x:f>(J188*(1+Inputs!$B$12))+F189+P189</x:f>
        <x:v>124643.48961521726</x:v>
      </x:c>
      <x:c r="K189" s="50" t="n">
        <x:f>(K188*(1+Inputs!$B$12))*(1-H189)</x:f>
        <x:v>22768.52591802181</x:v>
      </x:c>
      <x:c r="L189" s="50" t="n">
        <x:f>L188*(1+Inputs!$B$13)+Q189</x:f>
        <x:v>18964.63808078021</x:v>
      </x:c>
      <x:c r="M189" s="50" t="n">
        <x:f>I189+J189+L189</x:f>
        <x:v>265375.9815657246</x:v>
      </x:c>
      <x:c r="N189" s="50" t="n">
        <x:f>F189+P189</x:f>
        <x:v>0</x:v>
      </x:c>
      <x:c r="O189" s="50" t="n">
        <x:f>IF(B189=1,0,O188+F188+P188)</x:f>
        <x:v>0</x:v>
      </x:c>
      <x:c r="P189" s="50" t="n">
        <x:f>MIN(G189,MAX(0,Inputs!$B$20-O189-F189))</x:f>
        <x:v>0</x:v>
      </x:c>
      <x:c r="Q189" s="50" t="n">
        <x:f>(C189-E189-F189)+(G189-P189)</x:f>
        <x:v>0</x:v>
      </x:c>
    </x:row>
    <x:row r="190">
      <x:c r="A190" s="41" t="n">
        <x:f>IF(B190=1,A189+1,A189)</x:f>
        <x:v>2034</x:v>
      </x:c>
      <x:c r="B190" s="41" t="n">
        <x:f>IF(B189=26,1,B189+1)</x:f>
        <x:v>7</x:v>
      </x:c>
      <x:c r="C190" s="48" t="n">
        <x:f>Inputs!$F$10</x:f>
        <x:v>600</x:v>
      </x:c>
      <x:c r="D190" s="50" t="n">
        <x:f>IF(B190=1,0,D189+E189)</x:f>
        <x:v>3600</x:v>
      </x:c>
      <x:c r="E190" s="50" t="n">
        <x:f>MIN(C190,MAX(0,Inputs!$B$7-D190))</x:f>
        <x:v>600</x:v>
      </x:c>
      <x:c r="F190" s="50" t="n">
        <x:f>MIN(C190-E190,MAX(0,Inputs!$B$20-O190))</x:f>
        <x:v>0</x:v>
      </x:c>
      <x:c r="G190" s="50" t="n">
        <x:f>0</x:f>
        <x:v>0</x:v>
      </x:c>
      <x:c r="H190" s="41" t="n">
        <x:f>0</x:f>
        <x:v>0</x:v>
      </x:c>
      <x:c r="I190" s="50" t="n">
        <x:f>(I189*(1+Inputs!$B$12))+E190</x:f>
        <x:v>122596.5712318283</x:v>
      </x:c>
      <x:c r="J190" s="50" t="n">
        <x:f>(J189*(1+Inputs!$B$12))+F190+P190</x:f>
        <x:v>124877.6083028832</x:v>
      </x:c>
      <x:c r="K190" s="50" t="n">
        <x:f>(K189*(1+Inputs!$B$12))*(1-H190)</x:f>
        <x:v>22811.292190247266</x:v>
      </x:c>
      <x:c r="L190" s="50" t="n">
        <x:f>L189*(1+Inputs!$B$13)+Q190</x:f>
        <x:v>18997.819642454313</x:v>
      </x:c>
      <x:c r="M190" s="50" t="n">
        <x:f>I190+J190+L190</x:f>
        <x:v>266471.99917716585</x:v>
      </x:c>
      <x:c r="N190" s="50" t="n">
        <x:f>F190+P190</x:f>
        <x:v>0</x:v>
      </x:c>
      <x:c r="O190" s="50" t="n">
        <x:f>IF(B190=1,0,O189+F189+P189)</x:f>
        <x:v>0</x:v>
      </x:c>
      <x:c r="P190" s="50" t="n">
        <x:f>MIN(G190,MAX(0,Inputs!$B$20-O190-F190))</x:f>
        <x:v>0</x:v>
      </x:c>
      <x:c r="Q190" s="50" t="n">
        <x:f>(C190-E190-F190)+(G190-P190)</x:f>
        <x:v>0</x:v>
      </x:c>
    </x:row>
    <x:row r="191">
      <x:c r="A191" s="41" t="n">
        <x:f>IF(B191=1,A190+1,A190)</x:f>
        <x:v>2034</x:v>
      </x:c>
      <x:c r="B191" s="41" t="n">
        <x:f>IF(B190=26,1,B190+1)</x:f>
        <x:v>8</x:v>
      </x:c>
      <x:c r="C191" s="48" t="n">
        <x:f>Inputs!$F$10</x:f>
        <x:v>600</x:v>
      </x:c>
      <x:c r="D191" s="50" t="n">
        <x:f>IF(B191=1,0,D190+E190)</x:f>
        <x:v>4200</x:v>
      </x:c>
      <x:c r="E191" s="50" t="n">
        <x:f>MIN(C191,MAX(0,Inputs!$B$7-D191))</x:f>
        <x:v>600</x:v>
      </x:c>
      <x:c r="F191" s="50" t="n">
        <x:f>MIN(C191-E191,MAX(0,Inputs!$B$20-O191))</x:f>
        <x:v>0</x:v>
      </x:c>
      <x:c r="G191" s="50" t="n">
        <x:f>0</x:f>
        <x:v>0</x:v>
      </x:c>
      <x:c r="H191" s="41" t="n">
        <x:f>0</x:f>
        <x:v>0</x:v>
      </x:c>
      <x:c r="I191" s="50" t="n">
        <x:f>(I190*(1+Inputs!$B$12))+E191</x:f>
        <x:v>123426.84517921013</x:v>
      </x:c>
      <x:c r="J191" s="50" t="n">
        <x:f>(J190*(1+Inputs!$B$12))+F191+P191</x:f>
        <x:v>125112.16673722252</x:v>
      </x:c>
      <x:c r="K191" s="50" t="n">
        <x:f>(K190*(1+Inputs!$B$12))*(1-H191)</x:f>
        <x:v>22854.138790643578</x:v>
      </x:c>
      <x:c r="L191" s="50" t="n">
        <x:f>L190*(1+Inputs!$B$13)+Q191</x:f>
        <x:v>19031.05926039242</x:v>
      </x:c>
      <x:c r="M191" s="50" t="n">
        <x:f>I191+J191+L191</x:f>
        <x:v>267570.0711768251</x:v>
      </x:c>
      <x:c r="N191" s="50" t="n">
        <x:f>F191+P191</x:f>
        <x:v>0</x:v>
      </x:c>
      <x:c r="O191" s="50" t="n">
        <x:f>IF(B191=1,0,O190+F190+P190)</x:f>
        <x:v>0</x:v>
      </x:c>
      <x:c r="P191" s="50" t="n">
        <x:f>MIN(G191,MAX(0,Inputs!$B$20-O191-F191))</x:f>
        <x:v>0</x:v>
      </x:c>
      <x:c r="Q191" s="50" t="n">
        <x:f>(C191-E191-F191)+(G191-P191)</x:f>
        <x:v>0</x:v>
      </x:c>
    </x:row>
    <x:row r="192">
      <x:c r="A192" s="41" t="n">
        <x:f>IF(B192=1,A191+1,A191)</x:f>
        <x:v>2034</x:v>
      </x:c>
      <x:c r="B192" s="41" t="n">
        <x:f>IF(B191=26,1,B191+1)</x:f>
        <x:v>9</x:v>
      </x:c>
      <x:c r="C192" s="48" t="n">
        <x:f>Inputs!$F$10</x:f>
        <x:v>600</x:v>
      </x:c>
      <x:c r="D192" s="50" t="n">
        <x:f>IF(B192=1,0,D191+E191)</x:f>
        <x:v>4800</x:v>
      </x:c>
      <x:c r="E192" s="50" t="n">
        <x:f>MIN(C192,MAX(0,Inputs!$B$7-D192))</x:f>
        <x:v>600</x:v>
      </x:c>
      <x:c r="F192" s="50" t="n">
        <x:f>MIN(C192-E192,MAX(0,Inputs!$B$20-O192))</x:f>
        <x:v>0</x:v>
      </x:c>
      <x:c r="G192" s="50" t="n">
        <x:f>SUM(N158:N183)*Inputs!$B$6</x:f>
        <x:v>3259.9199999999996</x:v>
      </x:c>
      <x:c r="H192" s="41" t="n">
        <x:f>0</x:f>
        <x:v>0</x:v>
      </x:c>
      <x:c r="I192" s="50" t="n">
        <x:f>(I191*(1+Inputs!$B$12))+E192</x:f>
        <x:v>124258.67863561696</x:v>
      </x:c>
      <x:c r="J192" s="50" t="n">
        <x:f>(J191*(1+Inputs!$B$12))+F192+P192</x:f>
        <x:v>128607.08574421426</x:v>
      </x:c>
      <x:c r="K192" s="50" t="n">
        <x:f>(K191*(1+Inputs!$B$12))*(1-H192)</x:f>
        <x:v>22897.06587009168</x:v>
      </x:c>
      <x:c r="L192" s="50" t="n">
        <x:f>L191*(1+Inputs!$B$13)+Q192</x:f>
        <x:v>19064.357036172925</x:v>
      </x:c>
      <x:c r="M192" s="50" t="n">
        <x:f>I192+J192+L192</x:f>
        <x:v>271930.12141600414</x:v>
      </x:c>
      <x:c r="N192" s="50" t="n">
        <x:f>F192+P192</x:f>
        <x:v>3259.9199999999996</x:v>
      </x:c>
      <x:c r="O192" s="50" t="n">
        <x:f>IF(B192=1,0,O191+F191+P191)</x:f>
        <x:v>0</x:v>
      </x:c>
      <x:c r="P192" s="50" t="n">
        <x:f>MIN(G192,MAX(0,Inputs!$B$20-O192-F192))</x:f>
        <x:v>3259.9199999999996</x:v>
      </x:c>
      <x:c r="Q192" s="50" t="n">
        <x:f>(C192-E192-F192)+(G192-P192)</x:f>
        <x:v>0</x:v>
      </x:c>
    </x:row>
    <x:row r="193">
      <x:c r="A193" s="41" t="n">
        <x:f>IF(B193=1,A192+1,A192)</x:f>
        <x:v>2034</x:v>
      </x:c>
      <x:c r="B193" s="41" t="n">
        <x:f>IF(B192=26,1,B192+1)</x:f>
        <x:v>10</x:v>
      </x:c>
      <x:c r="C193" s="48" t="n">
        <x:f>Inputs!$F$10</x:f>
        <x:v>600</x:v>
      </x:c>
      <x:c r="D193" s="50" t="n">
        <x:f>IF(B193=1,0,D192+E192)</x:f>
        <x:v>5400</x:v>
      </x:c>
      <x:c r="E193" s="50" t="n">
        <x:f>MIN(C193,MAX(0,Inputs!$B$7-D193))</x:f>
        <x:v>600</x:v>
      </x:c>
      <x:c r="F193" s="50" t="n">
        <x:f>MIN(C193-E193,MAX(0,Inputs!$B$20-O193))</x:f>
        <x:v>0</x:v>
      </x:c>
      <x:c r="G193" s="50" t="n">
        <x:f>0</x:f>
        <x:v>0</x:v>
      </x:c>
      <x:c r="H193" s="41" t="n">
        <x:f>0</x:f>
        <x:v>0</x:v>
      </x:c>
      <x:c r="I193" s="50" t="n">
        <x:f>(I192*(1+Inputs!$B$12))+E193</x:f>
        <x:v>125092.07453028488</x:v>
      </x:c>
      <x:c r="J193" s="50" t="n">
        <x:f>(J192*(1+Inputs!$B$12))+F193+P193</x:f>
        <x:v>128848.64928060053</x:v>
      </x:c>
      <x:c r="K193" s="50" t="n">
        <x:f>(K192*(1+Inputs!$B$12))*(1-H193)</x:f>
        <x:v>22940.0735797559</x:v>
      </x:c>
      <x:c r="L193" s="50" t="n">
        <x:f>L192*(1+Inputs!$B$13)+Q193</x:f>
        <x:v>19097.71307155195</x:v>
      </x:c>
      <x:c r="M193" s="50" t="n">
        <x:f>I193+J193+L193</x:f>
        <x:v>273038.4368824373</x:v>
      </x:c>
      <x:c r="N193" s="50" t="n">
        <x:f>F193+P193</x:f>
        <x:v>0</x:v>
      </x:c>
      <x:c r="O193" s="50" t="n">
        <x:f>IF(B193=1,0,O192+F192+P192)</x:f>
        <x:v>3259.9199999999996</x:v>
      </x:c>
      <x:c r="P193" s="50" t="n">
        <x:f>MIN(G193,MAX(0,Inputs!$B$20-O193-F193))</x:f>
        <x:v>0</x:v>
      </x:c>
      <x:c r="Q193" s="50" t="n">
        <x:f>(C193-E193-F193)+(G193-P193)</x:f>
        <x:v>0</x:v>
      </x:c>
    </x:row>
    <x:row r="194">
      <x:c r="A194" s="41" t="n">
        <x:f>IF(B194=1,A193+1,A193)</x:f>
        <x:v>2034</x:v>
      </x:c>
      <x:c r="B194" s="41" t="n">
        <x:f>IF(B193=26,1,B193+1)</x:f>
        <x:v>11</x:v>
      </x:c>
      <x:c r="C194" s="48" t="n">
        <x:f>Inputs!$F$10</x:f>
        <x:v>600</x:v>
      </x:c>
      <x:c r="D194" s="50" t="n">
        <x:f>IF(B194=1,0,D193+E193)</x:f>
        <x:v>6000</x:v>
      </x:c>
      <x:c r="E194" s="50" t="n">
        <x:f>MIN(C194,MAX(0,Inputs!$B$7-D194))</x:f>
        <x:v>600</x:v>
      </x:c>
      <x:c r="F194" s="50" t="n">
        <x:f>MIN(C194-E194,MAX(0,Inputs!$B$20-O194))</x:f>
        <x:v>0</x:v>
      </x:c>
      <x:c r="G194" s="50" t="n">
        <x:f>0</x:f>
        <x:v>0</x:v>
      </x:c>
      <x:c r="H194" s="41" t="n">
        <x:f>0</x:f>
        <x:v>0</x:v>
      </x:c>
      <x:c r="I194" s="50" t="n">
        <x:f>(I193*(1+Inputs!$B$12))+E194</x:f>
        <x:v>125927.03579795198</x:v>
      </x:c>
      <x:c r="J194" s="50" t="n">
        <x:f>(J193*(1+Inputs!$B$12))+F194+P194</x:f>
        <x:v>129090.66654736856</x:v>
      </x:c>
      <x:c r="K194" s="50" t="n">
        <x:f>(K193*(1+Inputs!$B$12))*(1-H194)</x:f>
        <x:v>22983.16207108451</x:v>
      </x:c>
      <x:c r="L194" s="50" t="n">
        <x:f>L193*(1+Inputs!$B$13)+Q194</x:f>
        <x:v>19131.127468463656</x:v>
      </x:c>
      <x:c r="M194" s="50" t="n">
        <x:f>I194+J194+L194</x:f>
        <x:v>274148.8298137842</x:v>
      </x:c>
      <x:c r="N194" s="50" t="n">
        <x:f>F194+P194</x:f>
        <x:v>0</x:v>
      </x:c>
      <x:c r="O194" s="50" t="n">
        <x:f>IF(B194=1,0,O193+F193+P193)</x:f>
        <x:v>3259.9199999999996</x:v>
      </x:c>
      <x:c r="P194" s="50" t="n">
        <x:f>MIN(G194,MAX(0,Inputs!$B$20-O194-F194))</x:f>
        <x:v>0</x:v>
      </x:c>
      <x:c r="Q194" s="50" t="n">
        <x:f>(C194-E194-F194)+(G194-P194)</x:f>
        <x:v>0</x:v>
      </x:c>
    </x:row>
    <x:row r="195">
      <x:c r="A195" s="41" t="n">
        <x:f>IF(B195=1,A194+1,A194)</x:f>
        <x:v>2034</x:v>
      </x:c>
      <x:c r="B195" s="41" t="n">
        <x:f>IF(B194=26,1,B194+1)</x:f>
        <x:v>12</x:v>
      </x:c>
      <x:c r="C195" s="48" t="n">
        <x:f>Inputs!$F$10</x:f>
        <x:v>600</x:v>
      </x:c>
      <x:c r="D195" s="50" t="n">
        <x:f>IF(B195=1,0,D194+E194)</x:f>
        <x:v>6600</x:v>
      </x:c>
      <x:c r="E195" s="50" t="n">
        <x:f>MIN(C195,MAX(0,Inputs!$B$7-D195))</x:f>
        <x:v>600</x:v>
      </x:c>
      <x:c r="F195" s="50" t="n">
        <x:f>MIN(C195-E195,MAX(0,Inputs!$B$20-O195))</x:f>
        <x:v>0</x:v>
      </x:c>
      <x:c r="G195" s="50" t="n">
        <x:f>0</x:f>
        <x:v>0</x:v>
      </x:c>
      <x:c r="H195" s="41" t="n">
        <x:f>0</x:f>
        <x:v>0</x:v>
      </x:c>
      <x:c r="I195" s="50" t="n">
        <x:f>(I194*(1+Inputs!$B$12))+E195</x:f>
        <x:v>126763.56537886865</x:v>
      </x:c>
      <x:c r="J195" s="50" t="n">
        <x:f>(J194*(1+Inputs!$B$12))+F195+P195</x:f>
        <x:v>129333.13839676311</x:v>
      </x:c>
      <x:c r="K195" s="50" t="n">
        <x:f>(K194*(1+Inputs!$B$12))*(1-H195)</x:f>
        <x:v>23026.33149581024</x:v>
      </x:c>
      <x:c r="L195" s="50" t="n">
        <x:f>L194*(1+Inputs!$B$13)+Q195</x:f>
        <x:v>19164.60032902055</x:v>
      </x:c>
      <x:c r="M195" s="50" t="n">
        <x:f>I195+J195+L195</x:f>
        <x:v>275261.3041046523</x:v>
      </x:c>
      <x:c r="N195" s="50" t="n">
        <x:f>F195+P195</x:f>
        <x:v>0</x:v>
      </x:c>
      <x:c r="O195" s="50" t="n">
        <x:f>IF(B195=1,0,O194+F194+P194)</x:f>
        <x:v>3259.9199999999996</x:v>
      </x:c>
      <x:c r="P195" s="50" t="n">
        <x:f>MIN(G195,MAX(0,Inputs!$B$20-O195-F195))</x:f>
        <x:v>0</x:v>
      </x:c>
      <x:c r="Q195" s="50" t="n">
        <x:f>(C195-E195-F195)+(G195-P195)</x:f>
        <x:v>0</x:v>
      </x:c>
    </x:row>
    <x:row r="196">
      <x:c r="A196" s="41" t="n">
        <x:f>IF(B196=1,A195+1,A195)</x:f>
        <x:v>2034</x:v>
      </x:c>
      <x:c r="B196" s="41" t="n">
        <x:f>IF(B195=26,1,B195+1)</x:f>
        <x:v>13</x:v>
      </x:c>
      <x:c r="C196" s="48" t="n">
        <x:f>Inputs!$F$10</x:f>
        <x:v>600</x:v>
      </x:c>
      <x:c r="D196" s="50" t="n">
        <x:f>IF(B196=1,0,D195+E195)</x:f>
        <x:v>7200</x:v>
      </x:c>
      <x:c r="E196" s="50" t="n">
        <x:f>MIN(C196,MAX(0,Inputs!$B$7-D196))</x:f>
        <x:v>600</x:v>
      </x:c>
      <x:c r="F196" s="50" t="n">
        <x:f>MIN(C196-E196,MAX(0,Inputs!$B$20-O196))</x:f>
        <x:v>0</x:v>
      </x:c>
      <x:c r="G196" s="50" t="n">
        <x:f>0</x:f>
        <x:v>0</x:v>
      </x:c>
      <x:c r="H196" s="41" t="n">
        <x:f>0</x:f>
        <x:v>0</x:v>
      </x:c>
      <x:c r="I196" s="50" t="n">
        <x:f>(I195*(1+Inputs!$B$12))+E196</x:f>
        <x:v>127601.66621880802</x:v>
      </x:c>
      <x:c r="J196" s="50" t="n">
        <x:f>(J195*(1+Inputs!$B$12))+F196+P196</x:f>
        <x:v>129576.06568262973</x:v>
      </x:c>
      <x:c r="K196" s="50" t="n">
        <x:f>(K195*(1+Inputs!$B$12))*(1-H196)</x:f>
        <x:v>23069.58200595082</x:v>
      </x:c>
      <x:c r="L196" s="50" t="n">
        <x:f>L195*(1+Inputs!$B$13)+Q196</x:f>
        <x:v>19198.131755513812</x:v>
      </x:c>
      <x:c r="M196" s="50" t="n">
        <x:f>I196+J196+L196</x:f>
        <x:v>276375.8636569516</x:v>
      </x:c>
      <x:c r="N196" s="50" t="n">
        <x:f>F196+P196</x:f>
        <x:v>0</x:v>
      </x:c>
      <x:c r="O196" s="50" t="n">
        <x:f>IF(B196=1,0,O195+F195+P195)</x:f>
        <x:v>3259.9199999999996</x:v>
      </x:c>
      <x:c r="P196" s="50" t="n">
        <x:f>MIN(G196,MAX(0,Inputs!$B$20-O196-F196))</x:f>
        <x:v>0</x:v>
      </x:c>
      <x:c r="Q196" s="50" t="n">
        <x:f>(C196-E196-F196)+(G196-P196)</x:f>
        <x:v>0</x:v>
      </x:c>
    </x:row>
    <x:row r="197">
      <x:c r="A197" s="41" t="n">
        <x:f>IF(B197=1,A196+1,A196)</x:f>
        <x:v>2034</x:v>
      </x:c>
      <x:c r="B197" s="41" t="n">
        <x:f>IF(B196=26,1,B196+1)</x:f>
        <x:v>14</x:v>
      </x:c>
      <x:c r="C197" s="48" t="n">
        <x:f>Inputs!$F$10</x:f>
        <x:v>600</x:v>
      </x:c>
      <x:c r="D197" s="50" t="n">
        <x:f>IF(B197=1,0,D196+E196)</x:f>
        <x:v>7800</x:v>
      </x:c>
      <x:c r="E197" s="50" t="n">
        <x:f>MIN(C197,MAX(0,Inputs!$B$7-D197))</x:f>
        <x:v>200</x:v>
      </x:c>
      <x:c r="F197" s="50" t="n">
        <x:f>MIN(C197-E197,MAX(0,Inputs!$B$20-O197))</x:f>
        <x:v>400</x:v>
      </x:c>
      <x:c r="G197" s="50" t="n">
        <x:f>0</x:f>
        <x:v>0</x:v>
      </x:c>
      <x:c r="H197" s="41" t="n">
        <x:f>0</x:f>
        <x:v>0</x:v>
      </x:c>
      <x:c r="I197" s="50" t="n">
        <x:f>(I196*(1+Inputs!$B$12))+E197</x:f>
        <x:v>128041.34126907626</x:v>
      </x:c>
      <x:c r="J197" s="50" t="n">
        <x:f>(J196*(1+Inputs!$B$12))+F197+P197</x:f>
        <x:v>130219.44926041774</x:v>
      </x:c>
      <x:c r="K197" s="50" t="n">
        <x:f>(K196*(1+Inputs!$B$12))*(1-H197)</x:f>
        <x:v>23112.91375380952</x:v>
      </x:c>
      <x:c r="L197" s="50" t="n">
        <x:f>L196*(1+Inputs!$B$13)+Q197</x:f>
        <x:v>19231.721850413578</x:v>
      </x:c>
      <x:c r="M197" s="50" t="n">
        <x:f>I197+J197+L197</x:f>
        <x:v>277492.5123799076</x:v>
      </x:c>
      <x:c r="N197" s="50" t="n">
        <x:f>F197+P197</x:f>
        <x:v>400</x:v>
      </x:c>
      <x:c r="O197" s="50" t="n">
        <x:f>IF(B197=1,0,O196+F196+P196)</x:f>
        <x:v>3259.9199999999996</x:v>
      </x:c>
      <x:c r="P197" s="50" t="n">
        <x:f>MIN(G197,MAX(0,Inputs!$B$20-O197-F197))</x:f>
        <x:v>0</x:v>
      </x:c>
      <x:c r="Q197" s="50" t="n">
        <x:f>(C197-E197-F197)+(G197-P197)</x:f>
        <x:v>0</x:v>
      </x:c>
    </x:row>
    <x:row r="198">
      <x:c r="A198" s="41" t="n">
        <x:f>IF(B198=1,A197+1,A197)</x:f>
        <x:v>2034</x:v>
      </x:c>
      <x:c r="B198" s="41" t="n">
        <x:f>IF(B197=26,1,B197+1)</x:f>
        <x:v>15</x:v>
      </x:c>
      <x:c r="C198" s="48" t="n">
        <x:f>Inputs!$F$10</x:f>
        <x:v>600</x:v>
      </x:c>
      <x:c r="D198" s="50" t="n">
        <x:f>IF(B198=1,0,D197+E197)</x:f>
        <x:v>8000</x:v>
      </x:c>
      <x:c r="E198" s="50" t="n">
        <x:f>MIN(C198,MAX(0,Inputs!$B$7-D198))</x:f>
        <x:v>0</x:v>
      </x:c>
      <x:c r="F198" s="50" t="n">
        <x:f>MIN(C198-E198,MAX(0,Inputs!$B$20-O198))</x:f>
        <x:v>600</x:v>
      </x:c>
      <x:c r="G198" s="50" t="n">
        <x:f>0</x:f>
        <x:v>0</x:v>
      </x:c>
      <x:c r="H198" s="41" t="n">
        <x:f>0</x:f>
        <x:v>0</x:v>
      </x:c>
      <x:c r="I198" s="50" t="n">
        <x:f>(I197*(1+Inputs!$B$12))+E198</x:f>
        <x:v>128281.8421638879</x:v>
      </x:c>
      <x:c r="J198" s="50" t="n">
        <x:f>(J197*(1+Inputs!$B$12))+F198+P198</x:f>
        <x:v>131064.04130981836</x:v>
      </x:c>
      <x:c r="K198" s="50" t="n">
        <x:f>(K197*(1+Inputs!$B$12))*(1-H198)</x:f>
        <x:v>23156.326891975685</x:v>
      </x:c>
      <x:c r="L198" s="50" t="n">
        <x:f>L197*(1+Inputs!$B$13)+Q198</x:f>
        <x:v>19265.370716369285</x:v>
      </x:c>
      <x:c r="M198" s="50" t="n">
        <x:f>I198+J198+L198</x:f>
        <x:v>278611.25419007556</x:v>
      </x:c>
      <x:c r="N198" s="50" t="n">
        <x:f>F198+P198</x:f>
        <x:v>600</x:v>
      </x:c>
      <x:c r="O198" s="50" t="n">
        <x:f>IF(B198=1,0,O197+F197+P197)</x:f>
        <x:v>3659.9199999999996</x:v>
      </x:c>
      <x:c r="P198" s="50" t="n">
        <x:f>MIN(G198,MAX(0,Inputs!$B$20-O198-F198))</x:f>
        <x:v>0</x:v>
      </x:c>
      <x:c r="Q198" s="50" t="n">
        <x:f>(C198-E198-F198)+(G198-P198)</x:f>
        <x:v>0</x:v>
      </x:c>
    </x:row>
    <x:row r="199">
      <x:c r="A199" s="41" t="n">
        <x:f>IF(B199=1,A198+1,A198)</x:f>
        <x:v>2034</x:v>
      </x:c>
      <x:c r="B199" s="41" t="n">
        <x:f>IF(B198=26,1,B198+1)</x:f>
        <x:v>16</x:v>
      </x:c>
      <x:c r="C199" s="48" t="n">
        <x:f>Inputs!$F$10</x:f>
        <x:v>600</x:v>
      </x:c>
      <x:c r="D199" s="50" t="n">
        <x:f>IF(B199=1,0,D198+E198)</x:f>
        <x:v>8000</x:v>
      </x:c>
      <x:c r="E199" s="50" t="n">
        <x:f>MIN(C199,MAX(0,Inputs!$B$7-D199))</x:f>
        <x:v>0</x:v>
      </x:c>
      <x:c r="F199" s="50" t="n">
        <x:f>MIN(C199-E199,MAX(0,Inputs!$B$20-O199))</x:f>
        <x:v>600</x:v>
      </x:c>
      <x:c r="G199" s="50" t="n">
        <x:f>0</x:f>
        <x:v>0</x:v>
      </x:c>
      <x:c r="H199" s="41" t="n">
        <x:f>0</x:f>
        <x:v>0</x:v>
      </x:c>
      <x:c r="I199" s="50" t="n">
        <x:f>(I198*(1+Inputs!$B$12))+E199</x:f>
        <x:v>128522.79479311462</x:v>
      </x:c>
      <x:c r="J199" s="50" t="n">
        <x:f>(J198*(1+Inputs!$B$12))+F199+P199</x:f>
        <x:v>131910.21976202936</x:v>
      </x:c>
      <x:c r="K199" s="50" t="n">
        <x:f>(K198*(1+Inputs!$B$12))*(1-H199)</x:f>
        <x:v>23199.821573325262</x:v>
      </x:c>
      <x:c r="L199" s="50" t="n">
        <x:f>L198*(1+Inputs!$B$13)+Q199</x:f>
        <x:v>19299.07845620997</x:v>
      </x:c>
      <x:c r="M199" s="50" t="n">
        <x:f>I199+J199+L199</x:f>
        <x:v>279732.0930113539</x:v>
      </x:c>
      <x:c r="N199" s="50" t="n">
        <x:f>F199+P199</x:f>
        <x:v>600</x:v>
      </x:c>
      <x:c r="O199" s="50" t="n">
        <x:f>IF(B199=1,0,O198+F198+P198)</x:f>
        <x:v>4259.92</x:v>
      </x:c>
      <x:c r="P199" s="50" t="n">
        <x:f>MIN(G199,MAX(0,Inputs!$B$20-O199-F199))</x:f>
        <x:v>0</x:v>
      </x:c>
      <x:c r="Q199" s="50" t="n">
        <x:f>(C199-E199-F199)+(G199-P199)</x:f>
        <x:v>0</x:v>
      </x:c>
    </x:row>
    <x:row r="200">
      <x:c r="A200" s="41" t="n">
        <x:f>IF(B200=1,A199+1,A199)</x:f>
        <x:v>2034</x:v>
      </x:c>
      <x:c r="B200" s="41" t="n">
        <x:f>IF(B199=26,1,B199+1)</x:f>
        <x:v>17</x:v>
      </x:c>
      <x:c r="C200" s="48" t="n">
        <x:f>Inputs!$F$10</x:f>
        <x:v>600</x:v>
      </x:c>
      <x:c r="D200" s="50" t="n">
        <x:f>IF(B200=1,0,D199+E199)</x:f>
        <x:v>8000</x:v>
      </x:c>
      <x:c r="E200" s="50" t="n">
        <x:f>MIN(C200,MAX(0,Inputs!$B$7-D200))</x:f>
        <x:v>0</x:v>
      </x:c>
      <x:c r="F200" s="50" t="n">
        <x:f>MIN(C200-E200,MAX(0,Inputs!$B$20-O200))</x:f>
        <x:v>600</x:v>
      </x:c>
      <x:c r="G200" s="50" t="n">
        <x:f>0</x:f>
        <x:v>0</x:v>
      </x:c>
      <x:c r="H200" s="41" t="n">
        <x:f>0</x:f>
        <x:v>0</x:v>
      </x:c>
      <x:c r="I200" s="50" t="n">
        <x:f>(I199*(1+Inputs!$B$12))+E200</x:f>
        <x:v>128764.20000525215</x:v>
      </x:c>
      <x:c r="J200" s="50" t="n">
        <x:f>(J199*(1+Inputs!$B$12))+F200+P200</x:f>
        <x:v>132757.98759680157</x:v>
      </x:c>
      <x:c r="K200" s="50" t="n">
        <x:f>(K199*(1+Inputs!$B$12))*(1-H200)</x:f>
        <x:v>23243.39795102135</x:v>
      </x:c>
      <x:c r="L200" s="50" t="n">
        <x:f>L199*(1+Inputs!$B$13)+Q200</x:f>
        <x:v>19332.845172944577</x:v>
      </x:c>
      <x:c r="M200" s="50" t="n">
        <x:f>I200+J200+L200</x:f>
        <x:v>280855.0327749983</x:v>
      </x:c>
      <x:c r="N200" s="50" t="n">
        <x:f>F200+P200</x:f>
        <x:v>600</x:v>
      </x:c>
      <x:c r="O200" s="50" t="n">
        <x:f>IF(B200=1,0,O199+F199+P199)</x:f>
        <x:v>4859.92</x:v>
      </x:c>
      <x:c r="P200" s="50" t="n">
        <x:f>MIN(G200,MAX(0,Inputs!$B$20-O200-F200))</x:f>
        <x:v>0</x:v>
      </x:c>
      <x:c r="Q200" s="50" t="n">
        <x:f>(C200-E200-F200)+(G200-P200)</x:f>
        <x:v>0</x:v>
      </x:c>
    </x:row>
    <x:row r="201">
      <x:c r="A201" s="41" t="n">
        <x:f>IF(B201=1,A200+1,A200)</x:f>
        <x:v>2034</x:v>
      </x:c>
      <x:c r="B201" s="41" t="n">
        <x:f>IF(B200=26,1,B200+1)</x:f>
        <x:v>18</x:v>
      </x:c>
      <x:c r="C201" s="48" t="n">
        <x:f>Inputs!$F$10</x:f>
        <x:v>600</x:v>
      </x:c>
      <x:c r="D201" s="50" t="n">
        <x:f>IF(B201=1,0,D200+E200)</x:f>
        <x:v>8000</x:v>
      </x:c>
      <x:c r="E201" s="50" t="n">
        <x:f>MIN(C201,MAX(0,Inputs!$B$7-D201))</x:f>
        <x:v>0</x:v>
      </x:c>
      <x:c r="F201" s="50" t="n">
        <x:f>MIN(C201-E201,MAX(0,Inputs!$B$20-O201))</x:f>
        <x:v>600</x:v>
      </x:c>
      <x:c r="G201" s="50" t="n">
        <x:f>0</x:f>
        <x:v>0</x:v>
      </x:c>
      <x:c r="H201" s="41" t="n">
        <x:f>0</x:f>
        <x:v>0</x:v>
      </x:c>
      <x:c r="I201" s="50" t="n">
        <x:f>(I200*(1+Inputs!$B$12))+E201</x:f>
        <x:v>129006.05865038995</x:v>
      </x:c>
      <x:c r="J201" s="50" t="n">
        <x:f>(J200*(1+Inputs!$B$12))+F201+P201</x:f>
        <x:v>133607.34779948273</x:v>
      </x:c>
      <x:c r="K201" s="50" t="n">
        <x:f>(K200*(1+Inputs!$B$12))*(1-H201)</x:f>
        <x:v>23287.056178514737</x:v>
      </x:c>
      <x:c r="L201" s="50" t="n">
        <x:f>L200*(1+Inputs!$B$13)+Q201</x:f>
        <x:v>19366.67096976229</x:v>
      </x:c>
      <x:c r="M201" s="50" t="n">
        <x:f>I201+J201+L201</x:f>
        <x:v>281980.07741963497</x:v>
      </x:c>
      <x:c r="N201" s="50" t="n">
        <x:f>F201+P201</x:f>
        <x:v>600</x:v>
      </x:c>
      <x:c r="O201" s="50" t="n">
        <x:f>IF(B201=1,0,O200+F200+P200)</x:f>
        <x:v>5459.92</x:v>
      </x:c>
      <x:c r="P201" s="50" t="n">
        <x:f>MIN(G201,MAX(0,Inputs!$B$20-O201-F201))</x:f>
        <x:v>0</x:v>
      </x:c>
      <x:c r="Q201" s="50" t="n">
        <x:f>(C201-E201-F201)+(G201-P201)</x:f>
        <x:v>0</x:v>
      </x:c>
    </x:row>
    <x:row r="202">
      <x:c r="A202" s="41" t="n">
        <x:f>IF(B202=1,A201+1,A201)</x:f>
        <x:v>2034</x:v>
      </x:c>
      <x:c r="B202" s="41" t="n">
        <x:f>IF(B201=26,1,B201+1)</x:f>
        <x:v>19</x:v>
      </x:c>
      <x:c r="C202" s="48" t="n">
        <x:f>Inputs!$F$10</x:f>
        <x:v>600</x:v>
      </x:c>
      <x:c r="D202" s="50" t="n">
        <x:f>IF(B202=1,0,D201+E201)</x:f>
        <x:v>8000</x:v>
      </x:c>
      <x:c r="E202" s="50" t="n">
        <x:f>MIN(C202,MAX(0,Inputs!$B$7-D202))</x:f>
        <x:v>0</x:v>
      </x:c>
      <x:c r="F202" s="50" t="n">
        <x:f>MIN(C202-E202,MAX(0,Inputs!$B$20-O202))</x:f>
        <x:v>600</x:v>
      </x:c>
      <x:c r="G202" s="50" t="n">
        <x:f>0</x:f>
        <x:v>0</x:v>
      </x:c>
      <x:c r="H202" s="41" t="n">
        <x:f>0</x:f>
        <x:v>0</x:v>
      </x:c>
      <x:c r="I202" s="50" t="n">
        <x:f>(I201*(1+Inputs!$B$12))+E202</x:f>
        <x:v>129248.37158021424</x:v>
      </x:c>
      <x:c r="J202" s="50" t="n">
        <x:f>(J201*(1+Inputs!$B$12))+F202+P202</x:f>
        <x:v>134458.30336102794</x:v>
      </x:c>
      <x:c r="K202" s="50" t="n">
        <x:f>(K201*(1+Inputs!$B$12))*(1-H202)</x:f>
        <x:v>23330.796409544433</x:v>
      </x:c>
      <x:c r="L202" s="50" t="n">
        <x:f>L201*(1+Inputs!$B$13)+Q202</x:f>
        <x:v>19400.555950032835</x:v>
      </x:c>
      <x:c r="M202" s="50" t="n">
        <x:f>I202+J202+L202</x:f>
        <x:v>283107.23089127504</x:v>
      </x:c>
      <x:c r="N202" s="50" t="n">
        <x:f>F202+P202</x:f>
        <x:v>600</x:v>
      </x:c>
      <x:c r="O202" s="50" t="n">
        <x:f>IF(B202=1,0,O201+F201+P201)</x:f>
        <x:v>6059.92</x:v>
      </x:c>
      <x:c r="P202" s="50" t="n">
        <x:f>MIN(G202,MAX(0,Inputs!$B$20-O202-F202))</x:f>
        <x:v>0</x:v>
      </x:c>
      <x:c r="Q202" s="50" t="n">
        <x:f>(C202-E202-F202)+(G202-P202)</x:f>
        <x:v>0</x:v>
      </x:c>
    </x:row>
    <x:row r="203">
      <x:c r="A203" s="41" t="n">
        <x:f>IF(B203=1,A202+1,A202)</x:f>
        <x:v>2034</x:v>
      </x:c>
      <x:c r="B203" s="41" t="n">
        <x:f>IF(B202=26,1,B202+1)</x:f>
        <x:v>20</x:v>
      </x:c>
      <x:c r="C203" s="48" t="n">
        <x:f>Inputs!$F$10</x:f>
        <x:v>600</x:v>
      </x:c>
      <x:c r="D203" s="50" t="n">
        <x:f>IF(B203=1,0,D202+E202)</x:f>
        <x:v>8000</x:v>
      </x:c>
      <x:c r="E203" s="50" t="n">
        <x:f>MIN(C203,MAX(0,Inputs!$B$7-D203))</x:f>
        <x:v>0</x:v>
      </x:c>
      <x:c r="F203" s="50" t="n">
        <x:f>MIN(C203-E203,MAX(0,Inputs!$B$20-O203))</x:f>
        <x:v>600</x:v>
      </x:c>
      <x:c r="G203" s="50" t="n">
        <x:f>0</x:f>
        <x:v>0</x:v>
      </x:c>
      <x:c r="H203" s="41" t="n">
        <x:f>0</x:f>
        <x:v>0</x:v>
      </x:c>
      <x:c r="I203" s="50" t="n">
        <x:f>(I202*(1+Inputs!$B$12))+E203</x:f>
        <x:v>129491.13964801091</x:v>
      </x:c>
      <x:c r="J203" s="50" t="n">
        <x:f>(J202*(1+Inputs!$B$12))+F203+P203</x:f>
        <x:v>135310.8572780103</x:v>
      </x:c>
      <x:c r="K203" s="50" t="n">
        <x:f>(K202*(1+Inputs!$B$12))*(1-H203)</x:f>
        <x:v>23374.61879813822</x:v>
      </x:c>
      <x:c r="L203" s="50" t="n">
        <x:f>L202*(1+Inputs!$B$13)+Q203</x:f>
        <x:v>19434.500217306795</x:v>
      </x:c>
      <x:c r="M203" s="50" t="n">
        <x:f>I203+J203+L203</x:f>
        <x:v>284236.497143328</x:v>
      </x:c>
      <x:c r="N203" s="50" t="n">
        <x:f>F203+P203</x:f>
        <x:v>600</x:v>
      </x:c>
      <x:c r="O203" s="50" t="n">
        <x:f>IF(B203=1,0,O202+F202+P202)</x:f>
        <x:v>6659.92</x:v>
      </x:c>
      <x:c r="P203" s="50" t="n">
        <x:f>MIN(G203,MAX(0,Inputs!$B$20-O203-F203))</x:f>
        <x:v>0</x:v>
      </x:c>
      <x:c r="Q203" s="50" t="n">
        <x:f>(C203-E203-F203)+(G203-P203)</x:f>
        <x:v>0</x:v>
      </x:c>
    </x:row>
    <x:row r="204">
      <x:c r="A204" s="41" t="n">
        <x:f>IF(B204=1,A203+1,A203)</x:f>
        <x:v>2034</x:v>
      </x:c>
      <x:c r="B204" s="41" t="n">
        <x:f>IF(B203=26,1,B203+1)</x:f>
        <x:v>21</x:v>
      </x:c>
      <x:c r="C204" s="48" t="n">
        <x:f>Inputs!$F$10</x:f>
        <x:v>600</x:v>
      </x:c>
      <x:c r="D204" s="50" t="n">
        <x:f>IF(B204=1,0,D203+E203)</x:f>
        <x:v>8000</x:v>
      </x:c>
      <x:c r="E204" s="50" t="n">
        <x:f>MIN(C204,MAX(0,Inputs!$B$7-D204))</x:f>
        <x:v>0</x:v>
      </x:c>
      <x:c r="F204" s="50" t="n">
        <x:f>MIN(C204-E204,MAX(0,Inputs!$B$20-O204))</x:f>
        <x:v>600</x:v>
      </x:c>
      <x:c r="G204" s="50" t="n">
        <x:f>0</x:f>
        <x:v>0</x:v>
      </x:c>
      <x:c r="H204" s="41" t="n">
        <x:f>0</x:f>
        <x:v>0</x:v>
      </x:c>
      <x:c r="I204" s="50" t="n">
        <x:f>(I203*(1+Inputs!$B$12))+E204</x:f>
        <x:v>129734.36370866862</x:v>
      </x:c>
      <x:c r="J204" s="50" t="n">
        <x:f>(J203*(1+Inputs!$B$12))+F204+P204</x:f>
        <x:v>136165.01255263138</x:v>
      </x:c>
      <x:c r="K204" s="50" t="n">
        <x:f>(K203*(1+Inputs!$B$12))*(1-H204)</x:f>
        <x:v>23418.523498613198</x:v>
      </x:c>
      <x:c r="L204" s="50" t="n">
        <x:f>L203*(1+Inputs!$B$13)+Q204</x:f>
        <x:v>19468.503875315935</x:v>
      </x:c>
      <x:c r="M204" s="50" t="n">
        <x:f>I204+J204+L204</x:f>
        <x:v>285367.88013661595</x:v>
      </x:c>
      <x:c r="N204" s="50" t="n">
        <x:f>F204+P204</x:f>
        <x:v>600</x:v>
      </x:c>
      <x:c r="O204" s="50" t="n">
        <x:f>IF(B204=1,0,O203+F203+P203)</x:f>
        <x:v>7259.92</x:v>
      </x:c>
      <x:c r="P204" s="50" t="n">
        <x:f>MIN(G204,MAX(0,Inputs!$B$20-O204-F204))</x:f>
        <x:v>0</x:v>
      </x:c>
      <x:c r="Q204" s="50" t="n">
        <x:f>(C204-E204-F204)+(G204-P204)</x:f>
        <x:v>0</x:v>
      </x:c>
    </x:row>
    <x:row r="205">
      <x:c r="A205" s="41" t="n">
        <x:f>IF(B205=1,A204+1,A204)</x:f>
        <x:v>2034</x:v>
      </x:c>
      <x:c r="B205" s="41" t="n">
        <x:f>IF(B204=26,1,B204+1)</x:f>
        <x:v>22</x:v>
      </x:c>
      <x:c r="C205" s="48" t="n">
        <x:f>Inputs!$F$10</x:f>
        <x:v>600</x:v>
      </x:c>
      <x:c r="D205" s="50" t="n">
        <x:f>IF(B205=1,0,D204+E204)</x:f>
        <x:v>8000</x:v>
      </x:c>
      <x:c r="E205" s="50" t="n">
        <x:f>MIN(C205,MAX(0,Inputs!$B$7-D205))</x:f>
        <x:v>0</x:v>
      </x:c>
      <x:c r="F205" s="50" t="n">
        <x:f>MIN(C205-E205,MAX(0,Inputs!$B$20-O205))</x:f>
        <x:v>600</x:v>
      </x:c>
      <x:c r="G205" s="50" t="n">
        <x:f>0</x:f>
        <x:v>0</x:v>
      </x:c>
      <x:c r="H205" s="41" t="n">
        <x:f>0</x:f>
        <x:v>0</x:v>
      </x:c>
      <x:c r="I205" s="50" t="n">
        <x:f>(I204*(1+Inputs!$B$12))+E205</x:f>
        <x:v>129978.04461868177</x:v>
      </x:c>
      <x:c r="J205" s="50" t="n">
        <x:f>(J204*(1+Inputs!$B$12))+F205+P205</x:f>
        <x:v>137020.77219273173</x:v>
      </x:c>
      <x:c r="K205" s="50" t="n">
        <x:f>(K204*(1+Inputs!$B$12))*(1-H205)</x:f>
        <x:v>23462.510665576312</x:v>
      </x:c>
      <x:c r="L205" s="50" t="n">
        <x:f>L204*(1+Inputs!$B$13)+Q205</x:f>
        <x:v>19502.567027973513</x:v>
      </x:c>
      <x:c r="M205" s="50" t="n">
        <x:f>I205+J205+L205</x:f>
        <x:v>286501.38383938704</x:v>
      </x:c>
      <x:c r="N205" s="50" t="n">
        <x:f>F205+P205</x:f>
        <x:v>600</x:v>
      </x:c>
      <x:c r="O205" s="50" t="n">
        <x:f>IF(B205=1,0,O204+F204+P204)</x:f>
        <x:v>7859.92</x:v>
      </x:c>
      <x:c r="P205" s="50" t="n">
        <x:f>MIN(G205,MAX(0,Inputs!$B$20-O205-F205))</x:f>
        <x:v>0</x:v>
      </x:c>
      <x:c r="Q205" s="50" t="n">
        <x:f>(C205-E205-F205)+(G205-P205)</x:f>
        <x:v>0</x:v>
      </x:c>
    </x:row>
    <x:row r="206">
      <x:c r="A206" s="41" t="n">
        <x:f>IF(B206=1,A205+1,A205)</x:f>
        <x:v>2034</x:v>
      </x:c>
      <x:c r="B206" s="41" t="n">
        <x:f>IF(B205=26,1,B205+1)</x:f>
        <x:v>23</x:v>
      </x:c>
      <x:c r="C206" s="48" t="n">
        <x:f>Inputs!$F$10</x:f>
        <x:v>600</x:v>
      </x:c>
      <x:c r="D206" s="50" t="n">
        <x:f>IF(B206=1,0,D205+E205)</x:f>
        <x:v>8000</x:v>
      </x:c>
      <x:c r="E206" s="50" t="n">
        <x:f>MIN(C206,MAX(0,Inputs!$B$7-D206))</x:f>
        <x:v>0</x:v>
      </x:c>
      <x:c r="F206" s="50" t="n">
        <x:f>MIN(C206-E206,MAX(0,Inputs!$B$20-O206))</x:f>
        <x:v>600</x:v>
      </x:c>
      <x:c r="G206" s="50" t="n">
        <x:f>0</x:f>
        <x:v>0</x:v>
      </x:c>
      <x:c r="H206" s="41" t="n">
        <x:f>0</x:f>
        <x:v>0</x:v>
      </x:c>
      <x:c r="I206" s="50" t="n">
        <x:f>(I205*(1+Inputs!$B$12))+E206</x:f>
        <x:v>130222.1832361535</x:v>
      </x:c>
      <x:c r="J206" s="50" t="n">
        <x:f>(J205*(1+Inputs!$B$12))+F206+P206</x:f>
        <x:v>137878.1392118016</x:v>
      </x:c>
      <x:c r="K206" s="50" t="n">
        <x:f>(K205*(1+Inputs!$B$12))*(1-H206)</x:f>
        <x:v>23506.580453924907</x:v>
      </x:c>
      <x:c r="L206" s="50" t="n">
        <x:f>L205*(1+Inputs!$B$13)+Q206</x:f>
        <x:v>19536.6897793746</x:v>
      </x:c>
      <x:c r="M206" s="50" t="n">
        <x:f>I206+J206+L206</x:f>
        <x:v>287637.0122273297</x:v>
      </x:c>
      <x:c r="N206" s="50" t="n">
        <x:f>F206+P206</x:f>
        <x:v>600</x:v>
      </x:c>
      <x:c r="O206" s="50" t="n">
        <x:f>IF(B206=1,0,O205+F205+P205)</x:f>
        <x:v>8459.92</x:v>
      </x:c>
      <x:c r="P206" s="50" t="n">
        <x:f>MIN(G206,MAX(0,Inputs!$B$20-O206-F206))</x:f>
        <x:v>0</x:v>
      </x:c>
      <x:c r="Q206" s="50" t="n">
        <x:f>(C206-E206-F206)+(G206-P206)</x:f>
        <x:v>0</x:v>
      </x:c>
    </x:row>
    <x:row r="207">
      <x:c r="A207" s="41" t="n">
        <x:f>IF(B207=1,A206+1,A206)</x:f>
        <x:v>2034</x:v>
      </x:c>
      <x:c r="B207" s="41" t="n">
        <x:f>IF(B206=26,1,B206+1)</x:f>
        <x:v>24</x:v>
      </x:c>
      <x:c r="C207" s="48" t="n">
        <x:f>Inputs!$F$10</x:f>
        <x:v>600</x:v>
      </x:c>
      <x:c r="D207" s="50" t="n">
        <x:f>IF(B207=1,0,D206+E206)</x:f>
        <x:v>8000</x:v>
      </x:c>
      <x:c r="E207" s="50" t="n">
        <x:f>MIN(C207,MAX(0,Inputs!$B$7-D207))</x:f>
        <x:v>0</x:v>
      </x:c>
      <x:c r="F207" s="50" t="n">
        <x:f>MIN(C207-E207,MAX(0,Inputs!$B$20-O207))</x:f>
        <x:v>600</x:v>
      </x:c>
      <x:c r="G207" s="50" t="n">
        <x:f>0</x:f>
        <x:v>0</x:v>
      </x:c>
      <x:c r="H207" s="41" t="n">
        <x:f>0</x:f>
        <x:v>0</x:v>
      </x:c>
      <x:c r="I207" s="50" t="n">
        <x:f>(I206*(1+Inputs!$B$12))+E207</x:f>
        <x:v>130466.78042079876</x:v>
      </x:c>
      <x:c r="J207" s="50" t="n">
        <x:f>(J206*(1+Inputs!$B$12))+F207+P207</x:f>
        <x:v>138737.11662899156</x:v>
      </x:c>
      <x:c r="K207" s="50" t="n">
        <x:f>(K206*(1+Inputs!$B$12))*(1-H207)</x:f>
        <x:v>23550.73301884728</x:v>
      </x:c>
      <x:c r="L207" s="50" t="n">
        <x:f>L206*(1+Inputs!$B$13)+Q207</x:f>
        <x:v>19570.872233796395</x:v>
      </x:c>
      <x:c r="M207" s="50" t="n">
        <x:f>I207+J207+L207</x:f>
        <x:v>288774.7692835867</x:v>
      </x:c>
      <x:c r="N207" s="50" t="n">
        <x:f>F207+P207</x:f>
        <x:v>600</x:v>
      </x:c>
      <x:c r="O207" s="50" t="n">
        <x:f>IF(B207=1,0,O206+F206+P206)</x:f>
        <x:v>9059.92</x:v>
      </x:c>
      <x:c r="P207" s="50" t="n">
        <x:f>MIN(G207,MAX(0,Inputs!$B$20-O207-F207))</x:f>
        <x:v>0</x:v>
      </x:c>
      <x:c r="Q207" s="50" t="n">
        <x:f>(C207-E207-F207)+(G207-P207)</x:f>
        <x:v>0</x:v>
      </x:c>
    </x:row>
    <x:row r="208">
      <x:c r="A208" s="41" t="n">
        <x:f>IF(B208=1,A207+1,A207)</x:f>
        <x:v>2034</x:v>
      </x:c>
      <x:c r="B208" s="41" t="n">
        <x:f>IF(B207=26,1,B207+1)</x:f>
        <x:v>25</x:v>
      </x:c>
      <x:c r="C208" s="48" t="n">
        <x:f>Inputs!$F$10</x:f>
        <x:v>600</x:v>
      </x:c>
      <x:c r="D208" s="50" t="n">
        <x:f>IF(B208=1,0,D207+E207)</x:f>
        <x:v>8000</x:v>
      </x:c>
      <x:c r="E208" s="50" t="n">
        <x:f>MIN(C208,MAX(0,Inputs!$B$7-D208))</x:f>
        <x:v>0</x:v>
      </x:c>
      <x:c r="F208" s="50" t="n">
        <x:f>MIN(C208-E208,MAX(0,Inputs!$B$20-O208))</x:f>
        <x:v>600</x:v>
      </x:c>
      <x:c r="G208" s="50" t="n">
        <x:f>0</x:f>
        <x:v>0</x:v>
      </x:c>
      <x:c r="H208" s="41" t="n">
        <x:f>0</x:f>
        <x:v>0</x:v>
      </x:c>
      <x:c r="I208" s="50" t="n">
        <x:f>(I207*(1+Inputs!$B$12))+E208</x:f>
        <x:v>130711.83703394729</x:v>
      </x:c>
      <x:c r="J208" s="50" t="n">
        <x:f>(J207*(1+Inputs!$B$12))+F208+P208</x:f>
        <x:v>139597.70746912295</x:v>
      </x:c>
      <x:c r="K208" s="50" t="n">
        <x:f>(K207*(1+Inputs!$B$12))*(1-H208)</x:f>
        <x:v>23594.968515823213</x:v>
      </x:c>
      <x:c r="L208" s="50" t="n">
        <x:f>L207*(1+Inputs!$B$13)+Q208</x:f>
        <x:v>19605.11449569855</x:v>
      </x:c>
      <x:c r="M208" s="50" t="n">
        <x:f>I208+J208+L208</x:f>
        <x:v>289914.6589987688</x:v>
      </x:c>
      <x:c r="N208" s="50" t="n">
        <x:f>F208+P208</x:f>
        <x:v>600</x:v>
      </x:c>
      <x:c r="O208" s="50" t="n">
        <x:f>IF(B208=1,0,O207+F207+P207)</x:f>
        <x:v>9659.92</x:v>
      </x:c>
      <x:c r="P208" s="50" t="n">
        <x:f>MIN(G208,MAX(0,Inputs!$B$20-O208-F208))</x:f>
        <x:v>0</x:v>
      </x:c>
      <x:c r="Q208" s="50" t="n">
        <x:f>(C208-E208-F208)+(G208-P208)</x:f>
        <x:v>0</x:v>
      </x:c>
    </x:row>
    <x:row r="209">
      <x:c r="A209" s="41" t="n">
        <x:f>IF(B209=1,A208+1,A208)</x:f>
        <x:v>2034</x:v>
      </x:c>
      <x:c r="B209" s="41" t="n">
        <x:f>IF(B208=26,1,B208+1)</x:f>
        <x:v>26</x:v>
      </x:c>
      <x:c r="C209" s="48" t="n">
        <x:f>Inputs!$F$10</x:f>
        <x:v>600</x:v>
      </x:c>
      <x:c r="D209" s="50" t="n">
        <x:f>IF(B209=1,0,D208+E208)</x:f>
        <x:v>8000</x:v>
      </x:c>
      <x:c r="E209" s="50" t="n">
        <x:f>MIN(C209,MAX(0,Inputs!$B$7-D209))</x:f>
        <x:v>0</x:v>
      </x:c>
      <x:c r="F209" s="50" t="n">
        <x:f>MIN(C209-E209,MAX(0,Inputs!$B$20-O209))</x:f>
        <x:v>600</x:v>
      </x:c>
      <x:c r="G209" s="50" t="n">
        <x:f>0</x:f>
        <x:v>0</x:v>
      </x:c>
      <x:c r="H209" s="41" t="n">
        <x:f>IF(A209=Inputs!$B$8,1,0)</x:f>
        <x:v>1</x:v>
      </x:c>
      <x:c r="I209" s="50" t="n">
        <x:f>(I208*(1+Inputs!$B$12))+E209</x:f>
        <x:v>130957.35393854667</x:v>
      </x:c>
      <x:c r="J209" s="50" t="n">
        <x:f>(J208*(1+Inputs!$B$12))+F209+P209</x:f>
        <x:v>140459.91476269873</x:v>
      </x:c>
      <x:c r="K209" s="50" t="n">
        <x:f>(K208*(1+Inputs!$B$12))*(1-H209)</x:f>
        <x:v>0</x:v>
      </x:c>
      <x:c r="L209" s="50" t="n">
        <x:f>L208*(1+Inputs!$B$13)+Q209</x:f>
        <x:v>19639.41666972349</x:v>
      </x:c>
      <x:c r="M209" s="50" t="n">
        <x:f>I209+J209+L209</x:f>
        <x:v>291056.6853709689</x:v>
      </x:c>
      <x:c r="N209" s="50" t="n">
        <x:f>F209+P209</x:f>
        <x:v>600</x:v>
      </x:c>
      <x:c r="O209" s="50" t="n">
        <x:f>IF(B209=1,0,O208+F208+P208)</x:f>
        <x:v>10259.92</x:v>
      </x:c>
      <x:c r="P209" s="50" t="n">
        <x:f>MIN(G209,MAX(0,Inputs!$B$20-O209-F209))</x:f>
        <x:v>0</x:v>
      </x:c>
      <x:c r="Q209" s="50" t="n">
        <x:f>(C209-E209-F209)+(G209-P209)</x:f>
        <x:v>0</x:v>
      </x:c>
    </x:row>
    <x:row r="210">
      <x:c r="A210" s="41" t="n">
        <x:f>IF(B210=1,A209+1,A209)</x:f>
        <x:v>2035</x:v>
      </x:c>
      <x:c r="B210" s="41" t="n">
        <x:f>IF(B209=26,1,B209+1)</x:f>
        <x:v>1</x:v>
      </x:c>
      <x:c r="C210" s="48" t="n">
        <x:f>Inputs!$F$11</x:f>
        <x:v>600</x:v>
      </x:c>
      <x:c r="D210" s="50" t="n">
        <x:f>IF(B210=1,0,D209+E209)</x:f>
        <x:v>0</x:v>
      </x:c>
      <x:c r="E210" s="50" t="n">
        <x:f>MIN(C210,MAX(0,Inputs!$B$7-D210))</x:f>
        <x:v>600</x:v>
      </x:c>
      <x:c r="F210" s="50" t="n">
        <x:f>MIN(C210-E210,MAX(0,Inputs!$B$20-O210))</x:f>
        <x:v>0</x:v>
      </x:c>
      <x:c r="G210" s="50" t="n">
        <x:f>0</x:f>
        <x:v>0</x:v>
      </x:c>
      <x:c r="H210" s="41" t="n">
        <x:f>0</x:f>
        <x:v>0</x:v>
      </x:c>
      <x:c r="I210" s="50" t="n">
        <x:f>(I209*(1+Inputs!$B$12))+E210</x:f>
        <x:v>131803.33199916536</x:v>
      </x:c>
      <x:c r="J210" s="50" t="n">
        <x:f>(J209*(1+Inputs!$B$12))+F210+P210</x:f>
        <x:v>140723.74154591403</x:v>
      </x:c>
      <x:c r="K210" s="50" t="n">
        <x:f>(K209*(1+Inputs!$B$12))*(1-H210)</x:f>
        <x:v>0</x:v>
      </x:c>
      <x:c r="L210" s="50" t="n">
        <x:f>L209*(1+Inputs!$B$13)+Q210</x:f>
        <x:v>19673.778860696715</x:v>
      </x:c>
      <x:c r="M210" s="50" t="n">
        <x:f>I210+J210+L210</x:f>
        <x:v>292200.8524057761</x:v>
      </x:c>
      <x:c r="N210" s="50" t="n">
        <x:f>F210+P210</x:f>
        <x:v>0</x:v>
      </x:c>
      <x:c r="O210" s="50" t="n">
        <x:f>IF(B210=1,0,O209+F209+P209)</x:f>
        <x:v>0</x:v>
      </x:c>
      <x:c r="P210" s="50" t="n">
        <x:f>MIN(G210,MAX(0,Inputs!$B$20-O210-F210))</x:f>
        <x:v>0</x:v>
      </x:c>
      <x:c r="Q210" s="50" t="n">
        <x:f>(C210-E210-F210)+(G210-P210)</x:f>
        <x:v>0</x:v>
      </x:c>
    </x:row>
    <x:row r="211">
      <x:c r="A211" s="41" t="n">
        <x:f>IF(B211=1,A210+1,A210)</x:f>
        <x:v>2035</x:v>
      </x:c>
      <x:c r="B211" s="41" t="n">
        <x:f>IF(B210=26,1,B210+1)</x:f>
        <x:v>2</x:v>
      </x:c>
      <x:c r="C211" s="48" t="n">
        <x:f>Inputs!$F$11</x:f>
        <x:v>600</x:v>
      </x:c>
      <x:c r="D211" s="50" t="n">
        <x:f>IF(B211=1,0,D210+E210)</x:f>
        <x:v>600</x:v>
      </x:c>
      <x:c r="E211" s="50" t="n">
        <x:f>MIN(C211,MAX(0,Inputs!$B$7-D211))</x:f>
        <x:v>600</x:v>
      </x:c>
      <x:c r="F211" s="50" t="n">
        <x:f>MIN(C211-E211,MAX(0,Inputs!$B$20-O211))</x:f>
        <x:v>0</x:v>
      </x:c>
      <x:c r="G211" s="50" t="n">
        <x:f>0</x:f>
        <x:v>0</x:v>
      </x:c>
      <x:c r="H211" s="41" t="n">
        <x:f>0</x:f>
        <x:v>0</x:v>
      </x:c>
      <x:c r="I211" s="50" t="n">
        <x:f>(I210*(1+Inputs!$B$12))+E211</x:f>
        <x:v>132650.8990659484</x:v>
      </x:c>
      <x:c r="J211" s="50" t="n">
        <x:f>(J210*(1+Inputs!$B$12))+F211+P211</x:f>
        <x:v>140988.0638767143</x:v>
      </x:c>
      <x:c r="K211" s="50" t="n">
        <x:f>(K210*(1+Inputs!$B$12))*(1-H211)</x:f>
        <x:v>0</x:v>
      </x:c>
      <x:c r="L211" s="50" t="n">
        <x:f>L210*(1+Inputs!$B$13)+Q211</x:f>
        <x:v>19708.20117362714</x:v>
      </x:c>
      <x:c r="M211" s="50" t="n">
        <x:f>I211+J211+L211</x:f>
        <x:v>293347.1641162899</x:v>
      </x:c>
      <x:c r="N211" s="50" t="n">
        <x:f>F211+P211</x:f>
        <x:v>0</x:v>
      </x:c>
      <x:c r="O211" s="50" t="n">
        <x:f>IF(B211=1,0,O210+F210+P210)</x:f>
        <x:v>0</x:v>
      </x:c>
      <x:c r="P211" s="50" t="n">
        <x:f>MIN(G211,MAX(0,Inputs!$B$20-O211-F211))</x:f>
        <x:v>0</x:v>
      </x:c>
      <x:c r="Q211" s="50" t="n">
        <x:f>(C211-E211-F211)+(G211-P211)</x:f>
        <x:v>0</x:v>
      </x:c>
    </x:row>
    <x:row r="212">
      <x:c r="A212" s="41" t="n">
        <x:f>IF(B212=1,A211+1,A211)</x:f>
        <x:v>2035</x:v>
      </x:c>
      <x:c r="B212" s="41" t="n">
        <x:f>IF(B211=26,1,B211+1)</x:f>
        <x:v>3</x:v>
      </x:c>
      <x:c r="C212" s="48" t="n">
        <x:f>Inputs!$F$11</x:f>
        <x:v>600</x:v>
      </x:c>
      <x:c r="D212" s="50" t="n">
        <x:f>IF(B212=1,0,D211+E211)</x:f>
        <x:v>1200</x:v>
      </x:c>
      <x:c r="E212" s="50" t="n">
        <x:f>MIN(C212,MAX(0,Inputs!$B$7-D212))</x:f>
        <x:v>600</x:v>
      </x:c>
      <x:c r="F212" s="50" t="n">
        <x:f>MIN(C212-E212,MAX(0,Inputs!$B$20-O212))</x:f>
        <x:v>0</x:v>
      </x:c>
      <x:c r="G212" s="50" t="n">
        <x:f>0</x:f>
        <x:v>0</x:v>
      </x:c>
      <x:c r="H212" s="41" t="n">
        <x:f>0</x:f>
        <x:v>0</x:v>
      </x:c>
      <x:c r="I212" s="50" t="n">
        <x:f>(I211*(1+Inputs!$B$12))+E212</x:f>
        <x:v>133500.05812353658</x:v>
      </x:c>
      <x:c r="J212" s="50" t="n">
        <x:f>(J211*(1+Inputs!$B$12))+F212+P212</x:f>
        <x:v>141252.88268588978</x:v>
      </x:c>
      <x:c r="K212" s="50" t="n">
        <x:f>(K211*(1+Inputs!$B$12))*(1-H212)</x:f>
        <x:v>0</x:v>
      </x:c>
      <x:c r="L212" s="50" t="n">
        <x:f>L211*(1+Inputs!$B$13)+Q212</x:f>
        <x:v>19742.683713707414</x:v>
      </x:c>
      <x:c r="M212" s="50" t="n">
        <x:f>I212+J212+L212</x:f>
        <x:v>294495.6245231338</x:v>
      </x:c>
      <x:c r="N212" s="50" t="n">
        <x:f>F212+P212</x:f>
        <x:v>0</x:v>
      </x:c>
      <x:c r="O212" s="50" t="n">
        <x:f>IF(B212=1,0,O211+F211+P211)</x:f>
        <x:v>0</x:v>
      </x:c>
      <x:c r="P212" s="50" t="n">
        <x:f>MIN(G212,MAX(0,Inputs!$B$20-O212-F212))</x:f>
        <x:v>0</x:v>
      </x:c>
      <x:c r="Q212" s="50" t="n">
        <x:f>(C212-E212-F212)+(G212-P212)</x:f>
        <x:v>0</x:v>
      </x:c>
    </x:row>
    <x:row r="213">
      <x:c r="A213" s="41" t="n">
        <x:f>IF(B213=1,A212+1,A212)</x:f>
        <x:v>2035</x:v>
      </x:c>
      <x:c r="B213" s="41" t="n">
        <x:f>IF(B212=26,1,B212+1)</x:f>
        <x:v>4</x:v>
      </x:c>
      <x:c r="C213" s="48" t="n">
        <x:f>Inputs!$F$11</x:f>
        <x:v>600</x:v>
      </x:c>
      <x:c r="D213" s="50" t="n">
        <x:f>IF(B213=1,0,D212+E212)</x:f>
        <x:v>1800</x:v>
      </x:c>
      <x:c r="E213" s="50" t="n">
        <x:f>MIN(C213,MAX(0,Inputs!$B$7-D213))</x:f>
        <x:v>600</x:v>
      </x:c>
      <x:c r="F213" s="50" t="n">
        <x:f>MIN(C213-E213,MAX(0,Inputs!$B$20-O213))</x:f>
        <x:v>0</x:v>
      </x:c>
      <x:c r="G213" s="50" t="n">
        <x:f>0</x:f>
        <x:v>0</x:v>
      </x:c>
      <x:c r="H213" s="41" t="n">
        <x:f>0</x:f>
        <x:v>0</x:v>
      </x:c>
      <x:c r="I213" s="50" t="n">
        <x:f>(I212*(1+Inputs!$B$12))+E213</x:f>
        <x:v>134350.81216217668</x:v>
      </x:c>
      <x:c r="J213" s="50" t="n">
        <x:f>(J212*(1+Inputs!$B$12))+F213+P213</x:f>
        <x:v>141518.1989059791</x:v>
      </x:c>
      <x:c r="K213" s="50" t="n">
        <x:f>(K212*(1+Inputs!$B$12))*(1-H213)</x:f>
        <x:v>0</x:v>
      </x:c>
      <x:c r="L213" s="50" t="n">
        <x:f>L212*(1+Inputs!$B$13)+Q213</x:f>
        <x:v>19777.226586314227</x:v>
      </x:c>
      <x:c r="M213" s="50" t="n">
        <x:f>I213+J213+L213</x:f>
        <x:v>295646.23765446997</x:v>
      </x:c>
      <x:c r="N213" s="50" t="n">
        <x:f>F213+P213</x:f>
        <x:v>0</x:v>
      </x:c>
      <x:c r="O213" s="50" t="n">
        <x:f>IF(B213=1,0,O212+F212+P212)</x:f>
        <x:v>0</x:v>
      </x:c>
      <x:c r="P213" s="50" t="n">
        <x:f>MIN(G213,MAX(0,Inputs!$B$20-O213-F213))</x:f>
        <x:v>0</x:v>
      </x:c>
      <x:c r="Q213" s="50" t="n">
        <x:f>(C213-E213-F213)+(G213-P213)</x:f>
        <x:v>0</x:v>
      </x:c>
    </x:row>
    <x:row r="214">
      <x:c r="A214" s="41" t="n">
        <x:f>IF(B214=1,A213+1,A213)</x:f>
        <x:v>2035</x:v>
      </x:c>
      <x:c r="B214" s="41" t="n">
        <x:f>IF(B213=26,1,B213+1)</x:f>
        <x:v>5</x:v>
      </x:c>
      <x:c r="C214" s="48" t="n">
        <x:f>Inputs!$F$11</x:f>
        <x:v>600</x:v>
      </x:c>
      <x:c r="D214" s="50" t="n">
        <x:f>IF(B214=1,0,D213+E213)</x:f>
        <x:v>2400</x:v>
      </x:c>
      <x:c r="E214" s="50" t="n">
        <x:f>MIN(C214,MAX(0,Inputs!$B$7-D214))</x:f>
        <x:v>600</x:v>
      </x:c>
      <x:c r="F214" s="50" t="n">
        <x:f>MIN(C214-E214,MAX(0,Inputs!$B$20-O214))</x:f>
        <x:v>0</x:v>
      </x:c>
      <x:c r="G214" s="50" t="n">
        <x:f>0</x:f>
        <x:v>0</x:v>
      </x:c>
      <x:c r="H214" s="41" t="n">
        <x:f>0</x:f>
        <x:v>0</x:v>
      </x:c>
      <x:c r="I214" s="50" t="n">
        <x:f>(I213*(1+Inputs!$B$12))+E214</x:f>
        <x:v>135203.1641777321</x:v>
      </x:c>
      <x:c r="J214" s="50" t="n">
        <x:f>(J213*(1+Inputs!$B$12))+F214+P214</x:f>
        <x:v>141784.01347127248</x:v>
      </x:c>
      <x:c r="K214" s="50" t="n">
        <x:f>(K213*(1+Inputs!$B$12))*(1-H214)</x:f>
        <x:v>0</x:v>
      </x:c>
      <x:c r="L214" s="50" t="n">
        <x:f>L213*(1+Inputs!$B$13)+Q214</x:f>
        <x:v>19811.82989700865</x:v>
      </x:c>
      <x:c r="M214" s="50" t="n">
        <x:f>I214+J214+L214</x:f>
        <x:v>296799.0075460133</x:v>
      </x:c>
      <x:c r="N214" s="50" t="n">
        <x:f>F214+P214</x:f>
        <x:v>0</x:v>
      </x:c>
      <x:c r="O214" s="50" t="n">
        <x:f>IF(B214=1,0,O213+F213+P213)</x:f>
        <x:v>0</x:v>
      </x:c>
      <x:c r="P214" s="50" t="n">
        <x:f>MIN(G214,MAX(0,Inputs!$B$20-O214-F214))</x:f>
        <x:v>0</x:v>
      </x:c>
      <x:c r="Q214" s="50" t="n">
        <x:f>(C214-E214-F214)+(G214-P214)</x:f>
        <x:v>0</x:v>
      </x:c>
    </x:row>
    <x:row r="215">
      <x:c r="A215" s="41" t="n">
        <x:f>IF(B215=1,A214+1,A214)</x:f>
        <x:v>2035</x:v>
      </x:c>
      <x:c r="B215" s="41" t="n">
        <x:f>IF(B214=26,1,B214+1)</x:f>
        <x:v>6</x:v>
      </x:c>
      <x:c r="C215" s="48" t="n">
        <x:f>Inputs!$F$11</x:f>
        <x:v>600</x:v>
      </x:c>
      <x:c r="D215" s="50" t="n">
        <x:f>IF(B215=1,0,D214+E214)</x:f>
        <x:v>3000</x:v>
      </x:c>
      <x:c r="E215" s="50" t="n">
        <x:f>MIN(C215,MAX(0,Inputs!$B$7-D215))</x:f>
        <x:v>600</x:v>
      </x:c>
      <x:c r="F215" s="50" t="n">
        <x:f>MIN(C215-E215,MAX(0,Inputs!$B$20-O215))</x:f>
        <x:v>0</x:v>
      </x:c>
      <x:c r="G215" s="50" t="n">
        <x:f>0</x:f>
        <x:v>0</x:v>
      </x:c>
      <x:c r="H215" s="41" t="n">
        <x:f>0</x:f>
        <x:v>0</x:v>
      </x:c>
      <x:c r="I215" s="50" t="n">
        <x:f>(I214*(1+Inputs!$B$12))+E215</x:f>
        <x:v>136057.11717169345</x:v>
      </x:c>
      <x:c r="J215" s="50" t="n">
        <x:f>(J214*(1+Inputs!$B$12))+F215+P215</x:f>
        <x:v>142050.32731781495</x:v>
      </x:c>
      <x:c r="K215" s="50" t="n">
        <x:f>(K214*(1+Inputs!$B$12))*(1-H215)</x:f>
        <x:v>0</x:v>
      </x:c>
      <x:c r="L215" s="50" t="n">
        <x:f>L214*(1+Inputs!$B$13)+Q215</x:f>
        <x:v>19846.493751536447</x:v>
      </x:c>
      <x:c r="M215" s="50" t="n">
        <x:f>I215+J215+L215</x:f>
        <x:v>297953.9382410449</x:v>
      </x:c>
      <x:c r="N215" s="50" t="n">
        <x:f>F215+P215</x:f>
        <x:v>0</x:v>
      </x:c>
      <x:c r="O215" s="50" t="n">
        <x:f>IF(B215=1,0,O214+F214+P214)</x:f>
        <x:v>0</x:v>
      </x:c>
      <x:c r="P215" s="50" t="n">
        <x:f>MIN(G215,MAX(0,Inputs!$B$20-O215-F215))</x:f>
        <x:v>0</x:v>
      </x:c>
      <x:c r="Q215" s="50" t="n">
        <x:f>(C215-E215-F215)+(G215-P215)</x:f>
        <x:v>0</x:v>
      </x:c>
    </x:row>
    <x:row r="216">
      <x:c r="A216" s="41" t="n">
        <x:f>IF(B216=1,A215+1,A215)</x:f>
        <x:v>2035</x:v>
      </x:c>
      <x:c r="B216" s="41" t="n">
        <x:f>IF(B215=26,1,B215+1)</x:f>
        <x:v>7</x:v>
      </x:c>
      <x:c r="C216" s="48" t="n">
        <x:f>Inputs!$F$11</x:f>
        <x:v>600</x:v>
      </x:c>
      <x:c r="D216" s="50" t="n">
        <x:f>IF(B216=1,0,D215+E215)</x:f>
        <x:v>3600</x:v>
      </x:c>
      <x:c r="E216" s="50" t="n">
        <x:f>MIN(C216,MAX(0,Inputs!$B$7-D216))</x:f>
        <x:v>600</x:v>
      </x:c>
      <x:c r="F216" s="50" t="n">
        <x:f>MIN(C216-E216,MAX(0,Inputs!$B$20-O216))</x:f>
        <x:v>0</x:v>
      </x:c>
      <x:c r="G216" s="50" t="n">
        <x:f>0</x:f>
        <x:v>0</x:v>
      </x:c>
      <x:c r="H216" s="41" t="n">
        <x:f>0</x:f>
        <x:v>0</x:v>
      </x:c>
      <x:c r="I216" s="50" t="n">
        <x:f>(I215*(1+Inputs!$B$12))+E216</x:f>
        <x:v>136912.67415118898</x:v>
      </x:c>
      <x:c r="J216" s="50" t="n">
        <x:f>(J215*(1+Inputs!$B$12))+F216+P216</x:f>
        <x:v>142317.1413834098</x:v>
      </x:c>
      <x:c r="K216" s="50" t="n">
        <x:f>(K215*(1+Inputs!$B$12))*(1-H216)</x:f>
        <x:v>0</x:v>
      </x:c>
      <x:c r="L216" s="50" t="n">
        <x:f>L215*(1+Inputs!$B$13)+Q216</x:f>
        <x:v>19881.218255828397</x:v>
      </x:c>
      <x:c r="M216" s="50" t="n">
        <x:f>I216+J216+L216</x:f>
        <x:v>299111.03379042714</x:v>
      </x:c>
      <x:c r="N216" s="50" t="n">
        <x:f>F216+P216</x:f>
        <x:v>0</x:v>
      </x:c>
      <x:c r="O216" s="50" t="n">
        <x:f>IF(B216=1,0,O215+F215+P215)</x:f>
        <x:v>0</x:v>
      </x:c>
      <x:c r="P216" s="50" t="n">
        <x:f>MIN(G216,MAX(0,Inputs!$B$20-O216-F216))</x:f>
        <x:v>0</x:v>
      </x:c>
      <x:c r="Q216" s="50" t="n">
        <x:f>(C216-E216-F216)+(G216-P216)</x:f>
        <x:v>0</x:v>
      </x:c>
    </x:row>
    <x:row r="217">
      <x:c r="A217" s="41" t="n">
        <x:f>IF(B217=1,A216+1,A216)</x:f>
        <x:v>2035</x:v>
      </x:c>
      <x:c r="B217" s="41" t="n">
        <x:f>IF(B216=26,1,B216+1)</x:f>
        <x:v>8</x:v>
      </x:c>
      <x:c r="C217" s="48" t="n">
        <x:f>Inputs!$F$11</x:f>
        <x:v>600</x:v>
      </x:c>
      <x:c r="D217" s="50" t="n">
        <x:f>IF(B217=1,0,D216+E216)</x:f>
        <x:v>4200</x:v>
      </x:c>
      <x:c r="E217" s="50" t="n">
        <x:f>MIN(C217,MAX(0,Inputs!$B$7-D217))</x:f>
        <x:v>600</x:v>
      </x:c>
      <x:c r="F217" s="50" t="n">
        <x:f>MIN(C217-E217,MAX(0,Inputs!$B$20-O217))</x:f>
        <x:v>0</x:v>
      </x:c>
      <x:c r="G217" s="50" t="n">
        <x:f>0</x:f>
        <x:v>0</x:v>
      </x:c>
      <x:c r="H217" s="41" t="n">
        <x:f>0</x:f>
        <x:v>0</x:v>
      </x:c>
      <x:c r="I217" s="50" t="n">
        <x:f>(I216*(1+Inputs!$B$12))+E217</x:f>
        <x:v>137769.83812899532</x:v>
      </x:c>
      <x:c r="J217" s="50" t="n">
        <x:f>(J216*(1+Inputs!$B$12))+F217+P217</x:f>
        <x:v>142584.45660762175</x:v>
      </x:c>
      <x:c r="K217" s="50" t="n">
        <x:f>(K216*(1+Inputs!$B$12))*(1-H217)</x:f>
        <x:v>0</x:v>
      </x:c>
      <x:c r="L217" s="50" t="n">
        <x:f>L216*(1+Inputs!$B$13)+Q217</x:f>
        <x:v>19916.003516000626</x:v>
      </x:c>
      <x:c r="M217" s="50" t="n">
        <x:f>I217+J217+L217</x:f>
        <x:v>300270.2982526177</x:v>
      </x:c>
      <x:c r="N217" s="50" t="n">
        <x:f>F217+P217</x:f>
        <x:v>0</x:v>
      </x:c>
      <x:c r="O217" s="50" t="n">
        <x:f>IF(B217=1,0,O216+F216+P216)</x:f>
        <x:v>0</x:v>
      </x:c>
      <x:c r="P217" s="50" t="n">
        <x:f>MIN(G217,MAX(0,Inputs!$B$20-O217-F217))</x:f>
        <x:v>0</x:v>
      </x:c>
      <x:c r="Q217" s="50" t="n">
        <x:f>(C217-E217-F217)+(G217-P217)</x:f>
        <x:v>0</x:v>
      </x:c>
    </x:row>
    <x:row r="218">
      <x:c r="A218" s="41" t="n">
        <x:f>IF(B218=1,A217+1,A217)</x:f>
        <x:v>2035</x:v>
      </x:c>
      <x:c r="B218" s="41" t="n">
        <x:f>IF(B217=26,1,B217+1)</x:f>
        <x:v>9</x:v>
      </x:c>
      <x:c r="C218" s="48" t="n">
        <x:f>Inputs!$F$11</x:f>
        <x:v>600</x:v>
      </x:c>
      <x:c r="D218" s="50" t="n">
        <x:f>IF(B218=1,0,D217+E217)</x:f>
        <x:v>4800</x:v>
      </x:c>
      <x:c r="E218" s="50" t="n">
        <x:f>MIN(C218,MAX(0,Inputs!$B$7-D218))</x:f>
        <x:v>600</x:v>
      </x:c>
      <x:c r="F218" s="50" t="n">
        <x:f>MIN(C218-E218,MAX(0,Inputs!$B$20-O218))</x:f>
        <x:v>0</x:v>
      </x:c>
      <x:c r="G218" s="50" t="n">
        <x:f>SUM(N184:N209)*Inputs!$B$6</x:f>
        <x:v>3257.976</x:v>
      </x:c>
      <x:c r="H218" s="41" t="n">
        <x:f>0</x:f>
        <x:v>0</x:v>
      </x:c>
      <x:c r="I218" s="50" t="n">
        <x:f>(I217*(1+Inputs!$B$12))+E218</x:f>
        <x:v>138628.61212354797</x:v>
      </x:c>
      <x:c r="J218" s="50" t="n">
        <x:f>(J217*(1+Inputs!$B$12))+F218+P218</x:f>
        <x:v>146110.24993178036</x:v>
      </x:c>
      <x:c r="K218" s="50" t="n">
        <x:f>(K217*(1+Inputs!$B$12))*(1-H218)</x:f>
        <x:v>0</x:v>
      </x:c>
      <x:c r="L218" s="50" t="n">
        <x:f>L217*(1+Inputs!$B$13)+Q218</x:f>
        <x:v>19950.849638354925</x:v>
      </x:c>
      <x:c r="M218" s="50" t="n">
        <x:f>I218+J218+L218</x:f>
        <x:v>304689.71169368323</x:v>
      </x:c>
      <x:c r="N218" s="50" t="n">
        <x:f>F218+P218</x:f>
        <x:v>3257.976</x:v>
      </x:c>
      <x:c r="O218" s="50" t="n">
        <x:f>IF(B218=1,0,O217+F217+P217)</x:f>
        <x:v>0</x:v>
      </x:c>
      <x:c r="P218" s="50" t="n">
        <x:f>MIN(G218,MAX(0,Inputs!$B$20-O218-F218))</x:f>
        <x:v>3257.976</x:v>
      </x:c>
      <x:c r="Q218" s="50" t="n">
        <x:f>(C218-E218-F218)+(G218-P218)</x:f>
        <x:v>0</x:v>
      </x:c>
    </x:row>
    <x:row r="219">
      <x:c r="A219" s="41" t="n">
        <x:f>IF(B219=1,A218+1,A218)</x:f>
        <x:v>2035</x:v>
      </x:c>
      <x:c r="B219" s="41" t="n">
        <x:f>IF(B218=26,1,B218+1)</x:f>
        <x:v>10</x:v>
      </x:c>
      <x:c r="C219" s="48" t="n">
        <x:f>Inputs!$F$11</x:f>
        <x:v>600</x:v>
      </x:c>
      <x:c r="D219" s="50" t="n">
        <x:f>IF(B219=1,0,D218+E218)</x:f>
        <x:v>5400</x:v>
      </x:c>
      <x:c r="E219" s="50" t="n">
        <x:f>MIN(C219,MAX(0,Inputs!$B$7-D219))</x:f>
        <x:v>600</x:v>
      </x:c>
      <x:c r="F219" s="50" t="n">
        <x:f>MIN(C219-E219,MAX(0,Inputs!$B$20-O219))</x:f>
        <x:v>0</x:v>
      </x:c>
      <x:c r="G219" s="50" t="n">
        <x:f>0</x:f>
        <x:v>0</x:v>
      </x:c>
      <x:c r="H219" s="41" t="n">
        <x:f>0</x:f>
        <x:v>0</x:v>
      </x:c>
      <x:c r="I219" s="50" t="n">
        <x:f>(I218*(1+Inputs!$B$12))+E219</x:f>
        <x:v>139488.99915895198</x:v>
      </x:c>
      <x:c r="J219" s="50" t="n">
        <x:f>(J218*(1+Inputs!$B$12))+F219+P219</x:f>
        <x:v>146384.6897767668</x:v>
      </x:c>
      <x:c r="K219" s="50" t="n">
        <x:f>(K218*(1+Inputs!$B$12))*(1-H219)</x:f>
        <x:v>0</x:v>
      </x:c>
      <x:c r="L219" s="50" t="n">
        <x:f>L218*(1+Inputs!$B$13)+Q219</x:f>
        <x:v>19985.756729379074</x:v>
      </x:c>
      <x:c r="M219" s="50" t="n">
        <x:f>I219+J219+L219</x:f>
        <x:v>305859.44566509785</x:v>
      </x:c>
      <x:c r="N219" s="50" t="n">
        <x:f>F219+P219</x:f>
        <x:v>0</x:v>
      </x:c>
      <x:c r="O219" s="50" t="n">
        <x:f>IF(B219=1,0,O218+F218+P218)</x:f>
        <x:v>3257.976</x:v>
      </x:c>
      <x:c r="P219" s="50" t="n">
        <x:f>MIN(G219,MAX(0,Inputs!$B$20-O219-F219))</x:f>
        <x:v>0</x:v>
      </x:c>
      <x:c r="Q219" s="50" t="n">
        <x:f>(C219-E219-F219)+(G219-P219)</x:f>
        <x:v>0</x:v>
      </x:c>
    </x:row>
    <x:row r="220">
      <x:c r="A220" s="41" t="n">
        <x:f>IF(B220=1,A219+1,A219)</x:f>
        <x:v>2035</x:v>
      </x:c>
      <x:c r="B220" s="41" t="n">
        <x:f>IF(B219=26,1,B219+1)</x:f>
        <x:v>11</x:v>
      </x:c>
      <x:c r="C220" s="48" t="n">
        <x:f>Inputs!$F$11</x:f>
        <x:v>600</x:v>
      </x:c>
      <x:c r="D220" s="50" t="n">
        <x:f>IF(B220=1,0,D219+E219)</x:f>
        <x:v>6000</x:v>
      </x:c>
      <x:c r="E220" s="50" t="n">
        <x:f>MIN(C220,MAX(0,Inputs!$B$7-D220))</x:f>
        <x:v>600</x:v>
      </x:c>
      <x:c r="F220" s="50" t="n">
        <x:f>MIN(C220-E220,MAX(0,Inputs!$B$20-O220))</x:f>
        <x:v>0</x:v>
      </x:c>
      <x:c r="G220" s="50" t="n">
        <x:f>0</x:f>
        <x:v>0</x:v>
      </x:c>
      <x:c r="H220" s="41" t="n">
        <x:f>0</x:f>
        <x:v>0</x:v>
      </x:c>
      <x:c r="I220" s="50" t="n">
        <x:f>(I219*(1+Inputs!$B$12))+E220</x:f>
        <x:v>140351.00226499262</x:v>
      </x:c>
      <x:c r="J220" s="50" t="n">
        <x:f>(J219*(1+Inputs!$B$12))+F220+P220</x:f>
        <x:v>146659.64510392206</x:v>
      </x:c>
      <x:c r="K220" s="50" t="n">
        <x:f>(K219*(1+Inputs!$B$12))*(1-H220)</x:f>
        <x:v>0</x:v>
      </x:c>
      <x:c r="L220" s="50" t="n">
        <x:f>L219*(1+Inputs!$B$13)+Q220</x:f>
        <x:v>20020.724895747175</x:v>
      </x:c>
      <x:c r="M220" s="50" t="n">
        <x:f>I220+J220+L220</x:f>
        <x:v>307031.3722646618</x:v>
      </x:c>
      <x:c r="N220" s="50" t="n">
        <x:f>F220+P220</x:f>
        <x:v>0</x:v>
      </x:c>
      <x:c r="O220" s="50" t="n">
        <x:f>IF(B220=1,0,O219+F219+P219)</x:f>
        <x:v>3257.976</x:v>
      </x:c>
      <x:c r="P220" s="50" t="n">
        <x:f>MIN(G220,MAX(0,Inputs!$B$20-O220-F220))</x:f>
        <x:v>0</x:v>
      </x:c>
      <x:c r="Q220" s="50" t="n">
        <x:f>(C220-E220-F220)+(G220-P220)</x:f>
        <x:v>0</x:v>
      </x:c>
    </x:row>
    <x:row r="221">
      <x:c r="A221" s="41" t="n">
        <x:f>IF(B221=1,A220+1,A220)</x:f>
        <x:v>2035</x:v>
      </x:c>
      <x:c r="B221" s="41" t="n">
        <x:f>IF(B220=26,1,B220+1)</x:f>
        <x:v>12</x:v>
      </x:c>
      <x:c r="C221" s="48" t="n">
        <x:f>Inputs!$F$11</x:f>
        <x:v>600</x:v>
      </x:c>
      <x:c r="D221" s="50" t="n">
        <x:f>IF(B221=1,0,D220+E220)</x:f>
        <x:v>6600</x:v>
      </x:c>
      <x:c r="E221" s="50" t="n">
        <x:f>MIN(C221,MAX(0,Inputs!$B$7-D221))</x:f>
        <x:v>600</x:v>
      </x:c>
      <x:c r="F221" s="50" t="n">
        <x:f>MIN(C221-E221,MAX(0,Inputs!$B$20-O221))</x:f>
        <x:v>0</x:v>
      </x:c>
      <x:c r="G221" s="50" t="n">
        <x:f>0</x:f>
        <x:v>0</x:v>
      </x:c>
      <x:c r="H221" s="41" t="n">
        <x:f>0</x:f>
        <x:v>0</x:v>
      </x:c>
      <x:c r="I221" s="50" t="n">
        <x:f>(I220*(1+Inputs!$B$12))+E221</x:f>
        <x:v>141214.62447714602</x:v>
      </x:c>
      <x:c r="J221" s="50" t="n">
        <x:f>(J220*(1+Inputs!$B$12))+F221+P221</x:f>
        <x:v>146935.11688147963</x:v>
      </x:c>
      <x:c r="K221" s="50" t="n">
        <x:f>(K220*(1+Inputs!$B$12))*(1-H221)</x:f>
        <x:v>0</x:v>
      </x:c>
      <x:c r="L221" s="50" t="n">
        <x:f>L220*(1+Inputs!$B$13)+Q221</x:f>
        <x:v>20055.754244319967</x:v>
      </x:c>
      <x:c r="M221" s="50" t="n">
        <x:f>I221+J221+L221</x:f>
        <x:v>308205.4956029456</x:v>
      </x:c>
      <x:c r="N221" s="50" t="n">
        <x:f>F221+P221</x:f>
        <x:v>0</x:v>
      </x:c>
      <x:c r="O221" s="50" t="n">
        <x:f>IF(B221=1,0,O220+F220+P220)</x:f>
        <x:v>3257.976</x:v>
      </x:c>
      <x:c r="P221" s="50" t="n">
        <x:f>MIN(G221,MAX(0,Inputs!$B$20-O221-F221))</x:f>
        <x:v>0</x:v>
      </x:c>
      <x:c r="Q221" s="50" t="n">
        <x:f>(C221-E221-F221)+(G221-P221)</x:f>
        <x:v>0</x:v>
      </x:c>
    </x:row>
    <x:row r="222">
      <x:c r="A222" s="41" t="n">
        <x:f>IF(B222=1,A221+1,A221)</x:f>
        <x:v>2035</x:v>
      </x:c>
      <x:c r="B222" s="41" t="n">
        <x:f>IF(B221=26,1,B221+1)</x:f>
        <x:v>13</x:v>
      </x:c>
      <x:c r="C222" s="48" t="n">
        <x:f>Inputs!$F$11</x:f>
        <x:v>600</x:v>
      </x:c>
      <x:c r="D222" s="50" t="n">
        <x:f>IF(B222=1,0,D221+E221)</x:f>
        <x:v>7200</x:v>
      </x:c>
      <x:c r="E222" s="50" t="n">
        <x:f>MIN(C222,MAX(0,Inputs!$B$7-D222))</x:f>
        <x:v>600</x:v>
      </x:c>
      <x:c r="F222" s="50" t="n">
        <x:f>MIN(C222-E222,MAX(0,Inputs!$B$20-O222))</x:f>
        <x:v>0</x:v>
      </x:c>
      <x:c r="G222" s="50" t="n">
        <x:f>0</x:f>
        <x:v>0</x:v>
      </x:c>
      <x:c r="H222" s="41" t="n">
        <x:f>0</x:f>
        <x:v>0</x:v>
      </x:c>
      <x:c r="I222" s="50" t="n">
        <x:f>(I221*(1+Inputs!$B$12))+E222</x:f>
        <x:v>142079.86883658983</x:v>
      </x:c>
      <x:c r="J222" s="50" t="n">
        <x:f>(J221*(1+Inputs!$B$12))+F222+P222</x:f>
        <x:v>147211.10607949173</x:v>
      </x:c>
      <x:c r="K222" s="50" t="n">
        <x:f>(K221*(1+Inputs!$B$12))*(1-H222)</x:f>
        <x:v>0</x:v>
      </x:c>
      <x:c r="L222" s="50" t="n">
        <x:f>L221*(1+Inputs!$B$13)+Q222</x:f>
        <x:v>20090.844882145164</x:v>
      </x:c>
      <x:c r="M222" s="50" t="n">
        <x:f>I222+J222+L222</x:f>
        <x:v>309381.8197982267</x:v>
      </x:c>
      <x:c r="N222" s="50" t="n">
        <x:f>F222+P222</x:f>
        <x:v>0</x:v>
      </x:c>
      <x:c r="O222" s="50" t="n">
        <x:f>IF(B222=1,0,O221+F221+P221)</x:f>
        <x:v>3257.976</x:v>
      </x:c>
      <x:c r="P222" s="50" t="n">
        <x:f>MIN(G222,MAX(0,Inputs!$B$20-O222-F222))</x:f>
        <x:v>0</x:v>
      </x:c>
      <x:c r="Q222" s="50" t="n">
        <x:f>(C222-E222-F222)+(G222-P222)</x:f>
        <x:v>0</x:v>
      </x:c>
    </x:row>
    <x:row r="223">
      <x:c r="A223" s="41" t="n">
        <x:f>IF(B223=1,A222+1,A222)</x:f>
        <x:v>2035</x:v>
      </x:c>
      <x:c r="B223" s="41" t="n">
        <x:f>IF(B222=26,1,B222+1)</x:f>
        <x:v>14</x:v>
      </x:c>
      <x:c r="C223" s="48" t="n">
        <x:f>Inputs!$F$11</x:f>
        <x:v>600</x:v>
      </x:c>
      <x:c r="D223" s="50" t="n">
        <x:f>IF(B223=1,0,D222+E222)</x:f>
        <x:v>7800</x:v>
      </x:c>
      <x:c r="E223" s="50" t="n">
        <x:f>MIN(C223,MAX(0,Inputs!$B$7-D223))</x:f>
        <x:v>200</x:v>
      </x:c>
      <x:c r="F223" s="50" t="n">
        <x:f>MIN(C223-E223,MAX(0,Inputs!$B$20-O223))</x:f>
        <x:v>400</x:v>
      </x:c>
      <x:c r="G223" s="50" t="n">
        <x:f>0</x:f>
        <x:v>0</x:v>
      </x:c>
      <x:c r="H223" s="41" t="n">
        <x:f>0</x:f>
        <x:v>0</x:v>
      </x:c>
      <x:c r="I223" s="50" t="n">
        <x:f>(I222*(1+Inputs!$B$12))+E223</x:f>
        <x:v>142546.738390214</x:v>
      </x:c>
      <x:c r="J223" s="50" t="n">
        <x:f>(J222*(1+Inputs!$B$12))+F223+P223</x:f>
        <x:v>147887.61366983262</x:v>
      </x:c>
      <x:c r="K223" s="50" t="n">
        <x:f>(K222*(1+Inputs!$B$12))*(1-H223)</x:f>
        <x:v>0</x:v>
      </x:c>
      <x:c r="L223" s="50" t="n">
        <x:f>L222*(1+Inputs!$B$13)+Q223</x:f>
        <x:v>20125.99691645777</x:v>
      </x:c>
      <x:c r="M223" s="50" t="n">
        <x:f>I223+J223+L223</x:f>
        <x:v>310560.3489765044</x:v>
      </x:c>
      <x:c r="N223" s="50" t="n">
        <x:f>F223+P223</x:f>
        <x:v>400</x:v>
      </x:c>
      <x:c r="O223" s="50" t="n">
        <x:f>IF(B223=1,0,O222+F222+P222)</x:f>
        <x:v>3257.976</x:v>
      </x:c>
      <x:c r="P223" s="50" t="n">
        <x:f>MIN(G223,MAX(0,Inputs!$B$20-O223-F223))</x:f>
        <x:v>0</x:v>
      </x:c>
      <x:c r="Q223" s="50" t="n">
        <x:f>(C223-E223-F223)+(G223-P223)</x:f>
        <x:v>0</x:v>
      </x:c>
    </x:row>
    <x:row r="224">
      <x:c r="A224" s="41" t="n">
        <x:f>IF(B224=1,A223+1,A223)</x:f>
        <x:v>2035</x:v>
      </x:c>
      <x:c r="B224" s="41" t="n">
        <x:f>IF(B223=26,1,B223+1)</x:f>
        <x:v>15</x:v>
      </x:c>
      <x:c r="C224" s="48" t="n">
        <x:f>Inputs!$F$11</x:f>
        <x:v>600</x:v>
      </x:c>
      <x:c r="D224" s="50" t="n">
        <x:f>IF(B224=1,0,D223+E223)</x:f>
        <x:v>8000</x:v>
      </x:c>
      <x:c r="E224" s="50" t="n">
        <x:f>MIN(C224,MAX(0,Inputs!$B$7-D224))</x:f>
        <x:v>0</x:v>
      </x:c>
      <x:c r="F224" s="50" t="n">
        <x:f>MIN(C224-E224,MAX(0,Inputs!$B$20-O224))</x:f>
        <x:v>600</x:v>
      </x:c>
      <x:c r="G224" s="50" t="n">
        <x:f>0</x:f>
        <x:v>0</x:v>
      </x:c>
      <x:c r="H224" s="41" t="n">
        <x:f>0</x:f>
        <x:v>0</x:v>
      </x:c>
      <x:c r="I224" s="50" t="n">
        <x:f>(I223*(1+Inputs!$B$12))+E224</x:f>
        <x:v>142814.4848679964</x:v>
      </x:c>
      <x:c r="J224" s="50" t="n">
        <x:f>(J223*(1+Inputs!$B$12))+F224+P224</x:f>
        <x:v>148765.39194883712</x:v>
      </x:c>
      <x:c r="K224" s="50" t="n">
        <x:f>(K223*(1+Inputs!$B$12))*(1-H224)</x:f>
        <x:v>0</x:v>
      </x:c>
      <x:c r="L224" s="50" t="n">
        <x:f>L223*(1+Inputs!$B$13)+Q224</x:f>
        <x:v>20161.21045468042</x:v>
      </x:c>
      <x:c r="M224" s="50" t="n">
        <x:f>I224+J224+L224</x:f>
        <x:v>311741.08727151394</x:v>
      </x:c>
      <x:c r="N224" s="50" t="n">
        <x:f>F224+P224</x:f>
        <x:v>600</x:v>
      </x:c>
      <x:c r="O224" s="50" t="n">
        <x:f>IF(B224=1,0,O223+F223+P223)</x:f>
        <x:v>3657.976</x:v>
      </x:c>
      <x:c r="P224" s="50" t="n">
        <x:f>MIN(G224,MAX(0,Inputs!$B$20-O224-F224))</x:f>
        <x:v>0</x:v>
      </x:c>
      <x:c r="Q224" s="50" t="n">
        <x:f>(C224-E224-F224)+(G224-P224)</x:f>
        <x:v>0</x:v>
      </x:c>
    </x:row>
    <x:row r="225">
      <x:c r="A225" s="41" t="n">
        <x:f>IF(B225=1,A224+1,A224)</x:f>
        <x:v>2035</x:v>
      </x:c>
      <x:c r="B225" s="41" t="n">
        <x:f>IF(B224=26,1,B224+1)</x:f>
        <x:v>16</x:v>
      </x:c>
      <x:c r="C225" s="48" t="n">
        <x:f>Inputs!$F$11</x:f>
        <x:v>600</x:v>
      </x:c>
      <x:c r="D225" s="50" t="n">
        <x:f>IF(B225=1,0,D224+E224)</x:f>
        <x:v>8000</x:v>
      </x:c>
      <x:c r="E225" s="50" t="n">
        <x:f>MIN(C225,MAX(0,Inputs!$B$7-D225))</x:f>
        <x:v>0</x:v>
      </x:c>
      <x:c r="F225" s="50" t="n">
        <x:f>MIN(C225-E225,MAX(0,Inputs!$B$20-O225))</x:f>
        <x:v>600</x:v>
      </x:c>
      <x:c r="G225" s="50" t="n">
        <x:f>0</x:f>
        <x:v>0</x:v>
      </x:c>
      <x:c r="H225" s="41" t="n">
        <x:f>0</x:f>
        <x:v>0</x:v>
      </x:c>
      <x:c r="I225" s="50" t="n">
        <x:f>(I224*(1+Inputs!$B$12))+E225</x:f>
        <x:v>143082.73425575183</x:v>
      </x:c>
      <x:c r="J225" s="50" t="n">
        <x:f>(J224*(1+Inputs!$B$12))+F225+P225</x:f>
        <x:v>149644.81896456567</x:v>
      </x:c>
      <x:c r="K225" s="50" t="n">
        <x:f>(K224*(1+Inputs!$B$12))*(1-H225)</x:f>
        <x:v>0</x:v>
      </x:c>
      <x:c r="L225" s="50" t="n">
        <x:f>L224*(1+Inputs!$B$13)+Q225</x:f>
        <x:v>20196.485604423695</x:v>
      </x:c>
      <x:c r="M225" s="50" t="n">
        <x:f>I225+J225+L225</x:f>
        <x:v>312924.03882474115</x:v>
      </x:c>
      <x:c r="N225" s="50" t="n">
        <x:f>F225+P225</x:f>
        <x:v>600</x:v>
      </x:c>
      <x:c r="O225" s="50" t="n">
        <x:f>IF(B225=1,0,O224+F224+P224)</x:f>
        <x:v>4257.976000000001</x:v>
      </x:c>
      <x:c r="P225" s="50" t="n">
        <x:f>MIN(G225,MAX(0,Inputs!$B$20-O225-F225))</x:f>
        <x:v>0</x:v>
      </x:c>
      <x:c r="Q225" s="50" t="n">
        <x:f>(C225-E225-F225)+(G225-P225)</x:f>
        <x:v>0</x:v>
      </x:c>
    </x:row>
    <x:row r="226">
      <x:c r="A226" s="41" t="n">
        <x:f>IF(B226=1,A225+1,A225)</x:f>
        <x:v>2035</x:v>
      </x:c>
      <x:c r="B226" s="41" t="n">
        <x:f>IF(B225=26,1,B225+1)</x:f>
        <x:v>17</x:v>
      </x:c>
      <x:c r="C226" s="48" t="n">
        <x:f>Inputs!$F$11</x:f>
        <x:v>600</x:v>
      </x:c>
      <x:c r="D226" s="50" t="n">
        <x:f>IF(B226=1,0,D225+E225)</x:f>
        <x:v>8000</x:v>
      </x:c>
      <x:c r="E226" s="50" t="n">
        <x:f>MIN(C226,MAX(0,Inputs!$B$7-D226))</x:f>
        <x:v>0</x:v>
      </x:c>
      <x:c r="F226" s="50" t="n">
        <x:f>MIN(C226-E226,MAX(0,Inputs!$B$20-O226))</x:f>
        <x:v>600</x:v>
      </x:c>
      <x:c r="G226" s="50" t="n">
        <x:f>0</x:f>
        <x:v>0</x:v>
      </x:c>
      <x:c r="H226" s="41" t="n">
        <x:f>0</x:f>
        <x:v>0</x:v>
      </x:c>
      <x:c r="I226" s="50" t="n">
        <x:f>(I225*(1+Inputs!$B$12))+E226</x:f>
        <x:v>143351.48749809945</x:v>
      </x:c>
      <x:c r="J226" s="50" t="n">
        <x:f>(J225*(1+Inputs!$B$12))+F226+P226</x:f>
        <x:v>150525.8978138513</x:v>
      </x:c>
      <x:c r="K226" s="50" t="n">
        <x:f>(K225*(1+Inputs!$B$12))*(1-H226)</x:f>
        <x:v>0</x:v>
      </x:c>
      <x:c r="L226" s="50" t="n">
        <x:f>L225*(1+Inputs!$B$13)+Q226</x:f>
        <x:v>20231.822473486463</x:v>
      </x:c>
      <x:c r="M226" s="50" t="n">
        <x:f>I226+J226+L226</x:f>
        <x:v>314109.20778543723</x:v>
      </x:c>
      <x:c r="N226" s="50" t="n">
        <x:f>F226+P226</x:f>
        <x:v>600</x:v>
      </x:c>
      <x:c r="O226" s="50" t="n">
        <x:f>IF(B226=1,0,O225+F225+P225)</x:f>
        <x:v>4857.976000000001</x:v>
      </x:c>
      <x:c r="P226" s="50" t="n">
        <x:f>MIN(G226,MAX(0,Inputs!$B$20-O226-F226))</x:f>
        <x:v>0</x:v>
      </x:c>
      <x:c r="Q226" s="50" t="n">
        <x:f>(C226-E226-F226)+(G226-P226)</x:f>
        <x:v>0</x:v>
      </x:c>
    </x:row>
    <x:row r="227">
      <x:c r="A227" s="41" t="n">
        <x:f>IF(B227=1,A226+1,A226)</x:f>
        <x:v>2035</x:v>
      </x:c>
      <x:c r="B227" s="41" t="n">
        <x:f>IF(B226=26,1,B226+1)</x:f>
        <x:v>18</x:v>
      </x:c>
      <x:c r="C227" s="48" t="n">
        <x:f>Inputs!$F$11</x:f>
        <x:v>600</x:v>
      </x:c>
      <x:c r="D227" s="50" t="n">
        <x:f>IF(B227=1,0,D226+E226)</x:f>
        <x:v>8000</x:v>
      </x:c>
      <x:c r="E227" s="50" t="n">
        <x:f>MIN(C227,MAX(0,Inputs!$B$7-D227))</x:f>
        <x:v>0</x:v>
      </x:c>
      <x:c r="F227" s="50" t="n">
        <x:f>MIN(C227-E227,MAX(0,Inputs!$B$20-O227))</x:f>
        <x:v>600</x:v>
      </x:c>
      <x:c r="G227" s="50" t="n">
        <x:f>0</x:f>
        <x:v>0</x:v>
      </x:c>
      <x:c r="H227" s="41" t="n">
        <x:f>0</x:f>
        <x:v>0</x:v>
      </x:c>
      <x:c r="I227" s="50" t="n">
        <x:f>(I226*(1+Inputs!$B$12))+E227</x:f>
        <x:v>143620.74554143267</x:v>
      </x:c>
      <x:c r="J227" s="50" t="n">
        <x:f>(J226*(1+Inputs!$B$12))+F227+P227</x:f>
        <x:v>151408.6315993439</x:v>
      </x:c>
      <x:c r="K227" s="50" t="n">
        <x:f>(K226*(1+Inputs!$B$12))*(1-H227)</x:f>
        <x:v>0</x:v>
      </x:c>
      <x:c r="L227" s="50" t="n">
        <x:f>L226*(1+Inputs!$B$13)+Q227</x:f>
        <x:v>20267.221169856202</x:v>
      </x:c>
      <x:c r="M227" s="50" t="n">
        <x:f>I227+J227+L227</x:f>
        <x:v>315296.5983106328</x:v>
      </x:c>
      <x:c r="N227" s="50" t="n">
        <x:f>F227+P227</x:f>
        <x:v>600</x:v>
      </x:c>
      <x:c r="O227" s="50" t="n">
        <x:f>IF(B227=1,0,O226+F226+P226)</x:f>
        <x:v>5457.976000000001</x:v>
      </x:c>
      <x:c r="P227" s="50" t="n">
        <x:f>MIN(G227,MAX(0,Inputs!$B$20-O227-F227))</x:f>
        <x:v>0</x:v>
      </x:c>
      <x:c r="Q227" s="50" t="n">
        <x:f>(C227-E227-F227)+(G227-P227)</x:f>
        <x:v>0</x:v>
      </x:c>
    </x:row>
    <x:row r="228">
      <x:c r="A228" s="41" t="n">
        <x:f>IF(B228=1,A227+1,A227)</x:f>
        <x:v>2035</x:v>
      </x:c>
      <x:c r="B228" s="41" t="n">
        <x:f>IF(B227=26,1,B227+1)</x:f>
        <x:v>19</x:v>
      </x:c>
      <x:c r="C228" s="48" t="n">
        <x:f>Inputs!$F$11</x:f>
        <x:v>600</x:v>
      </x:c>
      <x:c r="D228" s="50" t="n">
        <x:f>IF(B228=1,0,D227+E227)</x:f>
        <x:v>8000</x:v>
      </x:c>
      <x:c r="E228" s="50" t="n">
        <x:f>MIN(C228,MAX(0,Inputs!$B$7-D228))</x:f>
        <x:v>0</x:v>
      </x:c>
      <x:c r="F228" s="50" t="n">
        <x:f>MIN(C228-E228,MAX(0,Inputs!$B$20-O228))</x:f>
        <x:v>600</x:v>
      </x:c>
      <x:c r="G228" s="50" t="n">
        <x:f>0</x:f>
        <x:v>0</x:v>
      </x:c>
      <x:c r="H228" s="41" t="n">
        <x:f>0</x:f>
        <x:v>0</x:v>
      </x:c>
      <x:c r="I228" s="50" t="n">
        <x:f>(I227*(1+Inputs!$B$12))+E228</x:f>
        <x:v>143890.50933392247</x:v>
      </x:c>
      <x:c r="J228" s="50" t="n">
        <x:f>(J227*(1+Inputs!$B$12))+F228+P228</x:f>
        <x:v>152293.02342952104</x:v>
      </x:c>
      <x:c r="K228" s="50" t="n">
        <x:f>(K227*(1+Inputs!$B$12))*(1-H228)</x:f>
        <x:v>0</x:v>
      </x:c>
      <x:c r="L228" s="50" t="n">
        <x:f>L227*(1+Inputs!$B$13)+Q228</x:f>
        <x:v>20302.681801709325</x:v>
      </x:c>
      <x:c r="M228" s="50" t="n">
        <x:f>I228+J228+L228</x:f>
        <x:v>316486.2145651529</x:v>
      </x:c>
      <x:c r="N228" s="50" t="n">
        <x:f>F228+P228</x:f>
        <x:v>600</x:v>
      </x:c>
      <x:c r="O228" s="50" t="n">
        <x:f>IF(B228=1,0,O227+F227+P227)</x:f>
        <x:v>6057.976000000001</x:v>
      </x:c>
      <x:c r="P228" s="50" t="n">
        <x:f>MIN(G228,MAX(0,Inputs!$B$20-O228-F228))</x:f>
        <x:v>0</x:v>
      </x:c>
      <x:c r="Q228" s="50" t="n">
        <x:f>(C228-E228-F228)+(G228-P228)</x:f>
        <x:v>0</x:v>
      </x:c>
    </x:row>
    <x:row r="229">
      <x:c r="A229" s="41" t="n">
        <x:f>IF(B229=1,A228+1,A228)</x:f>
        <x:v>2035</x:v>
      </x:c>
      <x:c r="B229" s="41" t="n">
        <x:f>IF(B228=26,1,B228+1)</x:f>
        <x:v>20</x:v>
      </x:c>
      <x:c r="C229" s="48" t="n">
        <x:f>Inputs!$F$11</x:f>
        <x:v>600</x:v>
      </x:c>
      <x:c r="D229" s="50" t="n">
        <x:f>IF(B229=1,0,D228+E228)</x:f>
        <x:v>8000</x:v>
      </x:c>
      <x:c r="E229" s="50" t="n">
        <x:f>MIN(C229,MAX(0,Inputs!$B$7-D229))</x:f>
        <x:v>0</x:v>
      </x:c>
      <x:c r="F229" s="50" t="n">
        <x:f>MIN(C229-E229,MAX(0,Inputs!$B$20-O229))</x:f>
        <x:v>600</x:v>
      </x:c>
      <x:c r="G229" s="50" t="n">
        <x:f>0</x:f>
        <x:v>0</x:v>
      </x:c>
      <x:c r="H229" s="41" t="n">
        <x:f>0</x:f>
        <x:v>0</x:v>
      </x:c>
      <x:c r="I229" s="50" t="n">
        <x:f>(I228*(1+Inputs!$B$12))+E229</x:f>
        <x:v>144160.77982552085</x:v>
      </x:c>
      <x:c r="J229" s="50" t="n">
        <x:f>(J228*(1+Inputs!$B$12))+F229+P229</x:f>
        <x:v>153179.07641869894</x:v>
      </x:c>
      <x:c r="K229" s="50" t="n">
        <x:f>(K228*(1+Inputs!$B$12))*(1-H229)</x:f>
        <x:v>0</x:v>
      </x:c>
      <x:c r="L229" s="50" t="n">
        <x:f>L228*(1+Inputs!$B$13)+Q229</x:f>
        <x:v>20338.204477411524</x:v>
      </x:c>
      <x:c r="M229" s="50" t="n">
        <x:f>I229+J229+L229</x:f>
        <x:v>317678.06072163134</x:v>
      </x:c>
      <x:c r="N229" s="50" t="n">
        <x:f>F229+P229</x:f>
        <x:v>600</x:v>
      </x:c>
      <x:c r="O229" s="50" t="n">
        <x:f>IF(B229=1,0,O228+F228+P228)</x:f>
        <x:v>6657.976000000001</x:v>
      </x:c>
      <x:c r="P229" s="50" t="n">
        <x:f>MIN(G229,MAX(0,Inputs!$B$20-O229-F229))</x:f>
        <x:v>0</x:v>
      </x:c>
      <x:c r="Q229" s="50" t="n">
        <x:f>(C229-E229-F229)+(G229-P229)</x:f>
        <x:v>0</x:v>
      </x:c>
    </x:row>
    <x:row r="230">
      <x:c r="A230" s="41" t="n">
        <x:f>IF(B230=1,A229+1,A229)</x:f>
        <x:v>2035</x:v>
      </x:c>
      <x:c r="B230" s="41" t="n">
        <x:f>IF(B229=26,1,B229+1)</x:f>
        <x:v>21</x:v>
      </x:c>
      <x:c r="C230" s="48" t="n">
        <x:f>Inputs!$F$11</x:f>
        <x:v>600</x:v>
      </x:c>
      <x:c r="D230" s="50" t="n">
        <x:f>IF(B230=1,0,D229+E229)</x:f>
        <x:v>8000</x:v>
      </x:c>
      <x:c r="E230" s="50" t="n">
        <x:f>MIN(C230,MAX(0,Inputs!$B$7-D230))</x:f>
        <x:v>0</x:v>
      </x:c>
      <x:c r="F230" s="50" t="n">
        <x:f>MIN(C230-E230,MAX(0,Inputs!$B$20-O230))</x:f>
        <x:v>600</x:v>
      </x:c>
      <x:c r="G230" s="50" t="n">
        <x:f>0</x:f>
        <x:v>0</x:v>
      </x:c>
      <x:c r="H230" s="41" t="n">
        <x:f>0</x:f>
        <x:v>0</x:v>
      </x:c>
      <x:c r="I230" s="50" t="n">
        <x:f>(I229*(1+Inputs!$B$12))+E230</x:f>
        <x:v>144431.55796796407</x:v>
      </x:c>
      <x:c r="J230" s="50" t="n">
        <x:f>(J229*(1+Inputs!$B$12))+F230+P230</x:f>
        <x:v>154066.79368704354</x:v>
      </x:c>
      <x:c r="K230" s="50" t="n">
        <x:f>(K229*(1+Inputs!$B$12))*(1-H230)</x:f>
        <x:v>0</x:v>
      </x:c>
      <x:c r="L230" s="50" t="n">
        <x:f>L229*(1+Inputs!$B$13)+Q230</x:f>
        <x:v>20373.789305518087</x:v>
      </x:c>
      <x:c r="M230" s="50" t="n">
        <x:f>I230+J230+L230</x:f>
        <x:v>318872.14096052566</x:v>
      </x:c>
      <x:c r="N230" s="50" t="n">
        <x:f>F230+P230</x:f>
        <x:v>600</x:v>
      </x:c>
      <x:c r="O230" s="50" t="n">
        <x:f>IF(B230=1,0,O229+F229+P229)</x:f>
        <x:v>7257.976000000001</x:v>
      </x:c>
      <x:c r="P230" s="50" t="n">
        <x:f>MIN(G230,MAX(0,Inputs!$B$20-O230-F230))</x:f>
        <x:v>0</x:v>
      </x:c>
      <x:c r="Q230" s="50" t="n">
        <x:f>(C230-E230-F230)+(G230-P230)</x:f>
        <x:v>0</x:v>
      </x:c>
    </x:row>
    <x:row r="231">
      <x:c r="A231" s="41" t="n">
        <x:f>IF(B231=1,A230+1,A230)</x:f>
        <x:v>2035</x:v>
      </x:c>
      <x:c r="B231" s="41" t="n">
        <x:f>IF(B230=26,1,B230+1)</x:f>
        <x:v>22</x:v>
      </x:c>
      <x:c r="C231" s="48" t="n">
        <x:f>Inputs!$F$11</x:f>
        <x:v>600</x:v>
      </x:c>
      <x:c r="D231" s="50" t="n">
        <x:f>IF(B231=1,0,D230+E230)</x:f>
        <x:v>8000</x:v>
      </x:c>
      <x:c r="E231" s="50" t="n">
        <x:f>MIN(C231,MAX(0,Inputs!$B$7-D231))</x:f>
        <x:v>0</x:v>
      </x:c>
      <x:c r="F231" s="50" t="n">
        <x:f>MIN(C231-E231,MAX(0,Inputs!$B$20-O231))</x:f>
        <x:v>600</x:v>
      </x:c>
      <x:c r="G231" s="50" t="n">
        <x:f>0</x:f>
        <x:v>0</x:v>
      </x:c>
      <x:c r="H231" s="41" t="n">
        <x:f>0</x:f>
        <x:v>0</x:v>
      </x:c>
      <x:c r="I231" s="50" t="n">
        <x:f>(I230*(1+Inputs!$B$12))+E231</x:f>
        <x:v>144702.84471477606</x:v>
      </x:c>
      <x:c r="J231" s="50" t="n">
        <x:f>(J230*(1+Inputs!$B$12))+F231+P231</x:f>
        <x:v>154956.17836058134</x:v>
      </x:c>
      <x:c r="K231" s="50" t="n">
        <x:f>(K230*(1+Inputs!$B$12))*(1-H231)</x:f>
        <x:v>0</x:v>
      </x:c>
      <x:c r="L231" s="50" t="n">
        <x:f>L230*(1+Inputs!$B$13)+Q231</x:f>
        <x:v>20409.436394774242</x:v>
      </x:c>
      <x:c r="M231" s="50" t="n">
        <x:f>I231+J231+L231</x:f>
        <x:v>320068.45947013167</x:v>
      </x:c>
      <x:c r="N231" s="50" t="n">
        <x:f>F231+P231</x:f>
        <x:v>600</x:v>
      </x:c>
      <x:c r="O231" s="50" t="n">
        <x:f>IF(B231=1,0,O230+F230+P230)</x:f>
        <x:v>7857.976000000001</x:v>
      </x:c>
      <x:c r="P231" s="50" t="n">
        <x:f>MIN(G231,MAX(0,Inputs!$B$20-O231-F231))</x:f>
        <x:v>0</x:v>
      </x:c>
      <x:c r="Q231" s="50" t="n">
        <x:f>(C231-E231-F231)+(G231-P231)</x:f>
        <x:v>0</x:v>
      </x:c>
    </x:row>
    <x:row r="232">
      <x:c r="A232" s="41" t="n">
        <x:f>IF(B232=1,A231+1,A231)</x:f>
        <x:v>2035</x:v>
      </x:c>
      <x:c r="B232" s="41" t="n">
        <x:f>IF(B231=26,1,B231+1)</x:f>
        <x:v>23</x:v>
      </x:c>
      <x:c r="C232" s="48" t="n">
        <x:f>Inputs!$F$11</x:f>
        <x:v>600</x:v>
      </x:c>
      <x:c r="D232" s="50" t="n">
        <x:f>IF(B232=1,0,D231+E231)</x:f>
        <x:v>8000</x:v>
      </x:c>
      <x:c r="E232" s="50" t="n">
        <x:f>MIN(C232,MAX(0,Inputs!$B$7-D232))</x:f>
        <x:v>0</x:v>
      </x:c>
      <x:c r="F232" s="50" t="n">
        <x:f>MIN(C232-E232,MAX(0,Inputs!$B$20-O232))</x:f>
        <x:v>600</x:v>
      </x:c>
      <x:c r="G232" s="50" t="n">
        <x:f>0</x:f>
        <x:v>0</x:v>
      </x:c>
      <x:c r="H232" s="41" t="n">
        <x:f>0</x:f>
        <x:v>0</x:v>
      </x:c>
      <x:c r="I232" s="50" t="n">
        <x:f>(I231*(1+Inputs!$B$12))+E232</x:f>
        <x:v>144974.64102127176</x:v>
      </x:c>
      <x:c r="J232" s="50" t="n">
        <x:f>(J231*(1+Inputs!$B$12))+F232+P232</x:f>
        <x:v>155847.2335712105</x:v>
      </x:c>
      <x:c r="K232" s="50" t="n">
        <x:f>(K231*(1+Inputs!$B$12))*(1-H232)</x:f>
        <x:v>0</x:v>
      </x:c>
      <x:c r="L232" s="50" t="n">
        <x:f>L231*(1+Inputs!$B$13)+Q232</x:f>
        <x:v>20445.14585411548</x:v>
      </x:c>
      <x:c r="M232" s="50" t="n">
        <x:f>I232+J232+L232</x:f>
        <x:v>321267.0204465977</x:v>
      </x:c>
      <x:c r="N232" s="50" t="n">
        <x:f>F232+P232</x:f>
        <x:v>600</x:v>
      </x:c>
      <x:c r="O232" s="50" t="n">
        <x:f>IF(B232=1,0,O231+F231+P231)</x:f>
        <x:v>8457.976</x:v>
      </x:c>
      <x:c r="P232" s="50" t="n">
        <x:f>MIN(G232,MAX(0,Inputs!$B$20-O232-F232))</x:f>
        <x:v>0</x:v>
      </x:c>
      <x:c r="Q232" s="50" t="n">
        <x:f>(C232-E232-F232)+(G232-P232)</x:f>
        <x:v>0</x:v>
      </x:c>
    </x:row>
    <x:row r="233">
      <x:c r="A233" s="41" t="n">
        <x:f>IF(B233=1,A232+1,A232)</x:f>
        <x:v>2035</x:v>
      </x:c>
      <x:c r="B233" s="41" t="n">
        <x:f>IF(B232=26,1,B232+1)</x:f>
        <x:v>24</x:v>
      </x:c>
      <x:c r="C233" s="48" t="n">
        <x:f>Inputs!$F$11</x:f>
        <x:v>600</x:v>
      </x:c>
      <x:c r="D233" s="50" t="n">
        <x:f>IF(B233=1,0,D232+E232)</x:f>
        <x:v>8000</x:v>
      </x:c>
      <x:c r="E233" s="50" t="n">
        <x:f>MIN(C233,MAX(0,Inputs!$B$7-D233))</x:f>
        <x:v>0</x:v>
      </x:c>
      <x:c r="F233" s="50" t="n">
        <x:f>MIN(C233-E233,MAX(0,Inputs!$B$20-O233))</x:f>
        <x:v>600</x:v>
      </x:c>
      <x:c r="G233" s="50" t="n">
        <x:f>0</x:f>
        <x:v>0</x:v>
      </x:c>
      <x:c r="H233" s="41" t="n">
        <x:f>0</x:f>
        <x:v>0</x:v>
      </x:c>
      <x:c r="I233" s="50" t="n">
        <x:f>(I232*(1+Inputs!$B$12))+E233</x:f>
        <x:v>145246.9478445605</x:v>
      </x:c>
      <x:c r="J233" s="50" t="n">
        <x:f>(J232*(1+Inputs!$B$12))+F233+P233</x:f>
        <x:v>156739.96245671183</x:v>
      </x:c>
      <x:c r="K233" s="50" t="n">
        <x:f>(K232*(1+Inputs!$B$12))*(1-H233)</x:f>
        <x:v>0</x:v>
      </x:c>
      <x:c r="L233" s="50" t="n">
        <x:f>L232*(1+Inputs!$B$13)+Q233</x:f>
        <x:v>20480.91779266789</x:v>
      </x:c>
      <x:c r="M233" s="50" t="n">
        <x:f>I233+J233+L233</x:f>
        <x:v>322467.82809394016</x:v>
      </x:c>
      <x:c r="N233" s="50" t="n">
        <x:f>F233+P233</x:f>
        <x:v>600</x:v>
      </x:c>
      <x:c r="O233" s="50" t="n">
        <x:f>IF(B233=1,0,O232+F232+P232)</x:f>
        <x:v>9057.976</x:v>
      </x:c>
      <x:c r="P233" s="50" t="n">
        <x:f>MIN(G233,MAX(0,Inputs!$B$20-O233-F233))</x:f>
        <x:v>0</x:v>
      </x:c>
      <x:c r="Q233" s="50" t="n">
        <x:f>(C233-E233-F233)+(G233-P233)</x:f>
        <x:v>0</x:v>
      </x:c>
    </x:row>
    <x:row r="234">
      <x:c r="A234" s="41" t="n">
        <x:f>IF(B234=1,A233+1,A233)</x:f>
        <x:v>2035</x:v>
      </x:c>
      <x:c r="B234" s="41" t="n">
        <x:f>IF(B233=26,1,B233+1)</x:f>
        <x:v>25</x:v>
      </x:c>
      <x:c r="C234" s="48" t="n">
        <x:f>Inputs!$F$11</x:f>
        <x:v>600</x:v>
      </x:c>
      <x:c r="D234" s="50" t="n">
        <x:f>IF(B234=1,0,D233+E233)</x:f>
        <x:v>8000</x:v>
      </x:c>
      <x:c r="E234" s="50" t="n">
        <x:f>MIN(C234,MAX(0,Inputs!$B$7-D234))</x:f>
        <x:v>0</x:v>
      </x:c>
      <x:c r="F234" s="50" t="n">
        <x:f>MIN(C234-E234,MAX(0,Inputs!$B$20-O234))</x:f>
        <x:v>600</x:v>
      </x:c>
      <x:c r="G234" s="50" t="n">
        <x:f>0</x:f>
        <x:v>0</x:v>
      </x:c>
      <x:c r="H234" s="41" t="n">
        <x:f>0</x:f>
        <x:v>0</x:v>
      </x:c>
      <x:c r="I234" s="50" t="n">
        <x:f>(I233*(1+Inputs!$B$12))+E234</x:f>
        <x:v>145519.7661435493</x:v>
      </x:c>
      <x:c r="J234" s="50" t="n">
        <x:f>(J233*(1+Inputs!$B$12))+F234+P234</x:f>
        <x:v>157634.36816075988</x:v>
      </x:c>
      <x:c r="K234" s="50" t="n">
        <x:f>(K233*(1+Inputs!$B$12))*(1-H234)</x:f>
        <x:v>0</x:v>
      </x:c>
      <x:c r="L234" s="50" t="n">
        <x:f>L233*(1+Inputs!$B$13)+Q234</x:f>
        <x:v>20516.7523197485</x:v>
      </x:c>
      <x:c r="M234" s="50" t="n">
        <x:f>I234+J234+L234</x:f>
        <x:v>323670.88662405766</x:v>
      </x:c>
      <x:c r="N234" s="50" t="n">
        <x:f>F234+P234</x:f>
        <x:v>600</x:v>
      </x:c>
      <x:c r="O234" s="50" t="n">
        <x:f>IF(B234=1,0,O233+F233+P233)</x:f>
        <x:v>9657.976</x:v>
      </x:c>
      <x:c r="P234" s="50" t="n">
        <x:f>MIN(G234,MAX(0,Inputs!$B$20-O234-F234))</x:f>
        <x:v>0</x:v>
      </x:c>
      <x:c r="Q234" s="50" t="n">
        <x:f>(C234-E234-F234)+(G234-P234)</x:f>
        <x:v>0</x:v>
      </x:c>
    </x:row>
    <x:row r="235">
      <x:c r="A235" s="41" t="n">
        <x:f>IF(B235=1,A234+1,A234)</x:f>
        <x:v>2035</x:v>
      </x:c>
      <x:c r="B235" s="41" t="n">
        <x:f>IF(B234=26,1,B234+1)</x:f>
        <x:v>26</x:v>
      </x:c>
      <x:c r="C235" s="48" t="n">
        <x:f>Inputs!$F$11</x:f>
        <x:v>600</x:v>
      </x:c>
      <x:c r="D235" s="50" t="n">
        <x:f>IF(B235=1,0,D234+E234)</x:f>
        <x:v>8000</x:v>
      </x:c>
      <x:c r="E235" s="50" t="n">
        <x:f>MIN(C235,MAX(0,Inputs!$B$7-D235))</x:f>
        <x:v>0</x:v>
      </x:c>
      <x:c r="F235" s="50" t="n">
        <x:f>MIN(C235-E235,MAX(0,Inputs!$B$20-O235))</x:f>
        <x:v>600</x:v>
      </x:c>
      <x:c r="G235" s="50" t="n">
        <x:f>0</x:f>
        <x:v>0</x:v>
      </x:c>
      <x:c r="H235" s="41" t="n">
        <x:f>IF(A235=Inputs!$B$8,1,0)</x:f>
        <x:v>0</x:v>
      </x:c>
      <x:c r="I235" s="50" t="n">
        <x:f>(I234*(1+Inputs!$B$12))+E235</x:f>
        <x:v>145793.09687894635</x:v>
      </x:c>
      <x:c r="J235" s="50" t="n">
        <x:f>(J234*(1+Inputs!$B$12))+F235+P235</x:f>
        <x:v>158530.453832934</x:v>
      </x:c>
      <x:c r="K235" s="50" t="n">
        <x:f>(K234*(1+Inputs!$B$12))*(1-H235)</x:f>
        <x:v>0</x:v>
      </x:c>
      <x:c r="L235" s="50" t="n">
        <x:f>L234*(1+Inputs!$B$13)+Q235</x:f>
        <x:v>20552.649544865595</x:v>
      </x:c>
      <x:c r="M235" s="50" t="n">
        <x:f>I235+J235+L235</x:f>
        <x:v>324876.2002567459</x:v>
      </x:c>
      <x:c r="N235" s="50" t="n">
        <x:f>F235+P235</x:f>
        <x:v>600</x:v>
      </x:c>
      <x:c r="O235" s="50" t="n">
        <x:f>IF(B235=1,0,O234+F234+P234)</x:f>
        <x:v>10257.976</x:v>
      </x:c>
      <x:c r="P235" s="50" t="n">
        <x:f>MIN(G235,MAX(0,Inputs!$B$20-O235-F235))</x:f>
        <x:v>0</x:v>
      </x:c>
      <x:c r="Q235" s="50" t="n">
        <x:f>(C235-E235-F235)+(G235-P235)</x:f>
        <x:v>0</x:v>
      </x:c>
    </x:row>
    <x:row r="236">
      <x:c r="A236" s="41" t="n">
        <x:f>IF(B236=1,A235+1,A235)</x:f>
        <x:v>2036</x:v>
      </x:c>
      <x:c r="B236" s="41" t="n">
        <x:f>IF(B235=26,1,B235+1)</x:f>
        <x:v>1</x:v>
      </x:c>
      <x:c r="C236" s="48" t="n">
        <x:f>Inputs!$F$12</x:f>
        <x:v>600</x:v>
      </x:c>
      <x:c r="D236" s="50" t="n">
        <x:f>IF(B236=1,0,D235+E235)</x:f>
        <x:v>0</x:v>
      </x:c>
      <x:c r="E236" s="50" t="n">
        <x:f>MIN(C236,MAX(0,Inputs!$B$7-D236))</x:f>
        <x:v>600</x:v>
      </x:c>
      <x:c r="F236" s="50" t="n">
        <x:f>MIN(C236-E236,MAX(0,Inputs!$B$20-O236))</x:f>
        <x:v>0</x:v>
      </x:c>
      <x:c r="G236" s="50" t="n">
        <x:f>0</x:f>
        <x:v>0</x:v>
      </x:c>
      <x:c r="H236" s="41" t="n">
        <x:f>0</x:f>
        <x:v>0</x:v>
      </x:c>
      <x:c r="I236" s="50" t="n">
        <x:f>(I235*(1+Inputs!$B$12))+E236</x:f>
        <x:v>146666.94101326435</x:v>
      </x:c>
      <x:c r="J236" s="50" t="n">
        <x:f>(J235*(1+Inputs!$B$12))+F236+P236</x:f>
        <x:v>158828.22262872936</x:v>
      </x:c>
      <x:c r="K236" s="50" t="n">
        <x:f>(K235*(1+Inputs!$B$12))*(1-H236)</x:f>
        <x:v>0</x:v>
      </x:c>
      <x:c r="L236" s="50" t="n">
        <x:f>L235*(1+Inputs!$B$13)+Q236</x:f>
        <x:v>20588.609577719075</x:v>
      </x:c>
      <x:c r="M236" s="50" t="n">
        <x:f>I236+J236+L236</x:f>
        <x:v>326083.7732197128</x:v>
      </x:c>
      <x:c r="N236" s="50" t="n">
        <x:f>F236+P236</x:f>
        <x:v>0</x:v>
      </x:c>
      <x:c r="O236" s="50" t="n">
        <x:f>IF(B236=1,0,O235+F235+P235)</x:f>
        <x:v>0</x:v>
      </x:c>
      <x:c r="P236" s="50" t="n">
        <x:f>MIN(G236,MAX(0,Inputs!$B$20-O236-F236))</x:f>
        <x:v>0</x:v>
      </x:c>
      <x:c r="Q236" s="50" t="n">
        <x:f>(C236-E236-F236)+(G236-P236)</x:f>
        <x:v>0</x:v>
      </x:c>
    </x:row>
    <x:row r="237">
      <x:c r="A237" s="41" t="n">
        <x:f>IF(B237=1,A236+1,A236)</x:f>
        <x:v>2036</x:v>
      </x:c>
      <x:c r="B237" s="41" t="n">
        <x:f>IF(B236=26,1,B236+1)</x:f>
        <x:v>2</x:v>
      </x:c>
      <x:c r="C237" s="48" t="n">
        <x:f>Inputs!$F$12</x:f>
        <x:v>600</x:v>
      </x:c>
      <x:c r="D237" s="50" t="n">
        <x:f>IF(B237=1,0,D236+E236)</x:f>
        <x:v>600</x:v>
      </x:c>
      <x:c r="E237" s="50" t="n">
        <x:f>MIN(C237,MAX(0,Inputs!$B$7-D237))</x:f>
        <x:v>600</x:v>
      </x:c>
      <x:c r="F237" s="50" t="n">
        <x:f>MIN(C237-E237,MAX(0,Inputs!$B$20-O237))</x:f>
        <x:v>0</x:v>
      </x:c>
      <x:c r="G237" s="50" t="n">
        <x:f>0</x:f>
        <x:v>0</x:v>
      </x:c>
      <x:c r="H237" s="41" t="n">
        <x:f>0</x:f>
        <x:v>0</x:v>
      </x:c>
      <x:c r="I237" s="50" t="n">
        <x:f>(I236*(1+Inputs!$B$12))+E237</x:f>
        <x:v>147542.4264947765</x:v>
      </x:c>
      <x:c r="J237" s="50" t="n">
        <x:f>(J236*(1+Inputs!$B$12))+F237+P237</x:f>
        <x:v>159126.5507256155</x:v>
      </x:c>
      <x:c r="K237" s="50" t="n">
        <x:f>(K236*(1+Inputs!$B$12))*(1-H237)</x:f>
        <x:v>0</x:v>
      </x:c>
      <x:c r="L237" s="50" t="n">
        <x:f>L236*(1+Inputs!$B$13)+Q237</x:f>
        <x:v>20624.632528200764</x:v>
      </x:c>
      <x:c r="M237" s="50" t="n">
        <x:f>I237+J237+L237</x:f>
        <x:v>327293.6097485927</x:v>
      </x:c>
      <x:c r="N237" s="50" t="n">
        <x:f>F237+P237</x:f>
        <x:v>0</x:v>
      </x:c>
      <x:c r="O237" s="50" t="n">
        <x:f>IF(B237=1,0,O236+F236+P236)</x:f>
        <x:v>0</x:v>
      </x:c>
      <x:c r="P237" s="50" t="n">
        <x:f>MIN(G237,MAX(0,Inputs!$B$20-O237-F237))</x:f>
        <x:v>0</x:v>
      </x:c>
      <x:c r="Q237" s="50" t="n">
        <x:f>(C237-E237-F237)+(G237-P237)</x:f>
        <x:v>0</x:v>
      </x:c>
    </x:row>
    <x:row r="238">
      <x:c r="A238" s="41" t="n">
        <x:f>IF(B238=1,A237+1,A237)</x:f>
        <x:v>2036</x:v>
      </x:c>
      <x:c r="B238" s="41" t="n">
        <x:f>IF(B237=26,1,B237+1)</x:f>
        <x:v>3</x:v>
      </x:c>
      <x:c r="C238" s="48" t="n">
        <x:f>Inputs!$F$12</x:f>
        <x:v>600</x:v>
      </x:c>
      <x:c r="D238" s="50" t="n">
        <x:f>IF(B238=1,0,D237+E237)</x:f>
        <x:v>1200</x:v>
      </x:c>
      <x:c r="E238" s="50" t="n">
        <x:f>MIN(C238,MAX(0,Inputs!$B$7-D238))</x:f>
        <x:v>600</x:v>
      </x:c>
      <x:c r="F238" s="50" t="n">
        <x:f>MIN(C238-E238,MAX(0,Inputs!$B$20-O238))</x:f>
        <x:v>0</x:v>
      </x:c>
      <x:c r="G238" s="50" t="n">
        <x:f>0</x:f>
        <x:v>0</x:v>
      </x:c>
      <x:c r="H238" s="41" t="n">
        <x:f>0</x:f>
        <x:v>0</x:v>
      </x:c>
      <x:c r="I238" s="50" t="n">
        <x:f>(I237*(1+Inputs!$B$12))+E238</x:f>
        <x:v>148419.55640643608</x:v>
      </x:c>
      <x:c r="J238" s="50" t="n">
        <x:f>(J237*(1+Inputs!$B$12))+F238+P238</x:f>
        <x:v>159425.43917413132</x:v>
      </x:c>
      <x:c r="K238" s="50" t="n">
        <x:f>(K237*(1+Inputs!$B$12))*(1-H238)</x:f>
        <x:v>0</x:v>
      </x:c>
      <x:c r="L238" s="50" t="n">
        <x:f>L237*(1+Inputs!$B$13)+Q238</x:f>
        <x:v>20660.71850639477</x:v>
      </x:c>
      <x:c r="M238" s="50" t="n">
        <x:f>I238+J238+L238</x:f>
        <x:v>328505.71408696217</x:v>
      </x:c>
      <x:c r="N238" s="50" t="n">
        <x:f>F238+P238</x:f>
        <x:v>0</x:v>
      </x:c>
      <x:c r="O238" s="50" t="n">
        <x:f>IF(B238=1,0,O237+F237+P237)</x:f>
        <x:v>0</x:v>
      </x:c>
      <x:c r="P238" s="50" t="n">
        <x:f>MIN(G238,MAX(0,Inputs!$B$20-O238-F238))</x:f>
        <x:v>0</x:v>
      </x:c>
      <x:c r="Q238" s="50" t="n">
        <x:f>(C238-E238-F238)+(G238-P238)</x:f>
        <x:v>0</x:v>
      </x:c>
    </x:row>
    <x:row r="239">
      <x:c r="A239" s="41" t="n">
        <x:f>IF(B239=1,A238+1,A238)</x:f>
        <x:v>2036</x:v>
      </x:c>
      <x:c r="B239" s="41" t="n">
        <x:f>IF(B238=26,1,B238+1)</x:f>
        <x:v>4</x:v>
      </x:c>
      <x:c r="C239" s="48" t="n">
        <x:f>Inputs!$F$12</x:f>
        <x:v>600</x:v>
      </x:c>
      <x:c r="D239" s="50" t="n">
        <x:f>IF(B239=1,0,D238+E238)</x:f>
        <x:v>1800</x:v>
      </x:c>
      <x:c r="E239" s="50" t="n">
        <x:f>MIN(C239,MAX(0,Inputs!$B$7-D239))</x:f>
        <x:v>600</x:v>
      </x:c>
      <x:c r="F239" s="50" t="n">
        <x:f>MIN(C239-E239,MAX(0,Inputs!$B$20-O239))</x:f>
        <x:v>0</x:v>
      </x:c>
      <x:c r="G239" s="50" t="n">
        <x:f>0</x:f>
        <x:v>0</x:v>
      </x:c>
      <x:c r="H239" s="41" t="n">
        <x:f>0</x:f>
        <x:v>0</x:v>
      </x:c>
      <x:c r="I239" s="50" t="n">
        <x:f>(I238*(1+Inputs!$B$12))+E239</x:f>
        <x:v>149298.33383698706</x:v>
      </x:c>
      <x:c r="J239" s="50" t="n">
        <x:f>(J238*(1+Inputs!$B$12))+F239+P239</x:f>
        <x:v>159724.889026789</x:v>
      </x:c>
      <x:c r="K239" s="50" t="n">
        <x:f>(K238*(1+Inputs!$B$12))*(1-H239)</x:f>
        <x:v>0</x:v>
      </x:c>
      <x:c r="L239" s="50" t="n">
        <x:f>L238*(1+Inputs!$B$13)+Q239</x:f>
        <x:v>20696.8676225778</x:v>
      </x:c>
      <x:c r="M239" s="50" t="n">
        <x:f>I239+J239+L239</x:f>
        <x:v>329720.09048635385</x:v>
      </x:c>
      <x:c r="N239" s="50" t="n">
        <x:f>F239+P239</x:f>
        <x:v>0</x:v>
      </x:c>
      <x:c r="O239" s="50" t="n">
        <x:f>IF(B239=1,0,O238+F238+P238)</x:f>
        <x:v>0</x:v>
      </x:c>
      <x:c r="P239" s="50" t="n">
        <x:f>MIN(G239,MAX(0,Inputs!$B$20-O239-F239))</x:f>
        <x:v>0</x:v>
      </x:c>
      <x:c r="Q239" s="50" t="n">
        <x:f>(C239-E239-F239)+(G239-P239)</x:f>
        <x:v>0</x:v>
      </x:c>
    </x:row>
    <x:row r="240">
      <x:c r="A240" s="41" t="n">
        <x:f>IF(B240=1,A239+1,A239)</x:f>
        <x:v>2036</x:v>
      </x:c>
      <x:c r="B240" s="41" t="n">
        <x:f>IF(B239=26,1,B239+1)</x:f>
        <x:v>5</x:v>
      </x:c>
      <x:c r="C240" s="48" t="n">
        <x:f>Inputs!$F$12</x:f>
        <x:v>600</x:v>
      </x:c>
      <x:c r="D240" s="50" t="n">
        <x:f>IF(B240=1,0,D239+E239)</x:f>
        <x:v>2400</x:v>
      </x:c>
      <x:c r="E240" s="50" t="n">
        <x:f>MIN(C240,MAX(0,Inputs!$B$7-D240))</x:f>
        <x:v>600</x:v>
      </x:c>
      <x:c r="F240" s="50" t="n">
        <x:f>MIN(C240-E240,MAX(0,Inputs!$B$20-O240))</x:f>
        <x:v>0</x:v>
      </x:c>
      <x:c r="G240" s="50" t="n">
        <x:f>0</x:f>
        <x:v>0</x:v>
      </x:c>
      <x:c r="H240" s="41" t="n">
        <x:f>0</x:f>
        <x:v>0</x:v>
      </x:c>
      <x:c r="I240" s="50" t="n">
        <x:f>(I239*(1+Inputs!$B$12))+E240</x:f>
        <x:v>150178.761880975</x:v>
      </x:c>
      <x:c r="J240" s="50" t="n">
        <x:f>(J239*(1+Inputs!$B$12))+F240+P240</x:f>
        <x:v>160024.90133807762</x:v>
      </x:c>
      <x:c r="K240" s="50" t="n">
        <x:f>(K239*(1+Inputs!$B$12))*(1-H240)</x:f>
        <x:v>0</x:v>
      </x:c>
      <x:c r="L240" s="50" t="n">
        <x:f>L239*(1+Inputs!$B$13)+Q240</x:f>
        <x:v>20733.079987219513</x:v>
      </x:c>
      <x:c r="M240" s="50" t="n">
        <x:f>I240+J240+L240</x:f>
        <x:v>330936.74320627213</x:v>
      </x:c>
      <x:c r="N240" s="50" t="n">
        <x:f>F240+P240</x:f>
        <x:v>0</x:v>
      </x:c>
      <x:c r="O240" s="50" t="n">
        <x:f>IF(B240=1,0,O239+F239+P239)</x:f>
        <x:v>0</x:v>
      </x:c>
      <x:c r="P240" s="50" t="n">
        <x:f>MIN(G240,MAX(0,Inputs!$B$20-O240-F240))</x:f>
        <x:v>0</x:v>
      </x:c>
      <x:c r="Q240" s="50" t="n">
        <x:f>(C240-E240-F240)+(G240-P240)</x:f>
        <x:v>0</x:v>
      </x:c>
    </x:row>
    <x:row r="241">
      <x:c r="A241" s="41" t="n">
        <x:f>IF(B241=1,A240+1,A240)</x:f>
        <x:v>2036</x:v>
      </x:c>
      <x:c r="B241" s="41" t="n">
        <x:f>IF(B240=26,1,B240+1)</x:f>
        <x:v>6</x:v>
      </x:c>
      <x:c r="C241" s="48" t="n">
        <x:f>Inputs!$F$12</x:f>
        <x:v>600</x:v>
      </x:c>
      <x:c r="D241" s="50" t="n">
        <x:f>IF(B241=1,0,D240+E240)</x:f>
        <x:v>3000</x:v>
      </x:c>
      <x:c r="E241" s="50" t="n">
        <x:f>MIN(C241,MAX(0,Inputs!$B$7-D241))</x:f>
        <x:v>600</x:v>
      </x:c>
      <x:c r="F241" s="50" t="n">
        <x:f>MIN(C241-E241,MAX(0,Inputs!$B$20-O241))</x:f>
        <x:v>0</x:v>
      </x:c>
      <x:c r="G241" s="50" t="n">
        <x:f>0</x:f>
        <x:v>0</x:v>
      </x:c>
      <x:c r="H241" s="41" t="n">
        <x:f>0</x:f>
        <x:v>0</x:v>
      </x:c>
      <x:c r="I241" s="50" t="n">
        <x:f>(I240*(1+Inputs!$B$12))+E241</x:f>
        <x:v>151060.84363875803</x:v>
      </x:c>
      <x:c r="J241" s="50" t="n">
        <x:f>(J240*(1+Inputs!$B$12))+F241+P241</x:f>
        <x:v>160325.47716446695</x:v>
      </x:c>
      <x:c r="K241" s="50" t="n">
        <x:f>(K240*(1+Inputs!$B$12))*(1-H241)</x:f>
        <x:v>0</x:v>
      </x:c>
      <x:c r="L241" s="50" t="n">
        <x:f>L240*(1+Inputs!$B$13)+Q241</x:f>
        <x:v>20769.35571098285</x:v>
      </x:c>
      <x:c r="M241" s="50" t="n">
        <x:f>I241+J241+L241</x:f>
        <x:v>332155.67651420785</x:v>
      </x:c>
      <x:c r="N241" s="50" t="n">
        <x:f>F241+P241</x:f>
        <x:v>0</x:v>
      </x:c>
      <x:c r="O241" s="50" t="n">
        <x:f>IF(B241=1,0,O240+F240+P240)</x:f>
        <x:v>0</x:v>
      </x:c>
      <x:c r="P241" s="50" t="n">
        <x:f>MIN(G241,MAX(0,Inputs!$B$20-O241-F241))</x:f>
        <x:v>0</x:v>
      </x:c>
      <x:c r="Q241" s="50" t="n">
        <x:f>(C241-E241-F241)+(G241-P241)</x:f>
        <x:v>0</x:v>
      </x:c>
    </x:row>
    <x:row r="242">
      <x:c r="A242" s="41" t="n">
        <x:f>IF(B242=1,A241+1,A241)</x:f>
        <x:v>2036</x:v>
      </x:c>
      <x:c r="B242" s="41" t="n">
        <x:f>IF(B241=26,1,B241+1)</x:f>
        <x:v>7</x:v>
      </x:c>
      <x:c r="C242" s="48" t="n">
        <x:f>Inputs!$F$12</x:f>
        <x:v>600</x:v>
      </x:c>
      <x:c r="D242" s="50" t="n">
        <x:f>IF(B242=1,0,D241+E241)</x:f>
        <x:v>3600</x:v>
      </x:c>
      <x:c r="E242" s="50" t="n">
        <x:f>MIN(C242,MAX(0,Inputs!$B$7-D242))</x:f>
        <x:v>600</x:v>
      </x:c>
      <x:c r="F242" s="50" t="n">
        <x:f>MIN(C242-E242,MAX(0,Inputs!$B$20-O242))</x:f>
        <x:v>0</x:v>
      </x:c>
      <x:c r="G242" s="50" t="n">
        <x:f>0</x:f>
        <x:v>0</x:v>
      </x:c>
      <x:c r="H242" s="41" t="n">
        <x:f>0</x:f>
        <x:v>0</x:v>
      </x:c>
      <x:c r="I242" s="50" t="n">
        <x:f>(I241*(1+Inputs!$B$12))+E242</x:f>
        <x:v>151944.58221651765</x:v>
      </x:c>
      <x:c r="J242" s="50" t="n">
        <x:f>(J241*(1+Inputs!$B$12))+F242+P242</x:f>
        <x:v>160626.6175644111</x:v>
      </x:c>
      <x:c r="K242" s="50" t="n">
        <x:f>(K241*(1+Inputs!$B$12))*(1-H242)</x:f>
        <x:v>0</x:v>
      </x:c>
      <x:c r="L242" s="50" t="n">
        <x:f>L241*(1+Inputs!$B$13)+Q242</x:f>
        <x:v>20805.694904724376</x:v>
      </x:c>
      <x:c r="M242" s="50" t="n">
        <x:f>I242+J242+L242</x:f>
        <x:v>333376.89468565315</x:v>
      </x:c>
      <x:c r="N242" s="50" t="n">
        <x:f>F242+P242</x:f>
        <x:v>0</x:v>
      </x:c>
      <x:c r="O242" s="50" t="n">
        <x:f>IF(B242=1,0,O241+F241+P241)</x:f>
        <x:v>0</x:v>
      </x:c>
      <x:c r="P242" s="50" t="n">
        <x:f>MIN(G242,MAX(0,Inputs!$B$20-O242-F242))</x:f>
        <x:v>0</x:v>
      </x:c>
      <x:c r="Q242" s="50" t="n">
        <x:f>(C242-E242-F242)+(G242-P242)</x:f>
        <x:v>0</x:v>
      </x:c>
    </x:row>
    <x:row r="243">
      <x:c r="A243" s="41" t="n">
        <x:f>IF(B243=1,A242+1,A242)</x:f>
        <x:v>2036</x:v>
      </x:c>
      <x:c r="B243" s="41" t="n">
        <x:f>IF(B242=26,1,B242+1)</x:f>
        <x:v>8</x:v>
      </x:c>
      <x:c r="C243" s="48" t="n">
        <x:f>Inputs!$F$12</x:f>
        <x:v>600</x:v>
      </x:c>
      <x:c r="D243" s="50" t="n">
        <x:f>IF(B243=1,0,D242+E242)</x:f>
        <x:v>4200</x:v>
      </x:c>
      <x:c r="E243" s="50" t="n">
        <x:f>MIN(C243,MAX(0,Inputs!$B$7-D243))</x:f>
        <x:v>600</x:v>
      </x:c>
      <x:c r="F243" s="50" t="n">
        <x:f>MIN(C243-E243,MAX(0,Inputs!$B$20-O243))</x:f>
        <x:v>0</x:v>
      </x:c>
      <x:c r="G243" s="50" t="n">
        <x:f>0</x:f>
        <x:v>0</x:v>
      </x:c>
      <x:c r="H243" s="41" t="n">
        <x:f>0</x:f>
        <x:v>0</x:v>
      </x:c>
      <x:c r="I243" s="50" t="n">
        <x:f>(I242*(1+Inputs!$B$12))+E243</x:f>
        <x:v>152829.98072626974</x:v>
      </x:c>
      <x:c r="J243" s="50" t="n">
        <x:f>(J242*(1+Inputs!$B$12))+F243+P243</x:f>
        <x:v>160928.32359835232</x:v>
      </x:c>
      <x:c r="K243" s="50" t="n">
        <x:f>(K242*(1+Inputs!$B$12))*(1-H243)</x:f>
        <x:v>0</x:v>
      </x:c>
      <x:c r="L243" s="50" t="n">
        <x:f>L242*(1+Inputs!$B$13)+Q243</x:f>
        <x:v>20842.09767949461</x:v>
      </x:c>
      <x:c r="M243" s="50" t="n">
        <x:f>I243+J243+L243</x:f>
        <x:v>334600.4020041166</x:v>
      </x:c>
      <x:c r="N243" s="50" t="n">
        <x:f>F243+P243</x:f>
        <x:v>0</x:v>
      </x:c>
      <x:c r="O243" s="50" t="n">
        <x:f>IF(B243=1,0,O242+F242+P242)</x:f>
        <x:v>0</x:v>
      </x:c>
      <x:c r="P243" s="50" t="n">
        <x:f>MIN(G243,MAX(0,Inputs!$B$20-O243-F243))</x:f>
        <x:v>0</x:v>
      </x:c>
      <x:c r="Q243" s="50" t="n">
        <x:f>(C243-E243-F243)+(G243-P243)</x:f>
        <x:v>0</x:v>
      </x:c>
    </x:row>
    <x:row r="244">
      <x:c r="A244" s="41" t="n">
        <x:f>IF(B244=1,A243+1,A243)</x:f>
        <x:v>2036</x:v>
      </x:c>
      <x:c r="B244" s="41" t="n">
        <x:f>IF(B243=26,1,B243+1)</x:f>
        <x:v>9</x:v>
      </x:c>
      <x:c r="C244" s="48" t="n">
        <x:f>Inputs!$F$12</x:f>
        <x:v>600</x:v>
      </x:c>
      <x:c r="D244" s="50" t="n">
        <x:f>IF(B244=1,0,D243+E243)</x:f>
        <x:v>4800</x:v>
      </x:c>
      <x:c r="E244" s="50" t="n">
        <x:f>MIN(C244,MAX(0,Inputs!$B$7-D244))</x:f>
        <x:v>600</x:v>
      </x:c>
      <x:c r="F244" s="50" t="n">
        <x:f>MIN(C244-E244,MAX(0,Inputs!$B$20-O244))</x:f>
        <x:v>0</x:v>
      </x:c>
      <x:c r="G244" s="50" t="n">
        <x:f>SUM(N210:N235)*Inputs!$B$6</x:f>
        <x:v>3257.3928</x:v>
      </x:c>
      <x:c r="H244" s="41" t="n">
        <x:f>0</x:f>
        <x:v>0</x:v>
      </x:c>
      <x:c r="I244" s="50" t="n">
        <x:f>(I243*(1+Inputs!$B$12))+E244</x:f>
        <x:v>153717.04228587548</x:v>
      </x:c>
      <x:c r="J244" s="50" t="n">
        <x:f>(J243*(1+Inputs!$B$12))+F244+P244</x:f>
        <x:v>164487.98912872464</x:v>
      </x:c>
      <x:c r="K244" s="50" t="n">
        <x:f>(K243*(1+Inputs!$B$12))*(1-H244)</x:f>
        <x:v>0</x:v>
      </x:c>
      <x:c r="L244" s="50" t="n">
        <x:f>L243*(1+Inputs!$B$13)+Q244</x:f>
        <x:v>20878.56414653838</x:v>
      </x:c>
      <x:c r="M244" s="50" t="n">
        <x:f>I244+J244+L244</x:f>
        <x:v>339083.59556113847</x:v>
      </x:c>
      <x:c r="N244" s="50" t="n">
        <x:f>F244+P244</x:f>
        <x:v>3257.3928</x:v>
      </x:c>
      <x:c r="O244" s="50" t="n">
        <x:f>IF(B244=1,0,O243+F243+P243)</x:f>
        <x:v>0</x:v>
      </x:c>
      <x:c r="P244" s="50" t="n">
        <x:f>MIN(G244,MAX(0,Inputs!$B$20-O244-F244))</x:f>
        <x:v>3257.3928</x:v>
      </x:c>
      <x:c r="Q244" s="50" t="n">
        <x:f>(C244-E244-F244)+(G244-P244)</x:f>
        <x:v>0</x:v>
      </x:c>
    </x:row>
    <x:row r="245">
      <x:c r="A245" s="41" t="n">
        <x:f>IF(B245=1,A244+1,A244)</x:f>
        <x:v>2036</x:v>
      </x:c>
      <x:c r="B245" s="41" t="n">
        <x:f>IF(B244=26,1,B244+1)</x:f>
        <x:v>10</x:v>
      </x:c>
      <x:c r="C245" s="48" t="n">
        <x:f>Inputs!$F$12</x:f>
        <x:v>600</x:v>
      </x:c>
      <x:c r="D245" s="50" t="n">
        <x:f>IF(B245=1,0,D244+E244)</x:f>
        <x:v>5400</x:v>
      </x:c>
      <x:c r="E245" s="50" t="n">
        <x:f>MIN(C245,MAX(0,Inputs!$B$7-D245))</x:f>
        <x:v>600</x:v>
      </x:c>
      <x:c r="F245" s="50" t="n">
        <x:f>MIN(C245-E245,MAX(0,Inputs!$B$20-O245))</x:f>
        <x:v>0</x:v>
      </x:c>
      <x:c r="G245" s="50" t="n">
        <x:f>0</x:f>
        <x:v>0</x:v>
      </x:c>
      <x:c r="H245" s="41" t="n">
        <x:f>0</x:f>
        <x:v>0</x:v>
      </x:c>
      <x:c r="I245" s="50" t="n">
        <x:f>(I244*(1+Inputs!$B$12))+E245</x:f>
        <x:v>154605.77001905238</x:v>
      </x:c>
      <x:c r="J245" s="50" t="n">
        <x:f>(J244*(1+Inputs!$B$12))+F245+P245</x:f>
        <x:v>164796.9480023129</x:v>
      </x:c>
      <x:c r="K245" s="50" t="n">
        <x:f>(K244*(1+Inputs!$B$12))*(1-H245)</x:f>
        <x:v>0</x:v>
      </x:c>
      <x:c r="L245" s="50" t="n">
        <x:f>L244*(1+Inputs!$B$13)+Q245</x:f>
        <x:v>20915.094417295153</x:v>
      </x:c>
      <x:c r="M245" s="50" t="n">
        <x:f>I245+J245+L245</x:f>
        <x:v>340317.8124386604</x:v>
      </x:c>
      <x:c r="N245" s="50" t="n">
        <x:f>F245+P245</x:f>
        <x:v>0</x:v>
      </x:c>
      <x:c r="O245" s="50" t="n">
        <x:f>IF(B245=1,0,O244+F244+P244)</x:f>
        <x:v>3257.3928</x:v>
      </x:c>
      <x:c r="P245" s="50" t="n">
        <x:f>MIN(G245,MAX(0,Inputs!$B$20-O245-F245))</x:f>
        <x:v>0</x:v>
      </x:c>
      <x:c r="Q245" s="50" t="n">
        <x:f>(C245-E245-F245)+(G245-P245)</x:f>
        <x:v>0</x:v>
      </x:c>
    </x:row>
    <x:row r="246">
      <x:c r="A246" s="41" t="n">
        <x:f>IF(B246=1,A245+1,A245)</x:f>
        <x:v>2036</x:v>
      </x:c>
      <x:c r="B246" s="41" t="n">
        <x:f>IF(B245=26,1,B245+1)</x:f>
        <x:v>11</x:v>
      </x:c>
      <x:c r="C246" s="48" t="n">
        <x:f>Inputs!$F$12</x:f>
        <x:v>600</x:v>
      </x:c>
      <x:c r="D246" s="50" t="n">
        <x:f>IF(B246=1,0,D245+E245)</x:f>
        <x:v>6000</x:v>
      </x:c>
      <x:c r="E246" s="50" t="n">
        <x:f>MIN(C246,MAX(0,Inputs!$B$7-D246))</x:f>
        <x:v>600</x:v>
      </x:c>
      <x:c r="F246" s="50" t="n">
        <x:f>MIN(C246-E246,MAX(0,Inputs!$B$20-O246))</x:f>
        <x:v>0</x:v>
      </x:c>
      <x:c r="G246" s="50" t="n">
        <x:f>0</x:f>
        <x:v>0</x:v>
      </x:c>
      <x:c r="H246" s="41" t="n">
        <x:f>0</x:f>
        <x:v>0</x:v>
      </x:c>
      <x:c r="I246" s="50" t="n">
        <x:f>(I245*(1+Inputs!$B$12))+E246</x:f>
        <x:v>155496.16705538522</x:v>
      </x:c>
      <x:c r="J246" s="50" t="n">
        <x:f>(J245*(1+Inputs!$B$12))+F246+P246</x:f>
        <x:v>165106.4871953888</x:v>
      </x:c>
      <x:c r="K246" s="50" t="n">
        <x:f>(K245*(1+Inputs!$B$12))*(1-H246)</x:f>
        <x:v>0</x:v>
      </x:c>
      <x:c r="L246" s="50" t="n">
        <x:f>L245*(1+Inputs!$B$13)+Q246</x:f>
        <x:v>20951.68860339937</x:v>
      </x:c>
      <x:c r="M246" s="50" t="n">
        <x:f>I246+J246+L246</x:f>
        <x:v>341554.3428541734</x:v>
      </x:c>
      <x:c r="N246" s="50" t="n">
        <x:f>F246+P246</x:f>
        <x:v>0</x:v>
      </x:c>
      <x:c r="O246" s="50" t="n">
        <x:f>IF(B246=1,0,O245+F245+P245)</x:f>
        <x:v>3257.3928</x:v>
      </x:c>
      <x:c r="P246" s="50" t="n">
        <x:f>MIN(G246,MAX(0,Inputs!$B$20-O246-F246))</x:f>
        <x:v>0</x:v>
      </x:c>
      <x:c r="Q246" s="50" t="n">
        <x:f>(C246-E246-F246)+(G246-P246)</x:f>
        <x:v>0</x:v>
      </x:c>
    </x:row>
    <x:row r="247">
      <x:c r="A247" s="41" t="n">
        <x:f>IF(B247=1,A246+1,A246)</x:f>
        <x:v>2036</x:v>
      </x:c>
      <x:c r="B247" s="41" t="n">
        <x:f>IF(B246=26,1,B246+1)</x:f>
        <x:v>12</x:v>
      </x:c>
      <x:c r="C247" s="48" t="n">
        <x:f>Inputs!$F$12</x:f>
        <x:v>600</x:v>
      </x:c>
      <x:c r="D247" s="50" t="n">
        <x:f>IF(B247=1,0,D246+E246)</x:f>
        <x:v>6600</x:v>
      </x:c>
      <x:c r="E247" s="50" t="n">
        <x:f>MIN(C247,MAX(0,Inputs!$B$7-D247))</x:f>
        <x:v>600</x:v>
      </x:c>
      <x:c r="F247" s="50" t="n">
        <x:f>MIN(C247-E247,MAX(0,Inputs!$B$20-O247))</x:f>
        <x:v>0</x:v>
      </x:c>
      <x:c r="G247" s="50" t="n">
        <x:f>0</x:f>
        <x:v>0</x:v>
      </x:c>
      <x:c r="H247" s="41" t="n">
        <x:f>0</x:f>
        <x:v>0</x:v>
      </x:c>
      <x:c r="I247" s="50" t="n">
        <x:f>(I246*(1+Inputs!$B$12))+E247</x:f>
        <x:v>156388.23653033713</x:v>
      </x:c>
      <x:c r="J247" s="50" t="n">
        <x:f>(J246*(1+Inputs!$B$12))+F247+P247</x:f>
        <x:v>165416.60779797018</x:v>
      </x:c>
      <x:c r="K247" s="50" t="n">
        <x:f>(K246*(1+Inputs!$B$12))*(1-H247)</x:f>
        <x:v>0</x:v>
      </x:c>
      <x:c r="L247" s="50" t="n">
        <x:f>L246*(1+Inputs!$B$13)+Q247</x:f>
        <x:v>20988.346816680794</x:v>
      </x:c>
      <x:c r="M247" s="50" t="n">
        <x:f>I247+J247+L247</x:f>
        <x:v>342793.1911449881</x:v>
      </x:c>
      <x:c r="N247" s="50" t="n">
        <x:f>F247+P247</x:f>
        <x:v>0</x:v>
      </x:c>
      <x:c r="O247" s="50" t="n">
        <x:f>IF(B247=1,0,O246+F246+P246)</x:f>
        <x:v>3257.3928</x:v>
      </x:c>
      <x:c r="P247" s="50" t="n">
        <x:f>MIN(G247,MAX(0,Inputs!$B$20-O247-F247))</x:f>
        <x:v>0</x:v>
      </x:c>
      <x:c r="Q247" s="50" t="n">
        <x:f>(C247-E247-F247)+(G247-P247)</x:f>
        <x:v>0</x:v>
      </x:c>
    </x:row>
    <x:row r="248">
      <x:c r="A248" s="41" t="n">
        <x:f>IF(B248=1,A247+1,A247)</x:f>
        <x:v>2036</x:v>
      </x:c>
      <x:c r="B248" s="41" t="n">
        <x:f>IF(B247=26,1,B247+1)</x:f>
        <x:v>13</x:v>
      </x:c>
      <x:c r="C248" s="48" t="n">
        <x:f>Inputs!$F$12</x:f>
        <x:v>600</x:v>
      </x:c>
      <x:c r="D248" s="50" t="n">
        <x:f>IF(B248=1,0,D247+E247)</x:f>
        <x:v>7200</x:v>
      </x:c>
      <x:c r="E248" s="50" t="n">
        <x:f>MIN(C248,MAX(0,Inputs!$B$7-D248))</x:f>
        <x:v>600</x:v>
      </x:c>
      <x:c r="F248" s="50" t="n">
        <x:f>MIN(C248-E248,MAX(0,Inputs!$B$20-O248))</x:f>
        <x:v>0</x:v>
      </x:c>
      <x:c r="G248" s="50" t="n">
        <x:f>0</x:f>
        <x:v>0</x:v>
      </x:c>
      <x:c r="H248" s="41" t="n">
        <x:f>0</x:f>
        <x:v>0</x:v>
      </x:c>
      <x:c r="I248" s="50" t="n">
        <x:f>(I247*(1+Inputs!$B$12))+E248</x:f>
        <x:v>157281.9815852606</x:v>
      </x:c>
      <x:c r="J248" s="50" t="n">
        <x:f>(J247*(1+Inputs!$B$12))+F248+P248</x:f>
        <x:v>165727.3109021224</x:v>
      </x:c>
      <x:c r="K248" s="50" t="n">
        <x:f>(K247*(1+Inputs!$B$12))*(1-H248)</x:f>
        <x:v>0</x:v>
      </x:c>
      <x:c r="L248" s="50" t="n">
        <x:f>L247*(1+Inputs!$B$13)+Q248</x:f>
        <x:v>21025.06916916486</x:v>
      </x:c>
      <x:c r="M248" s="50" t="n">
        <x:f>I248+J248+L248</x:f>
        <x:v>344034.3616565479</x:v>
      </x:c>
      <x:c r="N248" s="50" t="n">
        <x:f>F248+P248</x:f>
        <x:v>0</x:v>
      </x:c>
      <x:c r="O248" s="50" t="n">
        <x:f>IF(B248=1,0,O247+F247+P247)</x:f>
        <x:v>3257.3928</x:v>
      </x:c>
      <x:c r="P248" s="50" t="n">
        <x:f>MIN(G248,MAX(0,Inputs!$B$20-O248-F248))</x:f>
        <x:v>0</x:v>
      </x:c>
      <x:c r="Q248" s="50" t="n">
        <x:f>(C248-E248-F248)+(G248-P248)</x:f>
        <x:v>0</x:v>
      </x:c>
    </x:row>
    <x:row r="249">
      <x:c r="A249" s="41" t="n">
        <x:f>IF(B249=1,A248+1,A248)</x:f>
        <x:v>2036</x:v>
      </x:c>
      <x:c r="B249" s="41" t="n">
        <x:f>IF(B248=26,1,B248+1)</x:f>
        <x:v>14</x:v>
      </x:c>
      <x:c r="C249" s="48" t="n">
        <x:f>Inputs!$F$12</x:f>
        <x:v>600</x:v>
      </x:c>
      <x:c r="D249" s="50" t="n">
        <x:f>IF(B249=1,0,D248+E248)</x:f>
        <x:v>7800</x:v>
      </x:c>
      <x:c r="E249" s="50" t="n">
        <x:f>MIN(C249,MAX(0,Inputs!$B$7-D249))</x:f>
        <x:v>200</x:v>
      </x:c>
      <x:c r="F249" s="50" t="n">
        <x:f>MIN(C249-E249,MAX(0,Inputs!$B$20-O249))</x:f>
        <x:v>400</x:v>
      </x:c>
      <x:c r="G249" s="50" t="n">
        <x:f>0</x:f>
        <x:v>0</x:v>
      </x:c>
      <x:c r="H249" s="41" t="n">
        <x:f>0</x:f>
        <x:v>0</x:v>
      </x:c>
      <x:c r="I249" s="50" t="n">
        <x:f>(I248*(1+Inputs!$B$12))+E249</x:f>
        <x:v>157777.4053674085</x:v>
      </x:c>
      <x:c r="J249" s="50" t="n">
        <x:f>(J248*(1+Inputs!$B$12))+F249+P249</x:f>
        <x:v>166438.597601962</x:v>
      </x:c>
      <x:c r="K249" s="50" t="n">
        <x:f>(K248*(1+Inputs!$B$12))*(1-H249)</x:f>
        <x:v>0</x:v>
      </x:c>
      <x:c r="L249" s="50" t="n">
        <x:f>L248*(1+Inputs!$B$13)+Q249</x:f>
        <x:v>21061.855773073003</x:v>
      </x:c>
      <x:c r="M249" s="50" t="n">
        <x:f>I249+J249+L249</x:f>
        <x:v>345277.8587424435</x:v>
      </x:c>
      <x:c r="N249" s="50" t="n">
        <x:f>F249+P249</x:f>
        <x:v>400</x:v>
      </x:c>
      <x:c r="O249" s="50" t="n">
        <x:f>IF(B249=1,0,O248+F248+P248)</x:f>
        <x:v>3257.3928</x:v>
      </x:c>
      <x:c r="P249" s="50" t="n">
        <x:f>MIN(G249,MAX(0,Inputs!$B$20-O249-F249))</x:f>
        <x:v>0</x:v>
      </x:c>
      <x:c r="Q249" s="50" t="n">
        <x:f>(C249-E249-F249)+(G249-P249)</x:f>
        <x:v>0</x:v>
      </x:c>
    </x:row>
    <x:row r="250">
      <x:c r="A250" s="41" t="n">
        <x:f>IF(B250=1,A249+1,A249)</x:f>
        <x:v>2036</x:v>
      </x:c>
      <x:c r="B250" s="41" t="n">
        <x:f>IF(B249=26,1,B249+1)</x:f>
        <x:v>15</x:v>
      </x:c>
      <x:c r="C250" s="48" t="n">
        <x:f>Inputs!$F$12</x:f>
        <x:v>600</x:v>
      </x:c>
      <x:c r="D250" s="50" t="n">
        <x:f>IF(B250=1,0,D249+E249)</x:f>
        <x:v>8000</x:v>
      </x:c>
      <x:c r="E250" s="50" t="n">
        <x:f>MIN(C250,MAX(0,Inputs!$B$7-D250))</x:f>
        <x:v>0</x:v>
      </x:c>
      <x:c r="F250" s="50" t="n">
        <x:f>MIN(C250-E250,MAX(0,Inputs!$B$20-O250))</x:f>
        <x:v>600</x:v>
      </x:c>
      <x:c r="G250" s="50" t="n">
        <x:f>0</x:f>
        <x:v>0</x:v>
      </x:c>
      <x:c r="H250" s="41" t="n">
        <x:f>0</x:f>
        <x:v>0</x:v>
      </x:c>
      <x:c r="I250" s="50" t="n">
        <x:f>(I249*(1+Inputs!$B$12))+E250</x:f>
        <x:v>158073.75970731015</x:v>
      </x:c>
      <x:c r="J250" s="50" t="n">
        <x:f>(J249*(1+Inputs!$B$12))+F250+P250</x:f>
        <x:v>167351.22031629572</x:v>
      </x:c>
      <x:c r="K250" s="50" t="n">
        <x:f>(K249*(1+Inputs!$B$12))*(1-H250)</x:f>
        <x:v>0</x:v>
      </x:c>
      <x:c r="L250" s="50" t="n">
        <x:f>L249*(1+Inputs!$B$13)+Q250</x:f>
        <x:v>21098.706740823003</x:v>
      </x:c>
      <x:c r="M250" s="50" t="n">
        <x:f>I250+J250+L250</x:f>
        <x:v>346523.68676442886</x:v>
      </x:c>
      <x:c r="N250" s="50" t="n">
        <x:f>F250+P250</x:f>
        <x:v>600</x:v>
      </x:c>
      <x:c r="O250" s="50" t="n">
        <x:f>IF(B250=1,0,O249+F249+P249)</x:f>
        <x:v>3657.3928</x:v>
      </x:c>
      <x:c r="P250" s="50" t="n">
        <x:f>MIN(G250,MAX(0,Inputs!$B$20-O250-F250))</x:f>
        <x:v>0</x:v>
      </x:c>
      <x:c r="Q250" s="50" t="n">
        <x:f>(C250-E250-F250)+(G250-P250)</x:f>
        <x:v>0</x:v>
      </x:c>
    </x:row>
    <x:row r="251">
      <x:c r="A251" s="41" t="n">
        <x:f>IF(B251=1,A250+1,A250)</x:f>
        <x:v>2036</x:v>
      </x:c>
      <x:c r="B251" s="41" t="n">
        <x:f>IF(B250=26,1,B250+1)</x:f>
        <x:v>16</x:v>
      </x:c>
      <x:c r="C251" s="48" t="n">
        <x:f>Inputs!$F$12</x:f>
        <x:v>600</x:v>
      </x:c>
      <x:c r="D251" s="50" t="n">
        <x:f>IF(B251=1,0,D250+E250)</x:f>
        <x:v>8000</x:v>
      </x:c>
      <x:c r="E251" s="50" t="n">
        <x:f>MIN(C251,MAX(0,Inputs!$B$7-D251))</x:f>
        <x:v>0</x:v>
      </x:c>
      <x:c r="F251" s="50" t="n">
        <x:f>MIN(C251-E251,MAX(0,Inputs!$B$20-O251))</x:f>
        <x:v>600</x:v>
      </x:c>
      <x:c r="G251" s="50" t="n">
        <x:f>0</x:f>
        <x:v>0</x:v>
      </x:c>
      <x:c r="H251" s="41" t="n">
        <x:f>0</x:f>
        <x:v>0</x:v>
      </x:c>
      <x:c r="I251" s="50" t="n">
        <x:f>(I250*(1+Inputs!$B$12))+E251</x:f>
        <x:v>158370.67069152076</x:v>
      </x:c>
      <x:c r="J251" s="50" t="n">
        <x:f>(J250*(1+Inputs!$B$12))+F251+P251</x:f>
        <x:v>168265.55721588587</x:v>
      </x:c>
      <x:c r="K251" s="50" t="n">
        <x:f>(K250*(1+Inputs!$B$12))*(1-H251)</x:f>
        <x:v>0</x:v>
      </x:c>
      <x:c r="L251" s="50" t="n">
        <x:f>L250*(1+Inputs!$B$13)+Q251</x:f>
        <x:v>21135.62218502934</x:v>
      </x:c>
      <x:c r="M251" s="50" t="n">
        <x:f>I251+J251+L251</x:f>
        <x:v>347771.85009243595</x:v>
      </x:c>
      <x:c r="N251" s="50" t="n">
        <x:f>F251+P251</x:f>
        <x:v>600</x:v>
      </x:c>
      <x:c r="O251" s="50" t="n">
        <x:f>IF(B251=1,0,O250+F250+P250)</x:f>
        <x:v>4257.3928</x:v>
      </x:c>
      <x:c r="P251" s="50" t="n">
        <x:f>MIN(G251,MAX(0,Inputs!$B$20-O251-F251))</x:f>
        <x:v>0</x:v>
      </x:c>
      <x:c r="Q251" s="50" t="n">
        <x:f>(C251-E251-F251)+(G251-P251)</x:f>
        <x:v>0</x:v>
      </x:c>
    </x:row>
    <x:row r="252">
      <x:c r="A252" s="41" t="n">
        <x:f>IF(B252=1,A251+1,A251)</x:f>
        <x:v>2036</x:v>
      </x:c>
      <x:c r="B252" s="41" t="n">
        <x:f>IF(B251=26,1,B251+1)</x:f>
        <x:v>17</x:v>
      </x:c>
      <x:c r="C252" s="48" t="n">
        <x:f>Inputs!$F$12</x:f>
        <x:v>600</x:v>
      </x:c>
      <x:c r="D252" s="50" t="n">
        <x:f>IF(B252=1,0,D251+E251)</x:f>
        <x:v>8000</x:v>
      </x:c>
      <x:c r="E252" s="50" t="n">
        <x:f>MIN(C252,MAX(0,Inputs!$B$7-D252))</x:f>
        <x:v>0</x:v>
      </x:c>
      <x:c r="F252" s="50" t="n">
        <x:f>MIN(C252-E252,MAX(0,Inputs!$B$20-O252))</x:f>
        <x:v>600</x:v>
      </x:c>
      <x:c r="G252" s="50" t="n">
        <x:f>0</x:f>
        <x:v>0</x:v>
      </x:c>
      <x:c r="H252" s="41" t="n">
        <x:f>0</x:f>
        <x:v>0</x:v>
      </x:c>
      <x:c r="I252" s="50" t="n">
        <x:f>(I251*(1+Inputs!$B$12))+E252</x:f>
        <x:v>158668.13936558898</x:v>
      </x:c>
      <x:c r="J252" s="50" t="n">
        <x:f>(J251*(1+Inputs!$B$12))+F252+P252</x:f>
        <x:v>169181.61152049797</x:v>
      </x:c>
      <x:c r="K252" s="50" t="n">
        <x:f>(K251*(1+Inputs!$B$12))*(1-H252)</x:f>
        <x:v>0</x:v>
      </x:c>
      <x:c r="L252" s="50" t="n">
        <x:f>L251*(1+Inputs!$B$13)+Q252</x:f>
        <x:v>21172.60221850353</x:v>
      </x:c>
      <x:c r="M252" s="50" t="n">
        <x:f>I252+J252+L252</x:f>
        <x:v>349022.3531045905</x:v>
      </x:c>
      <x:c r="N252" s="50" t="n">
        <x:f>F252+P252</x:f>
        <x:v>600</x:v>
      </x:c>
      <x:c r="O252" s="50" t="n">
        <x:f>IF(B252=1,0,O251+F251+P251)</x:f>
        <x:v>4857.3928</x:v>
      </x:c>
      <x:c r="P252" s="50" t="n">
        <x:f>MIN(G252,MAX(0,Inputs!$B$20-O252-F252))</x:f>
        <x:v>0</x:v>
      </x:c>
      <x:c r="Q252" s="50" t="n">
        <x:f>(C252-E252-F252)+(G252-P252)</x:f>
        <x:v>0</x:v>
      </x:c>
    </x:row>
    <x:row r="253">
      <x:c r="A253" s="41" t="n">
        <x:f>IF(B253=1,A252+1,A252)</x:f>
        <x:v>2036</x:v>
      </x:c>
      <x:c r="B253" s="41" t="n">
        <x:f>IF(B252=26,1,B252+1)</x:f>
        <x:v>18</x:v>
      </x:c>
      <x:c r="C253" s="48" t="n">
        <x:f>Inputs!$F$12</x:f>
        <x:v>600</x:v>
      </x:c>
      <x:c r="D253" s="50" t="n">
        <x:f>IF(B253=1,0,D252+E252)</x:f>
        <x:v>8000</x:v>
      </x:c>
      <x:c r="E253" s="50" t="n">
        <x:f>MIN(C253,MAX(0,Inputs!$B$7-D253))</x:f>
        <x:v>0</x:v>
      </x:c>
      <x:c r="F253" s="50" t="n">
        <x:f>MIN(C253-E253,MAX(0,Inputs!$B$20-O253))</x:f>
        <x:v>600</x:v>
      </x:c>
      <x:c r="G253" s="50" t="n">
        <x:f>0</x:f>
        <x:v>0</x:v>
      </x:c>
      <x:c r="H253" s="41" t="n">
        <x:f>0</x:f>
        <x:v>0</x:v>
      </x:c>
      <x:c r="I253" s="50" t="n">
        <x:f>(I252*(1+Inputs!$B$12))+E253</x:f>
        <x:v>158966.16677702736</x:v>
      </x:c>
      <x:c r="J253" s="50" t="n">
        <x:f>(J252*(1+Inputs!$B$12))+F253+P253</x:f>
        <x:v>170099.38645594518</x:v>
      </x:c>
      <x:c r="K253" s="50" t="n">
        <x:f>(K252*(1+Inputs!$B$12))*(1-H253)</x:f>
        <x:v>0</x:v>
      </x:c>
      <x:c r="L253" s="50" t="n">
        <x:f>L252*(1+Inputs!$B$13)+Q253</x:f>
        <x:v>21209.64695425446</x:v>
      </x:c>
      <x:c r="M253" s="50" t="n">
        <x:f>I253+J253+L253</x:f>
        <x:v>350275.200187227</x:v>
      </x:c>
      <x:c r="N253" s="50" t="n">
        <x:f>F253+P253</x:f>
        <x:v>600</x:v>
      </x:c>
      <x:c r="O253" s="50" t="n">
        <x:f>IF(B253=1,0,O252+F252+P252)</x:f>
        <x:v>5457.3928</x:v>
      </x:c>
      <x:c r="P253" s="50" t="n">
        <x:f>MIN(G253,MAX(0,Inputs!$B$20-O253-F253))</x:f>
        <x:v>0</x:v>
      </x:c>
      <x:c r="Q253" s="50" t="n">
        <x:f>(C253-E253-F253)+(G253-P253)</x:f>
        <x:v>0</x:v>
      </x:c>
    </x:row>
    <x:row r="254">
      <x:c r="A254" s="41" t="n">
        <x:f>IF(B254=1,A253+1,A253)</x:f>
        <x:v>2036</x:v>
      </x:c>
      <x:c r="B254" s="41" t="n">
        <x:f>IF(B253=26,1,B253+1)</x:f>
        <x:v>19</x:v>
      </x:c>
      <x:c r="C254" s="48" t="n">
        <x:f>Inputs!$F$12</x:f>
        <x:v>600</x:v>
      </x:c>
      <x:c r="D254" s="50" t="n">
        <x:f>IF(B254=1,0,D253+E253)</x:f>
        <x:v>8000</x:v>
      </x:c>
      <x:c r="E254" s="50" t="n">
        <x:f>MIN(C254,MAX(0,Inputs!$B$7-D254))</x:f>
        <x:v>0</x:v>
      </x:c>
      <x:c r="F254" s="50" t="n">
        <x:f>MIN(C254-E254,MAX(0,Inputs!$B$20-O254))</x:f>
        <x:v>600</x:v>
      </x:c>
      <x:c r="G254" s="50" t="n">
        <x:f>0</x:f>
        <x:v>0</x:v>
      </x:c>
      <x:c r="H254" s="41" t="n">
        <x:f>0</x:f>
        <x:v>0</x:v>
      </x:c>
      <x:c r="I254" s="50" t="n">
        <x:f>(I253*(1+Inputs!$B$12))+E254</x:f>
        <x:v>159264.75397531598</x:v>
      </x:c>
      <x:c r="J254" s="50" t="n">
        <x:f>(J253*(1+Inputs!$B$12))+F254+P254</x:f>
        <x:v>171018.8852540997</x:v>
      </x:c>
      <x:c r="K254" s="50" t="n">
        <x:f>(K253*(1+Inputs!$B$12))*(1-H254)</x:f>
        <x:v>0</x:v>
      </x:c>
      <x:c r="L254" s="50" t="n">
        <x:f>L253*(1+Inputs!$B$13)+Q254</x:f>
        <x:v>21246.756505488753</x:v>
      </x:c>
      <x:c r="M254" s="50" t="n">
        <x:f>I254+J254+L254</x:f>
        <x:v>351530.39573490445</x:v>
      </x:c>
      <x:c r="N254" s="50" t="n">
        <x:f>F254+P254</x:f>
        <x:v>600</x:v>
      </x:c>
      <x:c r="O254" s="50" t="n">
        <x:f>IF(B254=1,0,O253+F253+P253)</x:f>
        <x:v>6057.3928</x:v>
      </x:c>
      <x:c r="P254" s="50" t="n">
        <x:f>MIN(G254,MAX(0,Inputs!$B$20-O254-F254))</x:f>
        <x:v>0</x:v>
      </x:c>
      <x:c r="Q254" s="50" t="n">
        <x:f>(C254-E254-F254)+(G254-P254)</x:f>
        <x:v>0</x:v>
      </x:c>
    </x:row>
    <x:row r="255">
      <x:c r="A255" s="41" t="n">
        <x:f>IF(B255=1,A254+1,A254)</x:f>
        <x:v>2036</x:v>
      </x:c>
      <x:c r="B255" s="41" t="n">
        <x:f>IF(B254=26,1,B254+1)</x:f>
        <x:v>20</x:v>
      </x:c>
      <x:c r="C255" s="48" t="n">
        <x:f>Inputs!$F$12</x:f>
        <x:v>600</x:v>
      </x:c>
      <x:c r="D255" s="50" t="n">
        <x:f>IF(B255=1,0,D254+E254)</x:f>
        <x:v>8000</x:v>
      </x:c>
      <x:c r="E255" s="50" t="n">
        <x:f>MIN(C255,MAX(0,Inputs!$B$7-D255))</x:f>
        <x:v>0</x:v>
      </x:c>
      <x:c r="F255" s="50" t="n">
        <x:f>MIN(C255-E255,MAX(0,Inputs!$B$20-O255))</x:f>
        <x:v>600</x:v>
      </x:c>
      <x:c r="G255" s="50" t="n">
        <x:f>0</x:f>
        <x:v>0</x:v>
      </x:c>
      <x:c r="H255" s="41" t="n">
        <x:f>0</x:f>
        <x:v>0</x:v>
      </x:c>
      <x:c r="I255" s="50" t="n">
        <x:f>(I254*(1+Inputs!$B$12))+E255</x:f>
        <x:v>159563.90201190618</x:v>
      </x:c>
      <x:c r="J255" s="50" t="n">
        <x:f>(J254*(1+Inputs!$B$12))+F255+P255</x:f>
        <x:v>171940.11115290425</x:v>
      </x:c>
      <x:c r="K255" s="50" t="n">
        <x:f>(K254*(1+Inputs!$B$12))*(1-H255)</x:f>
        <x:v>0</x:v>
      </x:c>
      <x:c r="L255" s="50" t="n">
        <x:f>L254*(1+Inputs!$B$13)+Q255</x:f>
        <x:v>21283.930985611103</x:v>
      </x:c>
      <x:c r="M255" s="50" t="n">
        <x:f>I255+J255+L255</x:f>
        <x:v>352787.94415042154</x:v>
      </x:c>
      <x:c r="N255" s="50" t="n">
        <x:f>F255+P255</x:f>
        <x:v>600</x:v>
      </x:c>
      <x:c r="O255" s="50" t="n">
        <x:f>IF(B255=1,0,O254+F254+P254)</x:f>
        <x:v>6657.3928</x:v>
      </x:c>
      <x:c r="P255" s="50" t="n">
        <x:f>MIN(G255,MAX(0,Inputs!$B$20-O255-F255))</x:f>
        <x:v>0</x:v>
      </x:c>
      <x:c r="Q255" s="50" t="n">
        <x:f>(C255-E255-F255)+(G255-P255)</x:f>
        <x:v>0</x:v>
      </x:c>
    </x:row>
    <x:row r="256">
      <x:c r="A256" s="41" t="n">
        <x:f>IF(B256=1,A255+1,A255)</x:f>
        <x:v>2036</x:v>
      </x:c>
      <x:c r="B256" s="41" t="n">
        <x:f>IF(B255=26,1,B255+1)</x:f>
        <x:v>21</x:v>
      </x:c>
      <x:c r="C256" s="48" t="n">
        <x:f>Inputs!$F$12</x:f>
        <x:v>600</x:v>
      </x:c>
      <x:c r="D256" s="50" t="n">
        <x:f>IF(B256=1,0,D255+E255)</x:f>
        <x:v>8000</x:v>
      </x:c>
      <x:c r="E256" s="50" t="n">
        <x:f>MIN(C256,MAX(0,Inputs!$B$7-D256))</x:f>
        <x:v>0</x:v>
      </x:c>
      <x:c r="F256" s="50" t="n">
        <x:f>MIN(C256-E256,MAX(0,Inputs!$B$20-O256))</x:f>
        <x:v>600</x:v>
      </x:c>
      <x:c r="G256" s="50" t="n">
        <x:f>0</x:f>
        <x:v>0</x:v>
      </x:c>
      <x:c r="H256" s="41" t="n">
        <x:f>0</x:f>
        <x:v>0</x:v>
      </x:c>
      <x:c r="I256" s="50" t="n">
        <x:f>(I255*(1+Inputs!$B$12))+E256</x:f>
        <x:v>159863.6119402242</x:v>
      </x:c>
      <x:c r="J256" s="50" t="n">
        <x:f>(J255*(1+Inputs!$B$12))+F256+P256</x:f>
        <x:v>172863.06739638335</x:v>
      </x:c>
      <x:c r="K256" s="50" t="n">
        <x:f>(K255*(1+Inputs!$B$12))*(1-H256)</x:f>
        <x:v>0</x:v>
      </x:c>
      <x:c r="L256" s="50" t="n">
        <x:f>L255*(1+Inputs!$B$13)+Q256</x:f>
        <x:v>21321.170508224623</x:v>
      </x:c>
      <x:c r="M256" s="50" t="n">
        <x:f>I256+J256+L256</x:f>
        <x:v>354047.8498448322</x:v>
      </x:c>
      <x:c r="N256" s="50" t="n">
        <x:f>F256+P256</x:f>
        <x:v>600</x:v>
      </x:c>
      <x:c r="O256" s="50" t="n">
        <x:f>IF(B256=1,0,O255+F255+P255)</x:f>
        <x:v>7257.3928</x:v>
      </x:c>
      <x:c r="P256" s="50" t="n">
        <x:f>MIN(G256,MAX(0,Inputs!$B$20-O256-F256))</x:f>
        <x:v>0</x:v>
      </x:c>
      <x:c r="Q256" s="50" t="n">
        <x:f>(C256-E256-F256)+(G256-P256)</x:f>
        <x:v>0</x:v>
      </x:c>
    </x:row>
    <x:row r="257">
      <x:c r="A257" s="41" t="n">
        <x:f>IF(B257=1,A256+1,A256)</x:f>
        <x:v>2036</x:v>
      </x:c>
      <x:c r="B257" s="41" t="n">
        <x:f>IF(B256=26,1,B256+1)</x:f>
        <x:v>22</x:v>
      </x:c>
      <x:c r="C257" s="48" t="n">
        <x:f>Inputs!$F$12</x:f>
        <x:v>600</x:v>
      </x:c>
      <x:c r="D257" s="50" t="n">
        <x:f>IF(B257=1,0,D256+E256)</x:f>
        <x:v>8000</x:v>
      </x:c>
      <x:c r="E257" s="50" t="n">
        <x:f>MIN(C257,MAX(0,Inputs!$B$7-D257))</x:f>
        <x:v>0</x:v>
      </x:c>
      <x:c r="F257" s="50" t="n">
        <x:f>MIN(C257-E257,MAX(0,Inputs!$B$20-O257))</x:f>
        <x:v>600</x:v>
      </x:c>
      <x:c r="G257" s="50" t="n">
        <x:f>0</x:f>
        <x:v>0</x:v>
      </x:c>
      <x:c r="H257" s="41" t="n">
        <x:f>0</x:f>
        <x:v>0</x:v>
      </x:c>
      <x:c r="I257" s="50" t="n">
        <x:f>(I256*(1+Inputs!$B$12))+E257</x:f>
        <x:v>160163.884815675</x:v>
      </x:c>
      <x:c r="J257" s="50" t="n">
        <x:f>(J256*(1+Inputs!$B$12))+F257+P257</x:f>
        <x:v>173787.7572346548</x:v>
      </x:c>
      <x:c r="K257" s="50" t="n">
        <x:f>(K256*(1+Inputs!$B$12))*(1-H257)</x:f>
        <x:v>0</x:v>
      </x:c>
      <x:c r="L257" s="50" t="n">
        <x:f>L256*(1+Inputs!$B$13)+Q257</x:f>
        <x:v>21358.47518713119</x:v>
      </x:c>
      <x:c r="M257" s="50" t="n">
        <x:f>I257+J257+L257</x:f>
        <x:v>355310.11723746103</x:v>
      </x:c>
      <x:c r="N257" s="50" t="n">
        <x:f>F257+P257</x:f>
        <x:v>600</x:v>
      </x:c>
      <x:c r="O257" s="50" t="n">
        <x:f>IF(B257=1,0,O256+F256+P256)</x:f>
        <x:v>7857.3928</x:v>
      </x:c>
      <x:c r="P257" s="50" t="n">
        <x:f>MIN(G257,MAX(0,Inputs!$B$20-O257-F257))</x:f>
        <x:v>0</x:v>
      </x:c>
      <x:c r="Q257" s="50" t="n">
        <x:f>(C257-E257-F257)+(G257-P257)</x:f>
        <x:v>0</x:v>
      </x:c>
    </x:row>
    <x:row r="258">
      <x:c r="A258" s="41" t="n">
        <x:f>IF(B258=1,A257+1,A257)</x:f>
        <x:v>2036</x:v>
      </x:c>
      <x:c r="B258" s="41" t="n">
        <x:f>IF(B257=26,1,B257+1)</x:f>
        <x:v>23</x:v>
      </x:c>
      <x:c r="C258" s="48" t="n">
        <x:f>Inputs!$F$12</x:f>
        <x:v>600</x:v>
      </x:c>
      <x:c r="D258" s="50" t="n">
        <x:f>IF(B258=1,0,D257+E257)</x:f>
        <x:v>8000</x:v>
      </x:c>
      <x:c r="E258" s="50" t="n">
        <x:f>MIN(C258,MAX(0,Inputs!$B$7-D258))</x:f>
        <x:v>0</x:v>
      </x:c>
      <x:c r="F258" s="50" t="n">
        <x:f>MIN(C258-E258,MAX(0,Inputs!$B$20-O258))</x:f>
        <x:v>600</x:v>
      </x:c>
      <x:c r="G258" s="50" t="n">
        <x:f>0</x:f>
        <x:v>0</x:v>
      </x:c>
      <x:c r="H258" s="41" t="n">
        <x:f>0</x:f>
        <x:v>0</x:v>
      </x:c>
      <x:c r="I258" s="50" t="n">
        <x:f>(I257*(1+Inputs!$B$12))+E258</x:f>
        <x:v>160464.7216956459</x:v>
      </x:c>
      <x:c r="J258" s="50" t="n">
        <x:f>(J257*(1+Inputs!$B$12))+F258+P258</x:f>
        <x:v>174714.18392394108</x:v>
      </x:c>
      <x:c r="K258" s="50" t="n">
        <x:f>(K257*(1+Inputs!$B$12))*(1-H258)</x:f>
        <x:v>0</x:v>
      </x:c>
      <x:c r="L258" s="50" t="n">
        <x:f>L257*(1+Inputs!$B$13)+Q258</x:f>
        <x:v>21395.845136331794</x:v>
      </x:c>
      <x:c r="M258" s="50" t="n">
        <x:f>I258+J258+L258</x:f>
        <x:v>356574.75075591874</x:v>
      </x:c>
      <x:c r="N258" s="50" t="n">
        <x:f>F258+P258</x:f>
        <x:v>600</x:v>
      </x:c>
      <x:c r="O258" s="50" t="n">
        <x:f>IF(B258=1,0,O257+F257+P257)</x:f>
        <x:v>8457.3928</x:v>
      </x:c>
      <x:c r="P258" s="50" t="n">
        <x:f>MIN(G258,MAX(0,Inputs!$B$20-O258-F258))</x:f>
        <x:v>0</x:v>
      </x:c>
      <x:c r="Q258" s="50" t="n">
        <x:f>(C258-E258-F258)+(G258-P258)</x:f>
        <x:v>0</x:v>
      </x:c>
    </x:row>
    <x:row r="259">
      <x:c r="A259" s="41" t="n">
        <x:f>IF(B259=1,A258+1,A258)</x:f>
        <x:v>2036</x:v>
      </x:c>
      <x:c r="B259" s="41" t="n">
        <x:f>IF(B258=26,1,B258+1)</x:f>
        <x:v>24</x:v>
      </x:c>
      <x:c r="C259" s="48" t="n">
        <x:f>Inputs!$F$12</x:f>
        <x:v>600</x:v>
      </x:c>
      <x:c r="D259" s="50" t="n">
        <x:f>IF(B259=1,0,D258+E258)</x:f>
        <x:v>8000</x:v>
      </x:c>
      <x:c r="E259" s="50" t="n">
        <x:f>MIN(C259,MAX(0,Inputs!$B$7-D259))</x:f>
        <x:v>0</x:v>
      </x:c>
      <x:c r="F259" s="50" t="n">
        <x:f>MIN(C259-E259,MAX(0,Inputs!$B$20-O259))</x:f>
        <x:v>600</x:v>
      </x:c>
      <x:c r="G259" s="50" t="n">
        <x:f>0</x:f>
        <x:v>0</x:v>
      </x:c>
      <x:c r="H259" s="41" t="n">
        <x:f>0</x:f>
        <x:v>0</x:v>
      </x:c>
      <x:c r="I259" s="50" t="n">
        <x:f>(I258*(1+Inputs!$B$12))+E259</x:f>
        <x:v>160766.12363951028</x:v>
      </x:c>
      <x:c r="J259" s="50" t="n">
        <x:f>(J258*(1+Inputs!$B$12))+F259+P259</x:f>
        <x:v>175642.35072658095</x:v>
      </x:c>
      <x:c r="K259" s="50" t="n">
        <x:f>(K258*(1+Inputs!$B$12))*(1-H259)</x:f>
        <x:v>0</x:v>
      </x:c>
      <x:c r="L259" s="50" t="n">
        <x:f>L258*(1+Inputs!$B$13)+Q259</x:f>
        <x:v>21433.280470026893</x:v>
      </x:c>
      <x:c r="M259" s="50" t="n">
        <x:f>I259+J259+L259</x:f>
        <x:v>357841.7548361181</x:v>
      </x:c>
      <x:c r="N259" s="50" t="n">
        <x:f>F259+P259</x:f>
        <x:v>600</x:v>
      </x:c>
      <x:c r="O259" s="50" t="n">
        <x:f>IF(B259=1,0,O258+F258+P258)</x:f>
        <x:v>9057.3928</x:v>
      </x:c>
      <x:c r="P259" s="50" t="n">
        <x:f>MIN(G259,MAX(0,Inputs!$B$20-O259-F259))</x:f>
        <x:v>0</x:v>
      </x:c>
      <x:c r="Q259" s="50" t="n">
        <x:f>(C259-E259-F259)+(G259-P259)</x:f>
        <x:v>0</x:v>
      </x:c>
    </x:row>
    <x:row r="260">
      <x:c r="A260" s="41" t="n">
        <x:f>IF(B260=1,A259+1,A259)</x:f>
        <x:v>2036</x:v>
      </x:c>
      <x:c r="B260" s="41" t="n">
        <x:f>IF(B259=26,1,B259+1)</x:f>
        <x:v>25</x:v>
      </x:c>
      <x:c r="C260" s="48" t="n">
        <x:f>Inputs!$F$12</x:f>
        <x:v>600</x:v>
      </x:c>
      <x:c r="D260" s="50" t="n">
        <x:f>IF(B260=1,0,D259+E259)</x:f>
        <x:v>8000</x:v>
      </x:c>
      <x:c r="E260" s="50" t="n">
        <x:f>MIN(C260,MAX(0,Inputs!$B$7-D260))</x:f>
        <x:v>0</x:v>
      </x:c>
      <x:c r="F260" s="50" t="n">
        <x:f>MIN(C260-E260,MAX(0,Inputs!$B$20-O260))</x:f>
        <x:v>600</x:v>
      </x:c>
      <x:c r="G260" s="50" t="n">
        <x:f>0</x:f>
        <x:v>0</x:v>
      </x:c>
      <x:c r="H260" s="41" t="n">
        <x:f>0</x:f>
        <x:v>0</x:v>
      </x:c>
      <x:c r="I260" s="50" t="n">
        <x:f>(I259*(1+Inputs!$B$12))+E260</x:f>
        <x:v>161068.09170863137</x:v>
      </x:c>
      <x:c r="J260" s="50" t="n">
        <x:f>(J259*(1+Inputs!$B$12))+F260+P260</x:f>
        <x:v>176572.26091104074</x:v>
      </x:c>
      <x:c r="K260" s="50" t="n">
        <x:f>(K259*(1+Inputs!$B$12))*(1-H260)</x:f>
        <x:v>0</x:v>
      </x:c>
      <x:c r="L260" s="50" t="n">
        <x:f>L259*(1+Inputs!$B$13)+Q260</x:f>
        <x:v>21470.78130261675</x:v>
      </x:c>
      <x:c r="M260" s="50" t="n">
        <x:f>I260+J260+L260</x:f>
        <x:v>359111.13392228883</x:v>
      </x:c>
      <x:c r="N260" s="50" t="n">
        <x:f>F260+P260</x:f>
        <x:v>600</x:v>
      </x:c>
      <x:c r="O260" s="50" t="n">
        <x:f>IF(B260=1,0,O259+F259+P259)</x:f>
        <x:v>9657.3928</x:v>
      </x:c>
      <x:c r="P260" s="50" t="n">
        <x:f>MIN(G260,MAX(0,Inputs!$B$20-O260-F260))</x:f>
        <x:v>0</x:v>
      </x:c>
      <x:c r="Q260" s="50" t="n">
        <x:f>(C260-E260-F260)+(G260-P260)</x:f>
        <x:v>0</x:v>
      </x:c>
    </x:row>
    <x:row r="261">
      <x:c r="A261" s="41" t="n">
        <x:f>IF(B261=1,A260+1,A260)</x:f>
        <x:v>2036</x:v>
      </x:c>
      <x:c r="B261" s="41" t="n">
        <x:f>IF(B260=26,1,B260+1)</x:f>
        <x:v>26</x:v>
      </x:c>
      <x:c r="C261" s="48" t="n">
        <x:f>Inputs!$F$12</x:f>
        <x:v>600</x:v>
      </x:c>
      <x:c r="D261" s="50" t="n">
        <x:f>IF(B261=1,0,D260+E260)</x:f>
        <x:v>8000</x:v>
      </x:c>
      <x:c r="E261" s="50" t="n">
        <x:f>MIN(C261,MAX(0,Inputs!$B$7-D261))</x:f>
        <x:v>0</x:v>
      </x:c>
      <x:c r="F261" s="50" t="n">
        <x:f>MIN(C261-E261,MAX(0,Inputs!$B$20-O261))</x:f>
        <x:v>600</x:v>
      </x:c>
      <x:c r="G261" s="50" t="n">
        <x:f>0</x:f>
        <x:v>0</x:v>
      </x:c>
      <x:c r="H261" s="41" t="n">
        <x:f>IF(A261=Inputs!$B$8,1,0)</x:f>
        <x:v>0</x:v>
      </x:c>
      <x:c r="I261" s="50" t="n">
        <x:f>(I260*(1+Inputs!$B$12))+E261</x:f>
        <x:v>161370.626966366</x:v>
      </x:c>
      <x:c r="J261" s="50" t="n">
        <x:f>(J260*(1+Inputs!$B$12))+F261+P261</x:f>
        <x:v>177503.91775192603</x:v>
      </x:c>
      <x:c r="K261" s="50" t="n">
        <x:f>(K260*(1+Inputs!$B$12))*(1-H261)</x:f>
        <x:v>0</x:v>
      </x:c>
      <x:c r="L261" s="50" t="n">
        <x:f>L260*(1+Inputs!$B$13)+Q261</x:f>
        <x:v>21508.34774870179</x:v>
      </x:c>
      <x:c r="M261" s="50" t="n">
        <x:f>I261+J261+L261</x:f>
        <x:v>360382.8924669938</x:v>
      </x:c>
      <x:c r="N261" s="50" t="n">
        <x:f>F261+P261</x:f>
        <x:v>600</x:v>
      </x:c>
      <x:c r="O261" s="50" t="n">
        <x:f>IF(B261=1,0,O260+F260+P260)</x:f>
        <x:v>10257.3928</x:v>
      </x:c>
      <x:c r="P261" s="50" t="n">
        <x:f>MIN(G261,MAX(0,Inputs!$B$20-O261-F261))</x:f>
        <x:v>0</x:v>
      </x:c>
      <x:c r="Q261" s="50" t="n">
        <x:f>(C261-E261-F261)+(G261-P261)</x:f>
        <x:v>0</x:v>
      </x:c>
    </x:row>
    <x:row r="262">
      <x:c r="A262" s="41" t="n">
        <x:f>IF(B262=1,A261+1,A261)</x:f>
        <x:v>2037</x:v>
      </x:c>
      <x:c r="B262" s="41" t="n">
        <x:f>IF(B261=26,1,B261+1)</x:f>
        <x:v>1</x:v>
      </x:c>
      <x:c r="C262" s="48" t="n">
        <x:f>Inputs!$F$13</x:f>
        <x:v>600</x:v>
      </x:c>
      <x:c r="D262" s="50" t="n">
        <x:f>IF(B262=1,0,D261+E261)</x:f>
        <x:v>0</x:v>
      </x:c>
      <x:c r="E262" s="50" t="n">
        <x:f>MIN(C262,MAX(0,Inputs!$B$7-D262))</x:f>
        <x:v>600</x:v>
      </x:c>
      <x:c r="F262" s="50" t="n">
        <x:f>MIN(C262-E262,MAX(0,Inputs!$B$20-O262))</x:f>
        <x:v>0</x:v>
      </x:c>
      <x:c r="G262" s="50" t="n">
        <x:f>0</x:f>
        <x:v>0</x:v>
      </x:c>
      <x:c r="H262" s="41" t="n">
        <x:f>0</x:f>
        <x:v>0</x:v>
      </x:c>
      <x:c r="I262" s="50" t="n">
        <x:f>(I261*(1+Inputs!$B$12))+E262</x:f>
        <x:v>162273.73047806826</x:v>
      </x:c>
      <x:c r="J262" s="50" t="n">
        <x:f>(J261*(1+Inputs!$B$12))+F262+P262</x:f>
        <x:v>177837.3245299931</x:v>
      </x:c>
      <x:c r="K262" s="50" t="n">
        <x:f>(K261*(1+Inputs!$B$12))*(1-H262)</x:f>
        <x:v>0</x:v>
      </x:c>
      <x:c r="L262" s="50" t="n">
        <x:f>L261*(1+Inputs!$B$13)+Q262</x:f>
        <x:v>21545.979923082956</x:v>
      </x:c>
      <x:c r="M262" s="50" t="n">
        <x:f>I262+J262+L262</x:f>
        <x:v>361657.0349311443</x:v>
      </x:c>
      <x:c r="N262" s="50" t="n">
        <x:f>F262+P262</x:f>
        <x:v>0</x:v>
      </x:c>
      <x:c r="O262" s="50" t="n">
        <x:f>IF(B262=1,0,O261+F261+P261)</x:f>
        <x:v>0</x:v>
      </x:c>
      <x:c r="P262" s="50" t="n">
        <x:f>MIN(G262,MAX(0,Inputs!$B$20-O262-F262))</x:f>
        <x:v>0</x:v>
      </x:c>
      <x:c r="Q262" s="50" t="n">
        <x:f>(C262-E262-F262)+(G262-P262)</x:f>
        <x:v>0</x:v>
      </x:c>
    </x:row>
    <x:row r="263">
      <x:c r="A263" s="41" t="n">
        <x:f>IF(B263=1,A262+1,A262)</x:f>
        <x:v>2037</x:v>
      </x:c>
      <x:c r="B263" s="41" t="n">
        <x:f>IF(B262=26,1,B262+1)</x:f>
        <x:v>2</x:v>
      </x:c>
      <x:c r="C263" s="48" t="n">
        <x:f>Inputs!$F$13</x:f>
        <x:v>600</x:v>
      </x:c>
      <x:c r="D263" s="50" t="n">
        <x:f>IF(B263=1,0,D262+E262)</x:f>
        <x:v>600</x:v>
      </x:c>
      <x:c r="E263" s="50" t="n">
        <x:f>MIN(C263,MAX(0,Inputs!$B$7-D263))</x:f>
        <x:v>600</x:v>
      </x:c>
      <x:c r="F263" s="50" t="n">
        <x:f>MIN(C263-E263,MAX(0,Inputs!$B$20-O263))</x:f>
        <x:v>0</x:v>
      </x:c>
      <x:c r="G263" s="50" t="n">
        <x:f>0</x:f>
        <x:v>0</x:v>
      </x:c>
      <x:c r="H263" s="41" t="n">
        <x:f>0</x:f>
        <x:v>0</x:v>
      </x:c>
      <x:c r="I263" s="50" t="n">
        <x:f>(I262*(1+Inputs!$B$12))+E263</x:f>
        <x:v>163178.530295046</x:v>
      </x:c>
      <x:c r="J263" s="50" t="n">
        <x:f>(J262*(1+Inputs!$B$12))+F263+P263</x:f>
        <x:v>178171.3575482078</x:v>
      </x:c>
      <x:c r="K263" s="50" t="n">
        <x:f>(K262*(1+Inputs!$B$12))*(1-H263)</x:f>
        <x:v>0</x:v>
      </x:c>
      <x:c r="L263" s="50" t="n">
        <x:f>L262*(1+Inputs!$B$13)+Q263</x:f>
        <x:v>21583.677940762045</x:v>
      </x:c>
      <x:c r="M263" s="50" t="n">
        <x:f>I263+J263+L263</x:f>
        <x:v>362933.5657840158</x:v>
      </x:c>
      <x:c r="N263" s="50" t="n">
        <x:f>F263+P263</x:f>
        <x:v>0</x:v>
      </x:c>
      <x:c r="O263" s="50" t="n">
        <x:f>IF(B263=1,0,O262+F262+P262)</x:f>
        <x:v>0</x:v>
      </x:c>
      <x:c r="P263" s="50" t="n">
        <x:f>MIN(G263,MAX(0,Inputs!$B$20-O263-F263))</x:f>
        <x:v>0</x:v>
      </x:c>
      <x:c r="Q263" s="50" t="n">
        <x:f>(C263-E263-F263)+(G263-P263)</x:f>
        <x:v>0</x:v>
      </x:c>
    </x:row>
    <x:row r="264">
      <x:c r="A264" s="41" t="n">
        <x:f>IF(B264=1,A263+1,A263)</x:f>
        <x:v>2037</x:v>
      </x:c>
      <x:c r="B264" s="41" t="n">
        <x:f>IF(B263=26,1,B263+1)</x:f>
        <x:v>3</x:v>
      </x:c>
      <x:c r="C264" s="48" t="n">
        <x:f>Inputs!$F$13</x:f>
        <x:v>600</x:v>
      </x:c>
      <x:c r="D264" s="50" t="n">
        <x:f>IF(B264=1,0,D263+E263)</x:f>
        <x:v>1200</x:v>
      </x:c>
      <x:c r="E264" s="50" t="n">
        <x:f>MIN(C264,MAX(0,Inputs!$B$7-D264))</x:f>
        <x:v>600</x:v>
      </x:c>
      <x:c r="F264" s="50" t="n">
        <x:f>MIN(C264-E264,MAX(0,Inputs!$B$20-O264))</x:f>
        <x:v>0</x:v>
      </x:c>
      <x:c r="G264" s="50" t="n">
        <x:f>0</x:f>
        <x:v>0</x:v>
      </x:c>
      <x:c r="H264" s="41" t="n">
        <x:f>0</x:f>
        <x:v>0</x:v>
      </x:c>
      <x:c r="I264" s="50" t="n">
        <x:f>(I263*(1+Inputs!$B$12))+E264</x:f>
        <x:v>164085.02960348054</x:v>
      </x:c>
      <x:c r="J264" s="50" t="n">
        <x:f>(J263*(1+Inputs!$B$12))+F264+P264</x:f>
        <x:v>178506.01798284115</x:v>
      </x:c>
      <x:c r="K264" s="50" t="n">
        <x:f>(K263*(1+Inputs!$B$12))*(1-H264)</x:f>
        <x:v>0</x:v>
      </x:c>
      <x:c r="L264" s="50" t="n">
        <x:f>L263*(1+Inputs!$B$13)+Q264</x:f>
        <x:v>21621.44191694207</x:v>
      </x:c>
      <x:c r="M264" s="50" t="n">
        <x:f>I264+J264+L264</x:f>
        <x:v>364212.4895032638</x:v>
      </x:c>
      <x:c r="N264" s="50" t="n">
        <x:f>F264+P264</x:f>
        <x:v>0</x:v>
      </x:c>
      <x:c r="O264" s="50" t="n">
        <x:f>IF(B264=1,0,O263+F263+P263)</x:f>
        <x:v>0</x:v>
      </x:c>
      <x:c r="P264" s="50" t="n">
        <x:f>MIN(G264,MAX(0,Inputs!$B$20-O264-F264))</x:f>
        <x:v>0</x:v>
      </x:c>
      <x:c r="Q264" s="50" t="n">
        <x:f>(C264-E264-F264)+(G264-P264)</x:f>
        <x:v>0</x:v>
      </x:c>
    </x:row>
    <x:row r="265">
      <x:c r="A265" s="41" t="n">
        <x:f>IF(B265=1,A264+1,A264)</x:f>
        <x:v>2037</x:v>
      </x:c>
      <x:c r="B265" s="41" t="n">
        <x:f>IF(B264=26,1,B264+1)</x:f>
        <x:v>4</x:v>
      </x:c>
      <x:c r="C265" s="48" t="n">
        <x:f>Inputs!$F$13</x:f>
        <x:v>600</x:v>
      </x:c>
      <x:c r="D265" s="50" t="n">
        <x:f>IF(B265=1,0,D264+E264)</x:f>
        <x:v>1800</x:v>
      </x:c>
      <x:c r="E265" s="50" t="n">
        <x:f>MIN(C265,MAX(0,Inputs!$B$7-D265))</x:f>
        <x:v>600</x:v>
      </x:c>
      <x:c r="F265" s="50" t="n">
        <x:f>MIN(C265-E265,MAX(0,Inputs!$B$20-O265))</x:f>
        <x:v>0</x:v>
      </x:c>
      <x:c r="G265" s="50" t="n">
        <x:f>0</x:f>
        <x:v>0</x:v>
      </x:c>
      <x:c r="H265" s="41" t="n">
        <x:f>0</x:f>
        <x:v>0</x:v>
      </x:c>
      <x:c r="I265" s="50" t="n">
        <x:f>(I264*(1+Inputs!$B$12))+E265</x:f>
        <x:v>164993.23159553795</x:v>
      </x:c>
      <x:c r="J265" s="50" t="n">
        <x:f>(J264*(1+Inputs!$B$12))+F265+P265</x:f>
        <x:v>178841.30701237355</x:v>
      </x:c>
      <x:c r="K265" s="50" t="n">
        <x:f>(K264*(1+Inputs!$B$12))*(1-H265)</x:f>
        <x:v>0</x:v>
      </x:c>
      <x:c r="L265" s="50" t="n">
        <x:f>L264*(1+Inputs!$B$13)+Q265</x:f>
        <x:v>21659.27196702761</x:v>
      </x:c>
      <x:c r="M265" s="50" t="n">
        <x:f>I265+J265+L265</x:f>
        <x:v>365493.8105749391</x:v>
      </x:c>
      <x:c r="N265" s="50" t="n">
        <x:f>F265+P265</x:f>
        <x:v>0</x:v>
      </x:c>
      <x:c r="O265" s="50" t="n">
        <x:f>IF(B265=1,0,O264+F264+P264)</x:f>
        <x:v>0</x:v>
      </x:c>
      <x:c r="P265" s="50" t="n">
        <x:f>MIN(G265,MAX(0,Inputs!$B$20-O265-F265))</x:f>
        <x:v>0</x:v>
      </x:c>
      <x:c r="Q265" s="50" t="n">
        <x:f>(C265-E265-F265)+(G265-P265)</x:f>
        <x:v>0</x:v>
      </x:c>
    </x:row>
    <x:row r="266">
      <x:c r="A266" s="41" t="n">
        <x:f>IF(B266=1,A265+1,A265)</x:f>
        <x:v>2037</x:v>
      </x:c>
      <x:c r="B266" s="41" t="n">
        <x:f>IF(B265=26,1,B265+1)</x:f>
        <x:v>5</x:v>
      </x:c>
      <x:c r="C266" s="48" t="n">
        <x:f>Inputs!$F$13</x:f>
        <x:v>600</x:v>
      </x:c>
      <x:c r="D266" s="50" t="n">
        <x:f>IF(B266=1,0,D265+E265)</x:f>
        <x:v>2400</x:v>
      </x:c>
      <x:c r="E266" s="50" t="n">
        <x:f>MIN(C266,MAX(0,Inputs!$B$7-D266))</x:f>
        <x:v>600</x:v>
      </x:c>
      <x:c r="F266" s="50" t="n">
        <x:f>MIN(C266-E266,MAX(0,Inputs!$B$20-O266))</x:f>
        <x:v>0</x:v>
      </x:c>
      <x:c r="G266" s="50" t="n">
        <x:f>0</x:f>
        <x:v>0</x:v>
      </x:c>
      <x:c r="H266" s="41" t="n">
        <x:f>0</x:f>
        <x:v>0</x:v>
      </x:c>
      <x:c r="I266" s="50" t="n">
        <x:f>(I265*(1+Inputs!$B$12))+E266</x:f>
        <x:v>165903.13946938005</x:v>
      </x:c>
      <x:c r="J266" s="50" t="n">
        <x:f>(J265*(1+Inputs!$B$12))+F266+P266</x:f>
        <x:v>179177.22581749893</x:v>
      </x:c>
      <x:c r="K266" s="50" t="n">
        <x:f>(K265*(1+Inputs!$B$12))*(1-H266)</x:f>
        <x:v>0</x:v>
      </x:c>
      <x:c r="L266" s="50" t="n">
        <x:f>L265*(1+Inputs!$B$13)+Q266</x:f>
        <x:v>21697.16820662516</x:v>
      </x:c>
      <x:c r="M266" s="50" t="n">
        <x:f>I266+J266+L266</x:f>
        <x:v>366777.53349350416</x:v>
      </x:c>
      <x:c r="N266" s="50" t="n">
        <x:f>F266+P266</x:f>
        <x:v>0</x:v>
      </x:c>
      <x:c r="O266" s="50" t="n">
        <x:f>IF(B266=1,0,O265+F265+P265)</x:f>
        <x:v>0</x:v>
      </x:c>
      <x:c r="P266" s="50" t="n">
        <x:f>MIN(G266,MAX(0,Inputs!$B$20-O266-F266))</x:f>
        <x:v>0</x:v>
      </x:c>
      <x:c r="Q266" s="50" t="n">
        <x:f>(C266-E266-F266)+(G266-P266)</x:f>
        <x:v>0</x:v>
      </x:c>
    </x:row>
    <x:row r="267">
      <x:c r="A267" s="41" t="n">
        <x:f>IF(B267=1,A266+1,A266)</x:f>
        <x:v>2037</x:v>
      </x:c>
      <x:c r="B267" s="41" t="n">
        <x:f>IF(B266=26,1,B266+1)</x:f>
        <x:v>6</x:v>
      </x:c>
      <x:c r="C267" s="48" t="n">
        <x:f>Inputs!$F$13</x:f>
        <x:v>600</x:v>
      </x:c>
      <x:c r="D267" s="50" t="n">
        <x:f>IF(B267=1,0,D266+E266)</x:f>
        <x:v>3000</x:v>
      </x:c>
      <x:c r="E267" s="50" t="n">
        <x:f>MIN(C267,MAX(0,Inputs!$B$7-D267))</x:f>
        <x:v>600</x:v>
      </x:c>
      <x:c r="F267" s="50" t="n">
        <x:f>MIN(C267-E267,MAX(0,Inputs!$B$20-O267))</x:f>
        <x:v>0</x:v>
      </x:c>
      <x:c r="G267" s="50" t="n">
        <x:f>0</x:f>
        <x:v>0</x:v>
      </x:c>
      <x:c r="H267" s="41" t="n">
        <x:f>0</x:f>
        <x:v>0</x:v>
      </x:c>
      <x:c r="I267" s="50" t="n">
        <x:f>(I266*(1+Inputs!$B$12))+E267</x:f>
        <x:v>166814.75642917585</x:v>
      </x:c>
      <x:c r="J267" s="50" t="n">
        <x:f>(J266*(1+Inputs!$B$12))+F267+P267</x:f>
        <x:v>179513.77558112892</x:v>
      </x:c>
      <x:c r="K267" s="50" t="n">
        <x:f>(K266*(1+Inputs!$B$12))*(1-H267)</x:f>
        <x:v>0</x:v>
      </x:c>
      <x:c r="L267" s="50" t="n">
        <x:f>L266*(1+Inputs!$B$13)+Q267</x:f>
        <x:v>21735.130751543493</x:v>
      </x:c>
      <x:c r="M267" s="50" t="n">
        <x:f>I267+J267+L267</x:f>
        <x:v>368063.66276184825</x:v>
      </x:c>
      <x:c r="N267" s="50" t="n">
        <x:f>F267+P267</x:f>
        <x:v>0</x:v>
      </x:c>
      <x:c r="O267" s="50" t="n">
        <x:f>IF(B267=1,0,O266+F266+P266)</x:f>
        <x:v>0</x:v>
      </x:c>
      <x:c r="P267" s="50" t="n">
        <x:f>MIN(G267,MAX(0,Inputs!$B$20-O267-F267))</x:f>
        <x:v>0</x:v>
      </x:c>
      <x:c r="Q267" s="50" t="n">
        <x:f>(C267-E267-F267)+(G267-P267)</x:f>
        <x:v>0</x:v>
      </x:c>
    </x:row>
    <x:row r="268">
      <x:c r="A268" s="41" t="n">
        <x:f>IF(B268=1,A267+1,A267)</x:f>
        <x:v>2037</x:v>
      </x:c>
      <x:c r="B268" s="41" t="n">
        <x:f>IF(B267=26,1,B267+1)</x:f>
        <x:v>7</x:v>
      </x:c>
      <x:c r="C268" s="48" t="n">
        <x:f>Inputs!$F$13</x:f>
        <x:v>600</x:v>
      </x:c>
      <x:c r="D268" s="50" t="n">
        <x:f>IF(B268=1,0,D267+E267)</x:f>
        <x:v>3600</x:v>
      </x:c>
      <x:c r="E268" s="50" t="n">
        <x:f>MIN(C268,MAX(0,Inputs!$B$7-D268))</x:f>
        <x:v>600</x:v>
      </x:c>
      <x:c r="F268" s="50" t="n">
        <x:f>MIN(C268-E268,MAX(0,Inputs!$B$20-O268))</x:f>
        <x:v>0</x:v>
      </x:c>
      <x:c r="G268" s="50" t="n">
        <x:f>0</x:f>
        <x:v>0</x:v>
      </x:c>
      <x:c r="H268" s="41" t="n">
        <x:f>0</x:f>
        <x:v>0</x:v>
      </x:c>
      <x:c r="I268" s="50" t="n">
        <x:f>(I267*(1+Inputs!$B$12))+E268</x:f>
        <x:v>167728.08568511275</x:v>
      </x:c>
      <x:c r="J268" s="50" t="n">
        <x:f>(J267*(1+Inputs!$B$12))+F268+P268</x:f>
        <x:v>179850.95748839705</x:v>
      </x:c>
      <x:c r="K268" s="50" t="n">
        <x:f>(K267*(1+Inputs!$B$12))*(1-H268)</x:f>
        <x:v>0</x:v>
      </x:c>
      <x:c r="L268" s="50" t="n">
        <x:f>L267*(1+Inputs!$B$13)+Q268</x:f>
        <x:v>21773.159717794</x:v>
      </x:c>
      <x:c r="M268" s="50" t="n">
        <x:f>I268+J268+L268</x:f>
        <x:v>369352.20289130375</x:v>
      </x:c>
      <x:c r="N268" s="50" t="n">
        <x:f>F268+P268</x:f>
        <x:v>0</x:v>
      </x:c>
      <x:c r="O268" s="50" t="n">
        <x:f>IF(B268=1,0,O267+F267+P267)</x:f>
        <x:v>0</x:v>
      </x:c>
      <x:c r="P268" s="50" t="n">
        <x:f>MIN(G268,MAX(0,Inputs!$B$20-O268-F268))</x:f>
        <x:v>0</x:v>
      </x:c>
      <x:c r="Q268" s="50" t="n">
        <x:f>(C268-E268-F268)+(G268-P268)</x:f>
        <x:v>0</x:v>
      </x:c>
    </x:row>
    <x:row r="269">
      <x:c r="A269" s="41" t="n">
        <x:f>IF(B269=1,A268+1,A268)</x:f>
        <x:v>2037</x:v>
      </x:c>
      <x:c r="B269" s="41" t="n">
        <x:f>IF(B268=26,1,B268+1)</x:f>
        <x:v>8</x:v>
      </x:c>
      <x:c r="C269" s="48" t="n">
        <x:f>Inputs!$F$13</x:f>
        <x:v>600</x:v>
      </x:c>
      <x:c r="D269" s="50" t="n">
        <x:f>IF(B269=1,0,D268+E268)</x:f>
        <x:v>4200</x:v>
      </x:c>
      <x:c r="E269" s="50" t="n">
        <x:f>MIN(C269,MAX(0,Inputs!$B$7-D269))</x:f>
        <x:v>600</x:v>
      </x:c>
      <x:c r="F269" s="50" t="n">
        <x:f>MIN(C269-E269,MAX(0,Inputs!$B$20-O269))</x:f>
        <x:v>0</x:v>
      </x:c>
      <x:c r="G269" s="50" t="n">
        <x:f>0</x:f>
        <x:v>0</x:v>
      </x:c>
      <x:c r="H269" s="41" t="n">
        <x:f>0</x:f>
        <x:v>0</x:v>
      </x:c>
      <x:c r="I269" s="50" t="n">
        <x:f>(I268*(1+Inputs!$B$12))+E269</x:f>
        <x:v>168643.13045340785</x:v>
      </x:c>
      <x:c r="J269" s="50" t="n">
        <x:f>(J268*(1+Inputs!$B$12))+F269+P269</x:f>
        <x:v>180188.77272666286</x:v>
      </x:c>
      <x:c r="K269" s="50" t="n">
        <x:f>(K268*(1+Inputs!$B$12))*(1-H269)</x:f>
        <x:v>0</x:v>
      </x:c>
      <x:c r="L269" s="50" t="n">
        <x:f>L268*(1+Inputs!$B$13)+Q269</x:f>
        <x:v>21811.25522159105</x:v>
      </x:c>
      <x:c r="M269" s="50" t="n">
        <x:f>I269+J269+L269</x:f>
        <x:v>370643.1584016617</x:v>
      </x:c>
      <x:c r="N269" s="50" t="n">
        <x:f>F269+P269</x:f>
        <x:v>0</x:v>
      </x:c>
      <x:c r="O269" s="50" t="n">
        <x:f>IF(B269=1,0,O268+F268+P268)</x:f>
        <x:v>0</x:v>
      </x:c>
      <x:c r="P269" s="50" t="n">
        <x:f>MIN(G269,MAX(0,Inputs!$B$20-O269-F269))</x:f>
        <x:v>0</x:v>
      </x:c>
      <x:c r="Q269" s="50" t="n">
        <x:f>(C269-E269-F269)+(G269-P269)</x:f>
        <x:v>0</x:v>
      </x:c>
    </x:row>
    <x:row r="270">
      <x:c r="A270" s="41" t="n">
        <x:f>IF(B270=1,A269+1,A269)</x:f>
        <x:v>2037</x:v>
      </x:c>
      <x:c r="B270" s="41" t="n">
        <x:f>IF(B269=26,1,B269+1)</x:f>
        <x:v>9</x:v>
      </x:c>
      <x:c r="C270" s="48" t="n">
        <x:f>Inputs!$F$13</x:f>
        <x:v>600</x:v>
      </x:c>
      <x:c r="D270" s="50" t="n">
        <x:f>IF(B270=1,0,D269+E269)</x:f>
        <x:v>4800</x:v>
      </x:c>
      <x:c r="E270" s="50" t="n">
        <x:f>MIN(C270,MAX(0,Inputs!$B$7-D270))</x:f>
        <x:v>600</x:v>
      </x:c>
      <x:c r="F270" s="50" t="n">
        <x:f>MIN(C270-E270,MAX(0,Inputs!$B$20-O270))</x:f>
        <x:v>0</x:v>
      </x:c>
      <x:c r="G270" s="50" t="n">
        <x:f>SUM(N236:N261)*Inputs!$B$6</x:f>
        <x:v>3257.21784</x:v>
      </x:c>
      <x:c r="H270" s="41" t="n">
        <x:f>0</x:f>
        <x:v>0</x:v>
      </x:c>
      <x:c r="I270" s="50" t="n">
        <x:f>(I269*(1+Inputs!$B$12))+E270</x:f>
        <x:v>169559.89395631934</x:v>
      </x:c>
      <x:c r="J270" s="50" t="n">
        <x:f>(J269*(1+Inputs!$B$12))+F270+P270</x:f>
        <x:v>183784.44032551616</x:v>
      </x:c>
      <x:c r="K270" s="50" t="n">
        <x:f>(K269*(1+Inputs!$B$12))*(1-H270)</x:f>
        <x:v>0</x:v>
      </x:c>
      <x:c r="L270" s="50" t="n">
        <x:f>L269*(1+Inputs!$B$13)+Q270</x:f>
        <x:v>21849.41737935236</x:v>
      </x:c>
      <x:c r="M270" s="50" t="n">
        <x:f>I270+J270+L270</x:f>
        <x:v>375193.75166118785</x:v>
      </x:c>
      <x:c r="N270" s="50" t="n">
        <x:f>F270+P270</x:f>
        <x:v>3257.21784</x:v>
      </x:c>
      <x:c r="O270" s="50" t="n">
        <x:f>IF(B270=1,0,O269+F269+P269)</x:f>
        <x:v>0</x:v>
      </x:c>
      <x:c r="P270" s="50" t="n">
        <x:f>MIN(G270,MAX(0,Inputs!$B$20-O270-F270))</x:f>
        <x:v>3257.21784</x:v>
      </x:c>
      <x:c r="Q270" s="50" t="n">
        <x:f>(C270-E270-F270)+(G270-P270)</x:f>
        <x:v>0</x:v>
      </x:c>
    </x:row>
    <x:row r="271">
      <x:c r="A271" s="41" t="n">
        <x:f>IF(B271=1,A270+1,A270)</x:f>
        <x:v>2037</x:v>
      </x:c>
      <x:c r="B271" s="41" t="n">
        <x:f>IF(B270=26,1,B270+1)</x:f>
        <x:v>10</x:v>
      </x:c>
      <x:c r="C271" s="48" t="n">
        <x:f>Inputs!$F$13</x:f>
        <x:v>600</x:v>
      </x:c>
      <x:c r="D271" s="50" t="n">
        <x:f>IF(B271=1,0,D270+E270)</x:f>
        <x:v>5400</x:v>
      </x:c>
      <x:c r="E271" s="50" t="n">
        <x:f>MIN(C271,MAX(0,Inputs!$B$7-D271))</x:f>
        <x:v>600</x:v>
      </x:c>
      <x:c r="F271" s="50" t="n">
        <x:f>MIN(C271-E271,MAX(0,Inputs!$B$20-O271))</x:f>
        <x:v>0</x:v>
      </x:c>
      <x:c r="G271" s="50" t="n">
        <x:f>0</x:f>
        <x:v>0</x:v>
      </x:c>
      <x:c r="H271" s="41" t="n">
        <x:f>0</x:f>
        <x:v>0</x:v>
      </x:c>
      <x:c r="I271" s="50" t="n">
        <x:f>(I270*(1+Inputs!$B$12))+E271</x:f>
        <x:v>170478.37942215777</x:v>
      </x:c>
      <x:c r="J271" s="50" t="n">
        <x:f>(J270*(1+Inputs!$B$12))+F271+P271</x:f>
        <x:v>184129.6438505078</x:v>
      </x:c>
      <x:c r="K271" s="50" t="n">
        <x:f>(K270*(1+Inputs!$B$12))*(1-H271)</x:f>
        <x:v>0</x:v>
      </x:c>
      <x:c r="L271" s="50" t="n">
        <x:f>L270*(1+Inputs!$B$13)+Q271</x:f>
        <x:v>21887.64630769932</x:v>
      </x:c>
      <x:c r="M271" s="50" t="n">
        <x:f>I271+J271+L271</x:f>
        <x:v>376495.6695803649</x:v>
      </x:c>
      <x:c r="N271" s="50" t="n">
        <x:f>F271+P271</x:f>
        <x:v>0</x:v>
      </x:c>
      <x:c r="O271" s="50" t="n">
        <x:f>IF(B271=1,0,O270+F270+P270)</x:f>
        <x:v>3257.21784</x:v>
      </x:c>
      <x:c r="P271" s="50" t="n">
        <x:f>MIN(G271,MAX(0,Inputs!$B$20-O271-F271))</x:f>
        <x:v>0</x:v>
      </x:c>
      <x:c r="Q271" s="50" t="n">
        <x:f>(C271-E271-F271)+(G271-P271)</x:f>
        <x:v>0</x:v>
      </x:c>
    </x:row>
    <x:row r="272">
      <x:c r="A272" s="41" t="n">
        <x:f>IF(B272=1,A271+1,A271)</x:f>
        <x:v>2037</x:v>
      </x:c>
      <x:c r="B272" s="41" t="n">
        <x:f>IF(B271=26,1,B271+1)</x:f>
        <x:v>11</x:v>
      </x:c>
      <x:c r="C272" s="48" t="n">
        <x:f>Inputs!$F$13</x:f>
        <x:v>600</x:v>
      </x:c>
      <x:c r="D272" s="50" t="n">
        <x:f>IF(B272=1,0,D271+E271)</x:f>
        <x:v>6000</x:v>
      </x:c>
      <x:c r="E272" s="50" t="n">
        <x:f>MIN(C272,MAX(0,Inputs!$B$7-D272))</x:f>
        <x:v>600</x:v>
      </x:c>
      <x:c r="F272" s="50" t="n">
        <x:f>MIN(C272-E272,MAX(0,Inputs!$B$20-O272))</x:f>
        <x:v>0</x:v>
      </x:c>
      <x:c r="G272" s="50" t="n">
        <x:f>0</x:f>
        <x:v>0</x:v>
      </x:c>
      <x:c r="H272" s="41" t="n">
        <x:f>0</x:f>
        <x:v>0</x:v>
      </x:c>
      <x:c r="I272" s="50" t="n">
        <x:f>(I271*(1+Inputs!$B$12))+E272</x:f>
        <x:v>171398.59008529744</x:v>
      </x:c>
      <x:c r="J272" s="50" t="n">
        <x:f>(J271*(1+Inputs!$B$12))+F272+P272</x:f>
        <x:v>184475.49577355455</x:v>
      </x:c>
      <x:c r="K272" s="50" t="n">
        <x:f>(K271*(1+Inputs!$B$12))*(1-H272)</x:f>
        <x:v>0</x:v>
      </x:c>
      <x:c r="L272" s="50" t="n">
        <x:f>L271*(1+Inputs!$B$13)+Q272</x:f>
        <x:v>21925.942123457382</x:v>
      </x:c>
      <x:c r="M272" s="50" t="n">
        <x:f>I272+J272+L272</x:f>
        <x:v>377800.0279823094</x:v>
      </x:c>
      <x:c r="N272" s="50" t="n">
        <x:f>F272+P272</x:f>
        <x:v>0</x:v>
      </x:c>
      <x:c r="O272" s="50" t="n">
        <x:f>IF(B272=1,0,O271+F271+P271)</x:f>
        <x:v>3257.21784</x:v>
      </x:c>
      <x:c r="P272" s="50" t="n">
        <x:f>MIN(G272,MAX(0,Inputs!$B$20-O272-F272))</x:f>
        <x:v>0</x:v>
      </x:c>
      <x:c r="Q272" s="50" t="n">
        <x:f>(C272-E272-F272)+(G272-P272)</x:f>
        <x:v>0</x:v>
      </x:c>
    </x:row>
    <x:row r="273">
      <x:c r="A273" s="41" t="n">
        <x:f>IF(B273=1,A272+1,A272)</x:f>
        <x:v>2037</x:v>
      </x:c>
      <x:c r="B273" s="41" t="n">
        <x:f>IF(B272=26,1,B272+1)</x:f>
        <x:v>12</x:v>
      </x:c>
      <x:c r="C273" s="48" t="n">
        <x:f>Inputs!$F$13</x:f>
        <x:v>600</x:v>
      </x:c>
      <x:c r="D273" s="50" t="n">
        <x:f>IF(B273=1,0,D272+E272)</x:f>
        <x:v>6600</x:v>
      </x:c>
      <x:c r="E273" s="50" t="n">
        <x:f>MIN(C273,MAX(0,Inputs!$B$7-D273))</x:f>
        <x:v>600</x:v>
      </x:c>
      <x:c r="F273" s="50" t="n">
        <x:f>MIN(C273-E273,MAX(0,Inputs!$B$20-O273))</x:f>
        <x:v>0</x:v>
      </x:c>
      <x:c r="G273" s="50" t="n">
        <x:f>0</x:f>
        <x:v>0</x:v>
      </x:c>
      <x:c r="H273" s="41" t="n">
        <x:f>0</x:f>
        <x:v>0</x:v>
      </x:c>
      <x:c r="I273" s="50" t="n">
        <x:f>(I272*(1+Inputs!$B$12))+E273</x:f>
        <x:v>172320.52918618784</x:v>
      </x:c>
      <x:c r="J273" s="50" t="n">
        <x:f>(J272*(1+Inputs!$B$12))+F273+P273</x:f>
        <x:v>184821.99731254674</x:v>
      </x:c>
      <x:c r="K273" s="50" t="n">
        <x:f>(K272*(1+Inputs!$B$12))*(1-H273)</x:f>
        <x:v>0</x:v>
      </x:c>
      <x:c r="L273" s="50" t="n">
        <x:f>L272*(1+Inputs!$B$13)+Q273</x:f>
        <x:v>21964.304943656396</x:v>
      </x:c>
      <x:c r="M273" s="50" t="n">
        <x:f>I273+J273+L273</x:f>
        <x:v>379106.831442391</x:v>
      </x:c>
      <x:c r="N273" s="50" t="n">
        <x:f>F273+P273</x:f>
        <x:v>0</x:v>
      </x:c>
      <x:c r="O273" s="50" t="n">
        <x:f>IF(B273=1,0,O272+F272+P272)</x:f>
        <x:v>3257.21784</x:v>
      </x:c>
      <x:c r="P273" s="50" t="n">
        <x:f>MIN(G273,MAX(0,Inputs!$B$20-O273-F273))</x:f>
        <x:v>0</x:v>
      </x:c>
      <x:c r="Q273" s="50" t="n">
        <x:f>(C273-E273-F273)+(G273-P273)</x:f>
        <x:v>0</x:v>
      </x:c>
    </x:row>
    <x:row r="274">
      <x:c r="A274" s="41" t="n">
        <x:f>IF(B274=1,A273+1,A273)</x:f>
        <x:v>2037</x:v>
      </x:c>
      <x:c r="B274" s="41" t="n">
        <x:f>IF(B273=26,1,B273+1)</x:f>
        <x:v>13</x:v>
      </x:c>
      <x:c r="C274" s="48" t="n">
        <x:f>Inputs!$F$13</x:f>
        <x:v>600</x:v>
      </x:c>
      <x:c r="D274" s="50" t="n">
        <x:f>IF(B274=1,0,D273+E273)</x:f>
        <x:v>7200</x:v>
      </x:c>
      <x:c r="E274" s="50" t="n">
        <x:f>MIN(C274,MAX(0,Inputs!$B$7-D274))</x:f>
        <x:v>600</x:v>
      </x:c>
      <x:c r="F274" s="50" t="n">
        <x:f>MIN(C274-E274,MAX(0,Inputs!$B$20-O274))</x:f>
        <x:v>0</x:v>
      </x:c>
      <x:c r="G274" s="50" t="n">
        <x:f>0</x:f>
        <x:v>0</x:v>
      </x:c>
      <x:c r="H274" s="41" t="n">
        <x:f>0</x:f>
        <x:v>0</x:v>
      </x:c>
      <x:c r="I274" s="50" t="n">
        <x:f>(I273*(1+Inputs!$B$12))+E274</x:f>
        <x:v>173244.19997136496</x:v>
      </x:c>
      <x:c r="J274" s="50" t="n">
        <x:f>(J273*(1+Inputs!$B$12))+F274+P274</x:f>
        <x:v>185169.14968766228</x:v>
      </x:c>
      <x:c r="K274" s="50" t="n">
        <x:f>(K273*(1+Inputs!$B$12))*(1-H274)</x:f>
        <x:v>0</x:v>
      </x:c>
      <x:c r="L274" s="50" t="n">
        <x:f>L273*(1+Inputs!$B$13)+Q274</x:f>
        <x:v>22002.734885530972</x:v>
      </x:c>
      <x:c r="M274" s="50" t="n">
        <x:f>I274+J274+L274</x:f>
        <x:v>380416.0845445582</x:v>
      </x:c>
      <x:c r="N274" s="50" t="n">
        <x:f>F274+P274</x:f>
        <x:v>0</x:v>
      </x:c>
      <x:c r="O274" s="50" t="n">
        <x:f>IF(B274=1,0,O273+F273+P273)</x:f>
        <x:v>3257.21784</x:v>
      </x:c>
      <x:c r="P274" s="50" t="n">
        <x:f>MIN(G274,MAX(0,Inputs!$B$20-O274-F274))</x:f>
        <x:v>0</x:v>
      </x:c>
      <x:c r="Q274" s="50" t="n">
        <x:f>(C274-E274-F274)+(G274-P274)</x:f>
        <x:v>0</x:v>
      </x:c>
    </x:row>
    <x:row r="275">
      <x:c r="A275" s="41" t="n">
        <x:f>IF(B275=1,A274+1,A274)</x:f>
        <x:v>2037</x:v>
      </x:c>
      <x:c r="B275" s="41" t="n">
        <x:f>IF(B274=26,1,B274+1)</x:f>
        <x:v>14</x:v>
      </x:c>
      <x:c r="C275" s="48" t="n">
        <x:f>Inputs!$F$13</x:f>
        <x:v>600</x:v>
      </x:c>
      <x:c r="D275" s="50" t="n">
        <x:f>IF(B275=1,0,D274+E274)</x:f>
        <x:v>7800</x:v>
      </x:c>
      <x:c r="E275" s="50" t="n">
        <x:f>MIN(C275,MAX(0,Inputs!$B$7-D275))</x:f>
        <x:v>200</x:v>
      </x:c>
      <x:c r="F275" s="50" t="n">
        <x:f>MIN(C275-E275,MAX(0,Inputs!$B$20-O275))</x:f>
        <x:v>400</x:v>
      </x:c>
      <x:c r="G275" s="50" t="n">
        <x:f>0</x:f>
        <x:v>0</x:v>
      </x:c>
      <x:c r="H275" s="41" t="n">
        <x:f>0</x:f>
        <x:v>0</x:v>
      </x:c>
      <x:c r="I275" s="50" t="n">
        <x:f>(I274*(1+Inputs!$B$12))+E275</x:f>
        <x:v>173769.6056934628</x:v>
      </x:c>
      <x:c r="J275" s="50" t="n">
        <x:f>(J274*(1+Inputs!$B$12))+F275+P275</x:f>
        <x:v>185916.95412137097</x:v>
      </x:c>
      <x:c r="K275" s="50" t="n">
        <x:f>(K274*(1+Inputs!$B$12))*(1-H275)</x:f>
        <x:v>0</x:v>
      </x:c>
      <x:c r="L275" s="50" t="n">
        <x:f>L274*(1+Inputs!$B$13)+Q275</x:f>
        <x:v>22041.232066520843</x:v>
      </x:c>
      <x:c r="M275" s="50" t="n">
        <x:f>I275+J275+L275</x:f>
        <x:v>381727.79188135464</x:v>
      </x:c>
      <x:c r="N275" s="50" t="n">
        <x:f>F275+P275</x:f>
        <x:v>400</x:v>
      </x:c>
      <x:c r="O275" s="50" t="n">
        <x:f>IF(B275=1,0,O274+F274+P274)</x:f>
        <x:v>3257.21784</x:v>
      </x:c>
      <x:c r="P275" s="50" t="n">
        <x:f>MIN(G275,MAX(0,Inputs!$B$20-O275-F275))</x:f>
        <x:v>0</x:v>
      </x:c>
      <x:c r="Q275" s="50" t="n">
        <x:f>(C275-E275-F275)+(G275-P275)</x:f>
        <x:v>0</x:v>
      </x:c>
    </x:row>
    <x:row r="276">
      <x:c r="A276" s="41" t="n">
        <x:f>IF(B276=1,A275+1,A275)</x:f>
        <x:v>2037</x:v>
      </x:c>
      <x:c r="B276" s="41" t="n">
        <x:f>IF(B275=26,1,B275+1)</x:f>
        <x:v>15</x:v>
      </x:c>
      <x:c r="C276" s="48" t="n">
        <x:f>Inputs!$F$13</x:f>
        <x:v>600</x:v>
      </x:c>
      <x:c r="D276" s="50" t="n">
        <x:f>IF(B276=1,0,D275+E275)</x:f>
        <x:v>8000</x:v>
      </x:c>
      <x:c r="E276" s="50" t="n">
        <x:f>MIN(C276,MAX(0,Inputs!$B$7-D276))</x:f>
        <x:v>0</x:v>
      </x:c>
      <x:c r="F276" s="50" t="n">
        <x:f>MIN(C276-E276,MAX(0,Inputs!$B$20-O276))</x:f>
        <x:v>600</x:v>
      </x:c>
      <x:c r="G276" s="50" t="n">
        <x:f>0</x:f>
        <x:v>0</x:v>
      </x:c>
      <x:c r="H276" s="41" t="n">
        <x:f>0</x:f>
        <x:v>0</x:v>
      </x:c>
      <x:c r="I276" s="50" t="n">
        <x:f>(I275*(1+Inputs!$B$12))+E276</x:f>
        <x:v>174095.9982885897</x:v>
      </x:c>
      <x:c r="J276" s="50" t="n">
        <x:f>(J275*(1+Inputs!$B$12))+F276+P276</x:f>
        <x:v>186866.16316107384</x:v>
      </x:c>
      <x:c r="K276" s="50" t="n">
        <x:f>(K275*(1+Inputs!$B$12))*(1-H276)</x:f>
        <x:v>0</x:v>
      </x:c>
      <x:c r="L276" s="50" t="n">
        <x:f>L275*(1+Inputs!$B$13)+Q276</x:f>
        <x:v>22079.79660427122</x:v>
      </x:c>
      <x:c r="M276" s="50" t="n">
        <x:f>I276+J276+L276</x:f>
        <x:v>383041.9580539348</x:v>
      </x:c>
      <x:c r="N276" s="50" t="n">
        <x:f>F276+P276</x:f>
        <x:v>600</x:v>
      </x:c>
      <x:c r="O276" s="50" t="n">
        <x:f>IF(B276=1,0,O275+F275+P275)</x:f>
        <x:v>3657.21784</x:v>
      </x:c>
      <x:c r="P276" s="50" t="n">
        <x:f>MIN(G276,MAX(0,Inputs!$B$20-O276-F276))</x:f>
        <x:v>0</x:v>
      </x:c>
      <x:c r="Q276" s="50" t="n">
        <x:f>(C276-E276-F276)+(G276-P276)</x:f>
        <x:v>0</x:v>
      </x:c>
    </x:row>
    <x:row r="277">
      <x:c r="A277" s="41" t="n">
        <x:f>IF(B277=1,A276+1,A276)</x:f>
        <x:v>2037</x:v>
      </x:c>
      <x:c r="B277" s="41" t="n">
        <x:f>IF(B276=26,1,B276+1)</x:f>
        <x:v>16</x:v>
      </x:c>
      <x:c r="C277" s="48" t="n">
        <x:f>Inputs!$F$13</x:f>
        <x:v>600</x:v>
      </x:c>
      <x:c r="D277" s="50" t="n">
        <x:f>IF(B277=1,0,D276+E276)</x:f>
        <x:v>8000</x:v>
      </x:c>
      <x:c r="E277" s="50" t="n">
        <x:f>MIN(C277,MAX(0,Inputs!$B$7-D277))</x:f>
        <x:v>0</x:v>
      </x:c>
      <x:c r="F277" s="50" t="n">
        <x:f>MIN(C277-E277,MAX(0,Inputs!$B$20-O277))</x:f>
        <x:v>600</x:v>
      </x:c>
      <x:c r="G277" s="50" t="n">
        <x:f>0</x:f>
        <x:v>0</x:v>
      </x:c>
      <x:c r="H277" s="41" t="n">
        <x:f>0</x:f>
        <x:v>0</x:v>
      </x:c>
      <x:c r="I277" s="50" t="n">
        <x:f>(I276*(1+Inputs!$B$12))+E277</x:f>
        <x:v>174423.00394907824</x:v>
      </x:c>
      <x:c r="J277" s="50" t="n">
        <x:f>(J276*(1+Inputs!$B$12))+F277+P277</x:f>
        <x:v>187817.15510636914</x:v>
      </x:c>
      <x:c r="K277" s="50" t="n">
        <x:f>(K276*(1+Inputs!$B$12))*(1-H277)</x:f>
        <x:v>0</x:v>
      </x:c>
      <x:c r="L277" s="50" t="n">
        <x:f>L276*(1+Inputs!$B$13)+Q277</x:f>
        <x:v>22118.428616633155</x:v>
      </x:c>
      <x:c r="M277" s="50" t="n">
        <x:f>I277+J277+L277</x:f>
        <x:v>384358.58767208055</x:v>
      </x:c>
      <x:c r="N277" s="50" t="n">
        <x:f>F277+P277</x:f>
        <x:v>600</x:v>
      </x:c>
      <x:c r="O277" s="50" t="n">
        <x:f>IF(B277=1,0,O276+F276+P276)</x:f>
        <x:v>4257.217839999999</x:v>
      </x:c>
      <x:c r="P277" s="50" t="n">
        <x:f>MIN(G277,MAX(0,Inputs!$B$20-O277-F277))</x:f>
        <x:v>0</x:v>
      </x:c>
      <x:c r="Q277" s="50" t="n">
        <x:f>(C277-E277-F277)+(G277-P277)</x:f>
        <x:v>0</x:v>
      </x:c>
    </x:row>
    <x:row r="278">
      <x:c r="A278" s="41" t="n">
        <x:f>IF(B278=1,A277+1,A277)</x:f>
        <x:v>2037</x:v>
      </x:c>
      <x:c r="B278" s="41" t="n">
        <x:f>IF(B277=26,1,B277+1)</x:f>
        <x:v>17</x:v>
      </x:c>
      <x:c r="C278" s="48" t="n">
        <x:f>Inputs!$F$13</x:f>
        <x:v>600</x:v>
      </x:c>
      <x:c r="D278" s="50" t="n">
        <x:f>IF(B278=1,0,D277+E277)</x:f>
        <x:v>8000</x:v>
      </x:c>
      <x:c r="E278" s="50" t="n">
        <x:f>MIN(C278,MAX(0,Inputs!$B$7-D278))</x:f>
        <x:v>0</x:v>
      </x:c>
      <x:c r="F278" s="50" t="n">
        <x:f>MIN(C278-E278,MAX(0,Inputs!$B$20-O278))</x:f>
        <x:v>600</x:v>
      </x:c>
      <x:c r="G278" s="50" t="n">
        <x:f>0</x:f>
        <x:v>0</x:v>
      </x:c>
      <x:c r="H278" s="41" t="n">
        <x:f>0</x:f>
        <x:v>0</x:v>
      </x:c>
      <x:c r="I278" s="50" t="n">
        <x:f>(I277*(1+Inputs!$B$12))+E278</x:f>
        <x:v>174750.62382645308</x:v>
      </x:c>
      <x:c r="J278" s="50" t="n">
        <x:f>(J277*(1+Inputs!$B$12))+F278+P278</x:f>
        <x:v>188769.93330610023</x:v>
      </x:c>
      <x:c r="K278" s="50" t="n">
        <x:f>(K277*(1+Inputs!$B$12))*(1-H278)</x:f>
        <x:v>0</x:v>
      </x:c>
      <x:c r="L278" s="50" t="n">
        <x:f>L277*(1+Inputs!$B$13)+Q278</x:f>
        <x:v>22157.128221663894</x:v>
      </x:c>
      <x:c r="M278" s="50" t="n">
        <x:f>I278+J278+L278</x:f>
        <x:v>385677.6853542172</x:v>
      </x:c>
      <x:c r="N278" s="50" t="n">
        <x:f>F278+P278</x:f>
        <x:v>600</x:v>
      </x:c>
      <x:c r="O278" s="50" t="n">
        <x:f>IF(B278=1,0,O277+F277+P277)</x:f>
        <x:v>4857.217839999999</x:v>
      </x:c>
      <x:c r="P278" s="50" t="n">
        <x:f>MIN(G278,MAX(0,Inputs!$B$20-O278-F278))</x:f>
        <x:v>0</x:v>
      </x:c>
      <x:c r="Q278" s="50" t="n">
        <x:f>(C278-E278-F278)+(G278-P278)</x:f>
        <x:v>0</x:v>
      </x:c>
    </x:row>
    <x:row r="279">
      <x:c r="A279" s="41" t="n">
        <x:f>IF(B279=1,A278+1,A278)</x:f>
        <x:v>2037</x:v>
      </x:c>
      <x:c r="B279" s="41" t="n">
        <x:f>IF(B278=26,1,B278+1)</x:f>
        <x:v>18</x:v>
      </x:c>
      <x:c r="C279" s="48" t="n">
        <x:f>Inputs!$F$13</x:f>
        <x:v>600</x:v>
      </x:c>
      <x:c r="D279" s="50" t="n">
        <x:f>IF(B279=1,0,D278+E278)</x:f>
        <x:v>8000</x:v>
      </x:c>
      <x:c r="E279" s="50" t="n">
        <x:f>MIN(C279,MAX(0,Inputs!$B$7-D279))</x:f>
        <x:v>0</x:v>
      </x:c>
      <x:c r="F279" s="50" t="n">
        <x:f>MIN(C279-E279,MAX(0,Inputs!$B$20-O279))</x:f>
        <x:v>600</x:v>
      </x:c>
      <x:c r="G279" s="50" t="n">
        <x:f>0</x:f>
        <x:v>0</x:v>
      </x:c>
      <x:c r="H279" s="41" t="n">
        <x:f>0</x:f>
        <x:v>0</x:v>
      </x:c>
      <x:c r="I279" s="50" t="n">
        <x:f>(I278*(1+Inputs!$B$12))+E279</x:f>
        <x:v>175078.8590744019</x:v>
      </x:c>
      <x:c r="J279" s="50" t="n">
        <x:f>(J278*(1+Inputs!$B$12))+F279+P279</x:f>
        <x:v>189724.50111540052</x:v>
      </x:c>
      <x:c r="K279" s="50" t="n">
        <x:f>(K278*(1+Inputs!$B$12))*(1-H279)</x:f>
        <x:v>0</x:v>
      </x:c>
      <x:c r="L279" s="50" t="n">
        <x:f>L278*(1+Inputs!$B$13)+Q279</x:f>
        <x:v>22195.895537627242</x:v>
      </x:c>
      <x:c r="M279" s="50" t="n">
        <x:f>I279+J279+L279</x:f>
        <x:v>386999.25572742964</x:v>
      </x:c>
      <x:c r="N279" s="50" t="n">
        <x:f>F279+P279</x:f>
        <x:v>600</x:v>
      </x:c>
      <x:c r="O279" s="50" t="n">
        <x:f>IF(B279=1,0,O278+F278+P278)</x:f>
        <x:v>5457.217839999999</x:v>
      </x:c>
      <x:c r="P279" s="50" t="n">
        <x:f>MIN(G279,MAX(0,Inputs!$B$20-O279-F279))</x:f>
        <x:v>0</x:v>
      </x:c>
      <x:c r="Q279" s="50" t="n">
        <x:f>(C279-E279-F279)+(G279-P279)</x:f>
        <x:v>0</x:v>
      </x:c>
    </x:row>
    <x:row r="280">
      <x:c r="A280" s="41" t="n">
        <x:f>IF(B280=1,A279+1,A279)</x:f>
        <x:v>2037</x:v>
      </x:c>
      <x:c r="B280" s="41" t="n">
        <x:f>IF(B279=26,1,B279+1)</x:f>
        <x:v>19</x:v>
      </x:c>
      <x:c r="C280" s="48" t="n">
        <x:f>Inputs!$F$13</x:f>
        <x:v>600</x:v>
      </x:c>
      <x:c r="D280" s="50" t="n">
        <x:f>IF(B280=1,0,D279+E279)</x:f>
        <x:v>8000</x:v>
      </x:c>
      <x:c r="E280" s="50" t="n">
        <x:f>MIN(C280,MAX(0,Inputs!$B$7-D280))</x:f>
        <x:v>0</x:v>
      </x:c>
      <x:c r="F280" s="50" t="n">
        <x:f>MIN(C280-E280,MAX(0,Inputs!$B$20-O280))</x:f>
        <x:v>600</x:v>
      </x:c>
      <x:c r="G280" s="50" t="n">
        <x:f>0</x:f>
        <x:v>0</x:v>
      </x:c>
      <x:c r="H280" s="41" t="n">
        <x:f>0</x:f>
        <x:v>0</x:v>
      </x:c>
      <x:c r="I280" s="50" t="n">
        <x:f>(I279*(1+Inputs!$B$12))+E280</x:f>
        <x:v>175407.71084877927</x:v>
      </x:c>
      <x:c r="J280" s="50" t="n">
        <x:f>(J279*(1+Inputs!$B$12))+F280+P280</x:f>
        <x:v>190680.8618957055</x:v>
      </x:c>
      <x:c r="K280" s="50" t="n">
        <x:f>(K279*(1+Inputs!$B$12))*(1-H280)</x:f>
        <x:v>0</x:v>
      </x:c>
      <x:c r="L280" s="50" t="n">
        <x:f>L279*(1+Inputs!$B$13)+Q280</x:f>
        <x:v>22234.73068299393</x:v>
      </x:c>
      <x:c r="M280" s="50" t="n">
        <x:f>I280+J280+L280</x:f>
        <x:v>388323.3034274787</x:v>
      </x:c>
      <x:c r="N280" s="50" t="n">
        <x:f>F280+P280</x:f>
        <x:v>600</x:v>
      </x:c>
      <x:c r="O280" s="50" t="n">
        <x:f>IF(B280=1,0,O279+F279+P279)</x:f>
        <x:v>6057.217839999999</x:v>
      </x:c>
      <x:c r="P280" s="50" t="n">
        <x:f>MIN(G280,MAX(0,Inputs!$B$20-O280-F280))</x:f>
        <x:v>0</x:v>
      </x:c>
      <x:c r="Q280" s="50" t="n">
        <x:f>(C280-E280-F280)+(G280-P280)</x:f>
        <x:v>0</x:v>
      </x:c>
    </x:row>
    <x:row r="281">
      <x:c r="A281" s="41" t="n">
        <x:f>IF(B281=1,A280+1,A280)</x:f>
        <x:v>2037</x:v>
      </x:c>
      <x:c r="B281" s="41" t="n">
        <x:f>IF(B280=26,1,B280+1)</x:f>
        <x:v>20</x:v>
      </x:c>
      <x:c r="C281" s="48" t="n">
        <x:f>Inputs!$F$13</x:f>
        <x:v>600</x:v>
      </x:c>
      <x:c r="D281" s="50" t="n">
        <x:f>IF(B281=1,0,D280+E280)</x:f>
        <x:v>8000</x:v>
      </x:c>
      <x:c r="E281" s="50" t="n">
        <x:f>MIN(C281,MAX(0,Inputs!$B$7-D281))</x:f>
        <x:v>0</x:v>
      </x:c>
      <x:c r="F281" s="50" t="n">
        <x:f>MIN(C281-E281,MAX(0,Inputs!$B$20-O281))</x:f>
        <x:v>600</x:v>
      </x:c>
      <x:c r="G281" s="50" t="n">
        <x:f>0</x:f>
        <x:v>0</x:v>
      </x:c>
      <x:c r="H281" s="41" t="n">
        <x:f>0</x:f>
        <x:v>0</x:v>
      </x:c>
      <x:c r="I281" s="50" t="n">
        <x:f>(I280*(1+Inputs!$B$12))+E281</x:f>
        <x:v>175737.18030761083</x:v>
      </x:c>
      <x:c r="J281" s="50" t="n">
        <x:f>(J280*(1+Inputs!$B$12))+F281+P281</x:f>
        <x:v>191639.0190147644</x:v>
      </x:c>
      <x:c r="K281" s="50" t="n">
        <x:f>(K280*(1+Inputs!$B$12))*(1-H281)</x:f>
        <x:v>0</x:v>
      </x:c>
      <x:c r="L281" s="50" t="n">
        <x:f>L280*(1+Inputs!$B$13)+Q281</x:f>
        <x:v>22273.63377644197</x:v>
      </x:c>
      <x:c r="M281" s="50" t="n">
        <x:f>I281+J281+L281</x:f>
        <x:v>389649.8330988172</x:v>
      </x:c>
      <x:c r="N281" s="50" t="n">
        <x:f>F281+P281</x:f>
        <x:v>600</x:v>
      </x:c>
      <x:c r="O281" s="50" t="n">
        <x:f>IF(B281=1,0,O280+F280+P280)</x:f>
        <x:v>6657.217839999999</x:v>
      </x:c>
      <x:c r="P281" s="50" t="n">
        <x:f>MIN(G281,MAX(0,Inputs!$B$20-O281-F281))</x:f>
        <x:v>0</x:v>
      </x:c>
      <x:c r="Q281" s="50" t="n">
        <x:f>(C281-E281-F281)+(G281-P281)</x:f>
        <x:v>0</x:v>
      </x:c>
    </x:row>
    <x:row r="282">
      <x:c r="A282" s="41" t="n">
        <x:f>IF(B282=1,A281+1,A281)</x:f>
        <x:v>2037</x:v>
      </x:c>
      <x:c r="B282" s="41" t="n">
        <x:f>IF(B281=26,1,B281+1)</x:f>
        <x:v>21</x:v>
      </x:c>
      <x:c r="C282" s="48" t="n">
        <x:f>Inputs!$F$13</x:f>
        <x:v>600</x:v>
      </x:c>
      <x:c r="D282" s="50" t="n">
        <x:f>IF(B282=1,0,D281+E281)</x:f>
        <x:v>8000</x:v>
      </x:c>
      <x:c r="E282" s="50" t="n">
        <x:f>MIN(C282,MAX(0,Inputs!$B$7-D282))</x:f>
        <x:v>0</x:v>
      </x:c>
      <x:c r="F282" s="50" t="n">
        <x:f>MIN(C282-E282,MAX(0,Inputs!$B$20-O282))</x:f>
        <x:v>600</x:v>
      </x:c>
      <x:c r="G282" s="50" t="n">
        <x:f>0</x:f>
        <x:v>0</x:v>
      </x:c>
      <x:c r="H282" s="41" t="n">
        <x:f>0</x:f>
        <x:v>0</x:v>
      </x:c>
      <x:c r="I282" s="50" t="n">
        <x:f>(I281*(1+Inputs!$B$12))+E282</x:f>
        <x:v>176067.2686110974</x:v>
      </x:c>
      <x:c r="J282" s="50" t="n">
        <x:f>(J281*(1+Inputs!$B$12))+F282+P282</x:f>
        <x:v>192598.97584665215</x:v>
      </x:c>
      <x:c r="K282" s="50" t="n">
        <x:f>(K281*(1+Inputs!$B$12))*(1-H282)</x:f>
        <x:v>0</x:v>
      </x:c>
      <x:c r="L282" s="50" t="n">
        <x:f>L281*(1+Inputs!$B$13)+Q282</x:f>
        <x:v>22312.604936857017</x:v>
      </x:c>
      <x:c r="M282" s="50" t="n">
        <x:f>I282+J282+L282</x:f>
        <x:v>390978.84939460654</x:v>
      </x:c>
      <x:c r="N282" s="50" t="n">
        <x:f>F282+P282</x:f>
        <x:v>600</x:v>
      </x:c>
      <x:c r="O282" s="50" t="n">
        <x:f>IF(B282=1,0,O281+F281+P281)</x:f>
        <x:v>7257.217839999999</x:v>
      </x:c>
      <x:c r="P282" s="50" t="n">
        <x:f>MIN(G282,MAX(0,Inputs!$B$20-O282-F282))</x:f>
        <x:v>0</x:v>
      </x:c>
      <x:c r="Q282" s="50" t="n">
        <x:f>(C282-E282-F282)+(G282-P282)</x:f>
        <x:v>0</x:v>
      </x:c>
    </x:row>
    <x:row r="283">
      <x:c r="A283" s="41" t="n">
        <x:f>IF(B283=1,A282+1,A282)</x:f>
        <x:v>2037</x:v>
      </x:c>
      <x:c r="B283" s="41" t="n">
        <x:f>IF(B282=26,1,B282+1)</x:f>
        <x:v>22</x:v>
      </x:c>
      <x:c r="C283" s="48" t="n">
        <x:f>Inputs!$F$13</x:f>
        <x:v>600</x:v>
      </x:c>
      <x:c r="D283" s="50" t="n">
        <x:f>IF(B283=1,0,D282+E282)</x:f>
        <x:v>8000</x:v>
      </x:c>
      <x:c r="E283" s="50" t="n">
        <x:f>MIN(C283,MAX(0,Inputs!$B$7-D283))</x:f>
        <x:v>0</x:v>
      </x:c>
      <x:c r="F283" s="50" t="n">
        <x:f>MIN(C283-E283,MAX(0,Inputs!$B$20-O283))</x:f>
        <x:v>600</x:v>
      </x:c>
      <x:c r="G283" s="50" t="n">
        <x:f>0</x:f>
        <x:v>0</x:v>
      </x:c>
      <x:c r="H283" s="41" t="n">
        <x:f>0</x:f>
        <x:v>0</x:v>
      </x:c>
      <x:c r="I283" s="50" t="n">
        <x:f>(I282*(1+Inputs!$B$12))+E283</x:f>
        <x:v>176397.97692161895</x:v>
      </x:c>
      <x:c r="J283" s="50" t="n">
        <x:f>(J282*(1+Inputs!$B$12))+F283+P283</x:f>
        <x:v>193560.73577178118</x:v>
      </x:c>
      <x:c r="K283" s="50" t="n">
        <x:f>(K282*(1+Inputs!$B$12))*(1-H283)</x:f>
        <x:v>0</x:v>
      </x:c>
      <x:c r="L283" s="50" t="n">
        <x:f>L282*(1+Inputs!$B$13)+Q283</x:f>
        <x:v>22351.64428333274</x:v>
      </x:c>
      <x:c r="M283" s="50" t="n">
        <x:f>I283+J283+L283</x:f>
        <x:v>392310.35697673284</x:v>
      </x:c>
      <x:c r="N283" s="50" t="n">
        <x:f>F283+P283</x:f>
        <x:v>600</x:v>
      </x:c>
      <x:c r="O283" s="50" t="n">
        <x:f>IF(B283=1,0,O282+F282+P282)</x:f>
        <x:v>7857.217839999999</x:v>
      </x:c>
      <x:c r="P283" s="50" t="n">
        <x:f>MIN(G283,MAX(0,Inputs!$B$20-O283-F283))</x:f>
        <x:v>0</x:v>
      </x:c>
      <x:c r="Q283" s="50" t="n">
        <x:f>(C283-E283-F283)+(G283-P283)</x:f>
        <x:v>0</x:v>
      </x:c>
    </x:row>
    <x:row r="284">
      <x:c r="A284" s="41" t="n">
        <x:f>IF(B284=1,A283+1,A283)</x:f>
        <x:v>2037</x:v>
      </x:c>
      <x:c r="B284" s="41" t="n">
        <x:f>IF(B283=26,1,B283+1)</x:f>
        <x:v>23</x:v>
      </x:c>
      <x:c r="C284" s="48" t="n">
        <x:f>Inputs!$F$13</x:f>
        <x:v>600</x:v>
      </x:c>
      <x:c r="D284" s="50" t="n">
        <x:f>IF(B284=1,0,D283+E283)</x:f>
        <x:v>8000</x:v>
      </x:c>
      <x:c r="E284" s="50" t="n">
        <x:f>MIN(C284,MAX(0,Inputs!$B$7-D284))</x:f>
        <x:v>0</x:v>
      </x:c>
      <x:c r="F284" s="50" t="n">
        <x:f>MIN(C284-E284,MAX(0,Inputs!$B$20-O284))</x:f>
        <x:v>600</x:v>
      </x:c>
      <x:c r="G284" s="50" t="n">
        <x:f>0</x:f>
        <x:v>0</x:v>
      </x:c>
      <x:c r="H284" s="41" t="n">
        <x:f>0</x:f>
        <x:v>0</x:v>
      </x:c>
      <x:c r="I284" s="50" t="n">
        <x:f>(I283*(1+Inputs!$B$12))+E284</x:f>
        <x:v>176729.30640373877</x:v>
      </x:c>
      <x:c r="J284" s="50" t="n">
        <x:f>(J283*(1+Inputs!$B$12))+F284+P284</x:f>
        <x:v>194524.30217691345</x:v>
      </x:c>
      <x:c r="K284" s="50" t="n">
        <x:f>(K283*(1+Inputs!$B$12))*(1-H284)</x:f>
        <x:v>0</x:v>
      </x:c>
      <x:c r="L284" s="50" t="n">
        <x:f>L283*(1+Inputs!$B$13)+Q284</x:f>
        <x:v>22390.75193517117</x:v>
      </x:c>
      <x:c r="M284" s="50" t="n">
        <x:f>I284+J284+L284</x:f>
        <x:v>393644.3605158234</x:v>
      </x:c>
      <x:c r="N284" s="50" t="n">
        <x:f>F284+P284</x:f>
        <x:v>600</x:v>
      </x:c>
      <x:c r="O284" s="50" t="n">
        <x:f>IF(B284=1,0,O283+F283+P283)</x:f>
        <x:v>8457.21784</x:v>
      </x:c>
      <x:c r="P284" s="50" t="n">
        <x:f>MIN(G284,MAX(0,Inputs!$B$20-O284-F284))</x:f>
        <x:v>0</x:v>
      </x:c>
      <x:c r="Q284" s="50" t="n">
        <x:f>(C284-E284-F284)+(G284-P284)</x:f>
        <x:v>0</x:v>
      </x:c>
    </x:row>
    <x:row r="285">
      <x:c r="A285" s="41" t="n">
        <x:f>IF(B285=1,A284+1,A284)</x:f>
        <x:v>2037</x:v>
      </x:c>
      <x:c r="B285" s="41" t="n">
        <x:f>IF(B284=26,1,B284+1)</x:f>
        <x:v>24</x:v>
      </x:c>
      <x:c r="C285" s="48" t="n">
        <x:f>Inputs!$F$13</x:f>
        <x:v>600</x:v>
      </x:c>
      <x:c r="D285" s="50" t="n">
        <x:f>IF(B285=1,0,D284+E284)</x:f>
        <x:v>8000</x:v>
      </x:c>
      <x:c r="E285" s="50" t="n">
        <x:f>MIN(C285,MAX(0,Inputs!$B$7-D285))</x:f>
        <x:v>0</x:v>
      </x:c>
      <x:c r="F285" s="50" t="n">
        <x:f>MIN(C285-E285,MAX(0,Inputs!$B$20-O285))</x:f>
        <x:v>600</x:v>
      </x:c>
      <x:c r="G285" s="50" t="n">
        <x:f>0</x:f>
        <x:v>0</x:v>
      </x:c>
      <x:c r="H285" s="41" t="n">
        <x:f>0</x:f>
        <x:v>0</x:v>
      </x:c>
      <x:c r="I285" s="50" t="n">
        <x:f>(I284*(1+Inputs!$B$12))+E285</x:f>
        <x:v>177061.2582242076</x:v>
      </x:c>
      <x:c r="J285" s="50" t="n">
        <x:f>(J284*(1+Inputs!$B$12))+F285+P285</x:f>
        <x:v>195489.67845517222</x:v>
      </x:c>
      <x:c r="K285" s="50" t="n">
        <x:f>(K284*(1+Inputs!$B$12))*(1-H285)</x:f>
        <x:v>0</x:v>
      </x:c>
      <x:c r="L285" s="50" t="n">
        <x:f>L284*(1+Inputs!$B$13)+Q285</x:f>
        <x:v>22429.92801188309</x:v>
      </x:c>
      <x:c r="M285" s="50" t="n">
        <x:f>I285+J285+L285</x:f>
        <x:v>394980.8646912629</x:v>
      </x:c>
      <x:c r="N285" s="50" t="n">
        <x:f>F285+P285</x:f>
        <x:v>600</x:v>
      </x:c>
      <x:c r="O285" s="50" t="n">
        <x:f>IF(B285=1,0,O284+F284+P284)</x:f>
        <x:v>9057.21784</x:v>
      </x:c>
      <x:c r="P285" s="50" t="n">
        <x:f>MIN(G285,MAX(0,Inputs!$B$20-O285-F285))</x:f>
        <x:v>0</x:v>
      </x:c>
      <x:c r="Q285" s="50" t="n">
        <x:f>(C285-E285-F285)+(G285-P285)</x:f>
        <x:v>0</x:v>
      </x:c>
    </x:row>
    <x:row r="286">
      <x:c r="A286" s="41" t="n">
        <x:f>IF(B286=1,A285+1,A285)</x:f>
        <x:v>2037</x:v>
      </x:c>
      <x:c r="B286" s="41" t="n">
        <x:f>IF(B285=26,1,B285+1)</x:f>
        <x:v>25</x:v>
      </x:c>
      <x:c r="C286" s="48" t="n">
        <x:f>Inputs!$F$13</x:f>
        <x:v>600</x:v>
      </x:c>
      <x:c r="D286" s="50" t="n">
        <x:f>IF(B286=1,0,D285+E285)</x:f>
        <x:v>8000</x:v>
      </x:c>
      <x:c r="E286" s="50" t="n">
        <x:f>MIN(C286,MAX(0,Inputs!$B$7-D286))</x:f>
        <x:v>0</x:v>
      </x:c>
      <x:c r="F286" s="50" t="n">
        <x:f>MIN(C286-E286,MAX(0,Inputs!$B$20-O286))</x:f>
        <x:v>600</x:v>
      </x:c>
      <x:c r="G286" s="50" t="n">
        <x:f>0</x:f>
        <x:v>0</x:v>
      </x:c>
      <x:c r="H286" s="41" t="n">
        <x:f>0</x:f>
        <x:v>0</x:v>
      </x:c>
      <x:c r="I286" s="50" t="n">
        <x:f>(I285*(1+Inputs!$B$12))+E286</x:f>
        <x:v>177393.8335519676</x:v>
      </x:c>
      <x:c r="J286" s="50" t="n">
        <x:f>(J285*(1+Inputs!$B$12))+F286+P286</x:f>
        <x:v>196456.8680060541</x:v>
      </x:c>
      <x:c r="K286" s="50" t="n">
        <x:f>(K285*(1+Inputs!$B$12))*(1-H286)</x:f>
        <x:v>0</x:v>
      </x:c>
      <x:c r="L286" s="50" t="n">
        <x:f>L285*(1+Inputs!$B$13)+Q286</x:f>
        <x:v>22469.172633188376</x:v>
      </x:c>
      <x:c r="M286" s="50" t="n">
        <x:f>I286+J286+L286</x:f>
        <x:v>396319.8741912101</x:v>
      </x:c>
      <x:c r="N286" s="50" t="n">
        <x:f>F286+P286</x:f>
        <x:v>600</x:v>
      </x:c>
      <x:c r="O286" s="50" t="n">
        <x:f>IF(B286=1,0,O285+F285+P285)</x:f>
        <x:v>9657.21784</x:v>
      </x:c>
      <x:c r="P286" s="50" t="n">
        <x:f>MIN(G286,MAX(0,Inputs!$B$20-O286-F286))</x:f>
        <x:v>0</x:v>
      </x:c>
      <x:c r="Q286" s="50" t="n">
        <x:f>(C286-E286-F286)+(G286-P286)</x:f>
        <x:v>0</x:v>
      </x:c>
    </x:row>
    <x:row r="287">
      <x:c r="A287" s="41" t="n">
        <x:f>IF(B287=1,A286+1,A286)</x:f>
        <x:v>2037</x:v>
      </x:c>
      <x:c r="B287" s="41" t="n">
        <x:f>IF(B286=26,1,B286+1)</x:f>
        <x:v>26</x:v>
      </x:c>
      <x:c r="C287" s="48" t="n">
        <x:f>Inputs!$F$13</x:f>
        <x:v>600</x:v>
      </x:c>
      <x:c r="D287" s="50" t="n">
        <x:f>IF(B287=1,0,D286+E286)</x:f>
        <x:v>8000</x:v>
      </x:c>
      <x:c r="E287" s="50" t="n">
        <x:f>MIN(C287,MAX(0,Inputs!$B$7-D287))</x:f>
        <x:v>0</x:v>
      </x:c>
      <x:c r="F287" s="50" t="n">
        <x:f>MIN(C287-E287,MAX(0,Inputs!$B$20-O287))</x:f>
        <x:v>600</x:v>
      </x:c>
      <x:c r="G287" s="50" t="n">
        <x:f>0</x:f>
        <x:v>0</x:v>
      </x:c>
      <x:c r="H287" s="41" t="n">
        <x:f>IF(A287=Inputs!$B$8,1,0)</x:f>
        <x:v>0</x:v>
      </x:c>
      <x:c r="I287" s="50" t="n">
        <x:f>(I286*(1+Inputs!$B$12))+E287</x:f>
        <x:v>177727.0335581567</x:v>
      </x:c>
      <x:c r="J287" s="50" t="n">
        <x:f>(J286*(1+Inputs!$B$12))+F287+P287</x:f>
        <x:v>197425.87423544104</x:v>
      </x:c>
      <x:c r="K287" s="50" t="n">
        <x:f>(K286*(1+Inputs!$B$12))*(1-H287)</x:f>
        <x:v>0</x:v>
      </x:c>
      <x:c r="L287" s="50" t="n">
        <x:f>L286*(1+Inputs!$B$13)+Q287</x:f>
        <x:v>22508.485919016373</x:v>
      </x:c>
      <x:c r="M287" s="50" t="n">
        <x:f>I287+J287+L287</x:f>
        <x:v>397661.3937126141</x:v>
      </x:c>
      <x:c r="N287" s="50" t="n">
        <x:f>F287+P287</x:f>
        <x:v>600</x:v>
      </x:c>
      <x:c r="O287" s="50" t="n">
        <x:f>IF(B287=1,0,O286+F286+P286)</x:f>
        <x:v>10257.21784</x:v>
      </x:c>
      <x:c r="P287" s="50" t="n">
        <x:f>MIN(G287,MAX(0,Inputs!$B$20-O287-F287))</x:f>
        <x:v>0</x:v>
      </x:c>
      <x:c r="Q287" s="50" t="n">
        <x:f>(C287-E287-F287)+(G287-P287)</x:f>
        <x:v>0</x:v>
      </x:c>
    </x:row>
    <x:row r="288">
      <x:c r="A288" s="41" t="n">
        <x:f>IF(B288=1,A287+1,A287)</x:f>
        <x:v>2038</x:v>
      </x:c>
      <x:c r="B288" s="41" t="n">
        <x:f>IF(B287=26,1,B287+1)</x:f>
        <x:v>1</x:v>
      </x:c>
      <x:c r="C288" s="48" t="n">
        <x:f>Inputs!$F$14</x:f>
        <x:v>600</x:v>
      </x:c>
      <x:c r="D288" s="50" t="n">
        <x:f>IF(B288=1,0,D287+E287)</x:f>
        <x:v>0</x:v>
      </x:c>
      <x:c r="E288" s="50" t="n">
        <x:f>MIN(C288,MAX(0,Inputs!$B$7-D288))</x:f>
        <x:v>600</x:v>
      </x:c>
      <x:c r="F288" s="50" t="n">
        <x:f>MIN(C288-E288,MAX(0,Inputs!$B$20-O288))</x:f>
        <x:v>0</x:v>
      </x:c>
      <x:c r="G288" s="50" t="n">
        <x:f>0</x:f>
        <x:v>0</x:v>
      </x:c>
      <x:c r="H288" s="41" t="n">
        <x:f>0</x:f>
        <x:v>0</x:v>
      </x:c>
      <x:c r="I288" s="50" t="n">
        <x:f>(I287*(1+Inputs!$B$12))+E288</x:f>
        <x:v>178660.85941611242</x:v>
      </x:c>
      <x:c r="J288" s="50" t="n">
        <x:f>(J287*(1+Inputs!$B$12))+F288+P288</x:f>
        <x:v>197796.70055561222</x:v>
      </x:c>
      <x:c r="K288" s="50" t="n">
        <x:f>(K287*(1+Inputs!$B$12))*(1-H288)</x:f>
        <x:v>0</x:v>
      </x:c>
      <x:c r="L288" s="50" t="n">
        <x:f>L287*(1+Inputs!$B$13)+Q288</x:f>
        <x:v>22547.867989506263</x:v>
      </x:c>
      <x:c r="M288" s="50" t="n">
        <x:f>I288+J288+L288</x:f>
        <x:v>399005.4279612309</x:v>
      </x:c>
      <x:c r="N288" s="50" t="n">
        <x:f>F288+P288</x:f>
        <x:v>0</x:v>
      </x:c>
      <x:c r="O288" s="50" t="n">
        <x:f>IF(B288=1,0,O287+F287+P287)</x:f>
        <x:v>0</x:v>
      </x:c>
      <x:c r="P288" s="50" t="n">
        <x:f>MIN(G288,MAX(0,Inputs!$B$20-O288-F288))</x:f>
        <x:v>0</x:v>
      </x:c>
      <x:c r="Q288" s="50" t="n">
        <x:f>(C288-E288-F288)+(G288-P288)</x:f>
        <x:v>0</x:v>
      </x:c>
    </x:row>
    <x:row r="289">
      <x:c r="A289" s="41" t="n">
        <x:f>IF(B289=1,A288+1,A288)</x:f>
        <x:v>2038</x:v>
      </x:c>
      <x:c r="B289" s="41" t="n">
        <x:f>IF(B288=26,1,B288+1)</x:f>
        <x:v>2</x:v>
      </x:c>
      <x:c r="C289" s="48" t="n">
        <x:f>Inputs!$F$14</x:f>
        <x:v>600</x:v>
      </x:c>
      <x:c r="D289" s="50" t="n">
        <x:f>IF(B289=1,0,D288+E288)</x:f>
        <x:v>600</x:v>
      </x:c>
      <x:c r="E289" s="50" t="n">
        <x:f>MIN(C289,MAX(0,Inputs!$B$7-D289))</x:f>
        <x:v>600</x:v>
      </x:c>
      <x:c r="F289" s="50" t="n">
        <x:f>MIN(C289-E289,MAX(0,Inputs!$B$20-O289))</x:f>
        <x:v>0</x:v>
      </x:c>
      <x:c r="G289" s="50" t="n">
        <x:f>0</x:f>
        <x:v>0</x:v>
      </x:c>
      <x:c r="H289" s="41" t="n">
        <x:f>0</x:f>
        <x:v>0</x:v>
      </x:c>
      <x:c r="I289" s="50" t="n">
        <x:f>(I288*(1+Inputs!$B$12))+E289</x:f>
        <x:v>179596.439285329</x:v>
      </x:c>
      <x:c r="J289" s="50" t="n">
        <x:f>(J288*(1+Inputs!$B$12))+F289+P289</x:f>
        <x:v>198168.2234013035</x:v>
      </x:c>
      <x:c r="K289" s="50" t="n">
        <x:f>(K288*(1+Inputs!$B$12))*(1-H289)</x:f>
        <x:v>0</x:v>
      </x:c>
      <x:c r="L289" s="50" t="n">
        <x:f>L288*(1+Inputs!$B$13)+Q289</x:f>
        <x:v>22587.31896500743</x:v>
      </x:c>
      <x:c r="M289" s="50" t="n">
        <x:f>I289+J289+L289</x:f>
        <x:v>400351.9816516399</x:v>
      </x:c>
      <x:c r="N289" s="50" t="n">
        <x:f>F289+P289</x:f>
        <x:v>0</x:v>
      </x:c>
      <x:c r="O289" s="50" t="n">
        <x:f>IF(B289=1,0,O288+F288+P288)</x:f>
        <x:v>0</x:v>
      </x:c>
      <x:c r="P289" s="50" t="n">
        <x:f>MIN(G289,MAX(0,Inputs!$B$20-O289-F289))</x:f>
        <x:v>0</x:v>
      </x:c>
      <x:c r="Q289" s="50" t="n">
        <x:f>(C289-E289-F289)+(G289-P289)</x:f>
        <x:v>0</x:v>
      </x:c>
    </x:row>
    <x:row r="290">
      <x:c r="A290" s="41" t="n">
        <x:f>IF(B290=1,A289+1,A289)</x:f>
        <x:v>2038</x:v>
      </x:c>
      <x:c r="B290" s="41" t="n">
        <x:f>IF(B289=26,1,B289+1)</x:f>
        <x:v>3</x:v>
      </x:c>
      <x:c r="C290" s="48" t="n">
        <x:f>Inputs!$F$14</x:f>
        <x:v>600</x:v>
      </x:c>
      <x:c r="D290" s="50" t="n">
        <x:f>IF(B290=1,0,D289+E289)</x:f>
        <x:v>1200</x:v>
      </x:c>
      <x:c r="E290" s="50" t="n">
        <x:f>MIN(C290,MAX(0,Inputs!$B$7-D290))</x:f>
        <x:v>600</x:v>
      </x:c>
      <x:c r="F290" s="50" t="n">
        <x:f>MIN(C290-E290,MAX(0,Inputs!$B$20-O290))</x:f>
        <x:v>0</x:v>
      </x:c>
      <x:c r="G290" s="50" t="n">
        <x:f>0</x:f>
        <x:v>0</x:v>
      </x:c>
      <x:c r="H290" s="41" t="n">
        <x:f>0</x:f>
        <x:v>0</x:v>
      </x:c>
      <x:c r="I290" s="50" t="n">
        <x:f>(I289*(1+Inputs!$B$12))+E290</x:f>
        <x:v>180533.7764603773</x:v>
      </x:c>
      <x:c r="J290" s="50" t="n">
        <x:f>(J289*(1+Inputs!$B$12))+F290+P290</x:f>
        <x:v>198540.4440808033</x:v>
      </x:c>
      <x:c r="K290" s="50" t="n">
        <x:f>(K289*(1+Inputs!$B$12))*(1-H290)</x:f>
        <x:v>0</x:v>
      </x:c>
      <x:c r="L290" s="50" t="n">
        <x:f>L289*(1+Inputs!$B$13)+Q290</x:f>
        <x:v>22626.838966079828</x:v>
      </x:c>
      <x:c r="M290" s="50" t="n">
        <x:f>I290+J290+L290</x:f>
        <x:v>401701.0595072604</x:v>
      </x:c>
      <x:c r="N290" s="50" t="n">
        <x:f>F290+P290</x:f>
        <x:v>0</x:v>
      </x:c>
      <x:c r="O290" s="50" t="n">
        <x:f>IF(B290=1,0,O289+F289+P289)</x:f>
        <x:v>0</x:v>
      </x:c>
      <x:c r="P290" s="50" t="n">
        <x:f>MIN(G290,MAX(0,Inputs!$B$20-O290-F290))</x:f>
        <x:v>0</x:v>
      </x:c>
      <x:c r="Q290" s="50" t="n">
        <x:f>(C290-E290-F290)+(G290-P290)</x:f>
        <x:v>0</x:v>
      </x:c>
    </x:row>
    <x:row r="291">
      <x:c r="A291" s="41" t="n">
        <x:f>IF(B291=1,A290+1,A290)</x:f>
        <x:v>2038</x:v>
      </x:c>
      <x:c r="B291" s="41" t="n">
        <x:f>IF(B290=26,1,B290+1)</x:f>
        <x:v>4</x:v>
      </x:c>
      <x:c r="C291" s="48" t="n">
        <x:f>Inputs!$F$14</x:f>
        <x:v>600</x:v>
      </x:c>
      <x:c r="D291" s="50" t="n">
        <x:f>IF(B291=1,0,D290+E290)</x:f>
        <x:v>1800</x:v>
      </x:c>
      <x:c r="E291" s="50" t="n">
        <x:f>MIN(C291,MAX(0,Inputs!$B$7-D291))</x:f>
        <x:v>600</x:v>
      </x:c>
      <x:c r="F291" s="50" t="n">
        <x:f>MIN(C291-E291,MAX(0,Inputs!$B$20-O291))</x:f>
        <x:v>0</x:v>
      </x:c>
      <x:c r="G291" s="50" t="n">
        <x:f>0</x:f>
        <x:v>0</x:v>
      </x:c>
      <x:c r="H291" s="41" t="n">
        <x:f>0</x:f>
        <x:v>0</x:v>
      </x:c>
      <x:c r="I291" s="50" t="n">
        <x:f>(I290*(1+Inputs!$B$12))+E291</x:f>
        <x:v>181472.87424201643</x:v>
      </x:c>
      <x:c r="J291" s="50" t="n">
        <x:f>(J290*(1+Inputs!$B$12))+F291+P291</x:f>
        <x:v>198913.36390485754</x:v>
      </x:c>
      <x:c r="K291" s="50" t="n">
        <x:f>(K290*(1+Inputs!$B$12))*(1-H291)</x:f>
        <x:v>0</x:v>
      </x:c>
      <x:c r="L291" s="50" t="n">
        <x:f>L290*(1+Inputs!$B$13)+Q291</x:f>
        <x:v>22666.428113494345</x:v>
      </x:c>
      <x:c r="M291" s="50" t="n">
        <x:f>I291+J291+L291</x:f>
        <x:v>403052.66626036837</x:v>
      </x:c>
      <x:c r="N291" s="50" t="n">
        <x:f>F291+P291</x:f>
        <x:v>0</x:v>
      </x:c>
      <x:c r="O291" s="50" t="n">
        <x:f>IF(B291=1,0,O290+F290+P290)</x:f>
        <x:v>0</x:v>
      </x:c>
      <x:c r="P291" s="50" t="n">
        <x:f>MIN(G291,MAX(0,Inputs!$B$20-O291-F291))</x:f>
        <x:v>0</x:v>
      </x:c>
      <x:c r="Q291" s="50" t="n">
        <x:f>(C291-E291-F291)+(G291-P291)</x:f>
        <x:v>0</x:v>
      </x:c>
    </x:row>
    <x:row r="292">
      <x:c r="A292" s="41" t="n">
        <x:f>IF(B292=1,A291+1,A291)</x:f>
        <x:v>2038</x:v>
      </x:c>
      <x:c r="B292" s="41" t="n">
        <x:f>IF(B291=26,1,B291+1)</x:f>
        <x:v>5</x:v>
      </x:c>
      <x:c r="C292" s="48" t="n">
        <x:f>Inputs!$F$14</x:f>
        <x:v>600</x:v>
      </x:c>
      <x:c r="D292" s="50" t="n">
        <x:f>IF(B292=1,0,D291+E291)</x:f>
        <x:v>2400</x:v>
      </x:c>
      <x:c r="E292" s="50" t="n">
        <x:f>MIN(C292,MAX(0,Inputs!$B$7-D292))</x:f>
        <x:v>600</x:v>
      </x:c>
      <x:c r="F292" s="50" t="n">
        <x:f>MIN(C292-E292,MAX(0,Inputs!$B$20-O292))</x:f>
        <x:v>0</x:v>
      </x:c>
      <x:c r="G292" s="50" t="n">
        <x:f>0</x:f>
        <x:v>0</x:v>
      </x:c>
      <x:c r="H292" s="41" t="n">
        <x:f>0</x:f>
        <x:v>0</x:v>
      </x:c>
      <x:c r="I292" s="50" t="n">
        <x:f>(I291*(1+Inputs!$B$12))+E292</x:f>
        <x:v>182413.73593720538</x:v>
      </x:c>
      <x:c r="J292" s="50" t="n">
        <x:f>(J291*(1+Inputs!$B$12))+F292+P292</x:f>
        <x:v>199286.984186674</x:v>
      </x:c>
      <x:c r="K292" s="50" t="n">
        <x:f>(K291*(1+Inputs!$B$12))*(1-H292)</x:f>
        <x:v>0</x:v>
      </x:c>
      <x:c r="L292" s="50" t="n">
        <x:f>L291*(1+Inputs!$B$13)+Q292</x:f>
        <x:v>22706.086528233183</x:v>
      </x:c>
      <x:c r="M292" s="50" t="n">
        <x:f>I292+J292+L292</x:f>
        <x:v>404406.8066521126</x:v>
      </x:c>
      <x:c r="N292" s="50" t="n">
        <x:f>F292+P292</x:f>
        <x:v>0</x:v>
      </x:c>
      <x:c r="O292" s="50" t="n">
        <x:f>IF(B292=1,0,O291+F291+P291)</x:f>
        <x:v>0</x:v>
      </x:c>
      <x:c r="P292" s="50" t="n">
        <x:f>MIN(G292,MAX(0,Inputs!$B$20-O292-F292))</x:f>
        <x:v>0</x:v>
      </x:c>
      <x:c r="Q292" s="50" t="n">
        <x:f>(C292-E292-F292)+(G292-P292)</x:f>
        <x:v>0</x:v>
      </x:c>
    </x:row>
    <x:row r="293">
      <x:c r="A293" s="41" t="n">
        <x:f>IF(B293=1,A292+1,A292)</x:f>
        <x:v>2038</x:v>
      </x:c>
      <x:c r="B293" s="41" t="n">
        <x:f>IF(B292=26,1,B292+1)</x:f>
        <x:v>6</x:v>
      </x:c>
      <x:c r="C293" s="48" t="n">
        <x:f>Inputs!$F$14</x:f>
        <x:v>600</x:v>
      </x:c>
      <x:c r="D293" s="50" t="n">
        <x:f>IF(B293=1,0,D292+E292)</x:f>
        <x:v>3000</x:v>
      </x:c>
      <x:c r="E293" s="50" t="n">
        <x:f>MIN(C293,MAX(0,Inputs!$B$7-D293))</x:f>
        <x:v>600</x:v>
      </x:c>
      <x:c r="F293" s="50" t="n">
        <x:f>MIN(C293-E293,MAX(0,Inputs!$B$20-O293))</x:f>
        <x:v>0</x:v>
      </x:c>
      <x:c r="G293" s="50" t="n">
        <x:f>0</x:f>
        <x:v>0</x:v>
      </x:c>
      <x:c r="H293" s="41" t="n">
        <x:f>0</x:f>
        <x:v>0</x:v>
      </x:c>
      <x:c r="I293" s="50" t="n">
        <x:f>(I292*(1+Inputs!$B$12))+E293</x:f>
        <x:v>183356.36485911458</x:v>
      </x:c>
      <x:c r="J293" s="50" t="n">
        <x:f>(J292*(1+Inputs!$B$12))+F293+P293</x:f>
        <x:v>199661.30624192712</x:v>
      </x:c>
      <x:c r="K293" s="50" t="n">
        <x:f>(K292*(1+Inputs!$B$12))*(1-H293)</x:f>
        <x:v>0</x:v>
      </x:c>
      <x:c r="L293" s="50" t="n">
        <x:f>L292*(1+Inputs!$B$13)+Q293</x:f>
        <x:v>22745.81433149022</x:v>
      </x:c>
      <x:c r="M293" s="50" t="n">
        <x:f>I293+J293+L293</x:f>
        <x:v>405763.4854325319</x:v>
      </x:c>
      <x:c r="N293" s="50" t="n">
        <x:f>F293+P293</x:f>
        <x:v>0</x:v>
      </x:c>
      <x:c r="O293" s="50" t="n">
        <x:f>IF(B293=1,0,O292+F292+P292)</x:f>
        <x:v>0</x:v>
      </x:c>
      <x:c r="P293" s="50" t="n">
        <x:f>MIN(G293,MAX(0,Inputs!$B$20-O293-F293))</x:f>
        <x:v>0</x:v>
      </x:c>
      <x:c r="Q293" s="50" t="n">
        <x:f>(C293-E293-F293)+(G293-P293)</x:f>
        <x:v>0</x:v>
      </x:c>
    </x:row>
    <x:row r="294">
      <x:c r="A294" s="41" t="n">
        <x:f>IF(B294=1,A293+1,A293)</x:f>
        <x:v>2038</x:v>
      </x:c>
      <x:c r="B294" s="41" t="n">
        <x:f>IF(B293=26,1,B293+1)</x:f>
        <x:v>7</x:v>
      </x:c>
      <x:c r="C294" s="48" t="n">
        <x:f>Inputs!$F$14</x:f>
        <x:v>600</x:v>
      </x:c>
      <x:c r="D294" s="50" t="n">
        <x:f>IF(B294=1,0,D293+E293)</x:f>
        <x:v>3600</x:v>
      </x:c>
      <x:c r="E294" s="50" t="n">
        <x:f>MIN(C294,MAX(0,Inputs!$B$7-D294))</x:f>
        <x:v>600</x:v>
      </x:c>
      <x:c r="F294" s="50" t="n">
        <x:f>MIN(C294-E294,MAX(0,Inputs!$B$20-O294))</x:f>
        <x:v>0</x:v>
      </x:c>
      <x:c r="G294" s="50" t="n">
        <x:f>0</x:f>
        <x:v>0</x:v>
      </x:c>
      <x:c r="H294" s="41" t="n">
        <x:f>0</x:f>
        <x:v>0</x:v>
      </x:c>
      <x:c r="I294" s="50" t="n">
        <x:f>(I293*(1+Inputs!$B$12))+E294</x:f>
        <x:v>184300.76432713761</x:v>
      </x:c>
      <x:c r="J294" s="50" t="n">
        <x:f>(J293*(1+Inputs!$B$12))+F294+P294</x:f>
        <x:v>200036.33138876257</x:v>
      </x:c>
      <x:c r="K294" s="50" t="n">
        <x:f>(K293*(1+Inputs!$B$12))*(1-H294)</x:f>
        <x:v>0</x:v>
      </x:c>
      <x:c r="L294" s="50" t="n">
        <x:f>L293*(1+Inputs!$B$13)+Q294</x:f>
        <x:v>22785.61164467137</x:v>
      </x:c>
      <x:c r="M294" s="50" t="n">
        <x:f>I294+J294+L294</x:f>
        <x:v>407122.70736057154</x:v>
      </x:c>
      <x:c r="N294" s="50" t="n">
        <x:f>F294+P294</x:f>
        <x:v>0</x:v>
      </x:c>
      <x:c r="O294" s="50" t="n">
        <x:f>IF(B294=1,0,O293+F293+P293)</x:f>
        <x:v>0</x:v>
      </x:c>
      <x:c r="P294" s="50" t="n">
        <x:f>MIN(G294,MAX(0,Inputs!$B$20-O294-F294))</x:f>
        <x:v>0</x:v>
      </x:c>
      <x:c r="Q294" s="50" t="n">
        <x:f>(C294-E294-F294)+(G294-P294)</x:f>
        <x:v>0</x:v>
      </x:c>
    </x:row>
    <x:row r="295">
      <x:c r="A295" s="41" t="n">
        <x:f>IF(B295=1,A294+1,A294)</x:f>
        <x:v>2038</x:v>
      </x:c>
      <x:c r="B295" s="41" t="n">
        <x:f>IF(B294=26,1,B294+1)</x:f>
        <x:v>8</x:v>
      </x:c>
      <x:c r="C295" s="48" t="n">
        <x:f>Inputs!$F$14</x:f>
        <x:v>600</x:v>
      </x:c>
      <x:c r="D295" s="50" t="n">
        <x:f>IF(B295=1,0,D294+E294)</x:f>
        <x:v>4200</x:v>
      </x:c>
      <x:c r="E295" s="50" t="n">
        <x:f>MIN(C295,MAX(0,Inputs!$B$7-D295))</x:f>
        <x:v>600</x:v>
      </x:c>
      <x:c r="F295" s="50" t="n">
        <x:f>MIN(C295-E295,MAX(0,Inputs!$B$20-O295))</x:f>
        <x:v>0</x:v>
      </x:c>
      <x:c r="G295" s="50" t="n">
        <x:f>0</x:f>
        <x:v>0</x:v>
      </x:c>
      <x:c r="H295" s="41" t="n">
        <x:f>0</x:f>
        <x:v>0</x:v>
      </x:c>
      <x:c r="I295" s="50" t="n">
        <x:f>(I294*(1+Inputs!$B$12))+E295</x:f>
        <x:v>185246.9376669029</x:v>
      </x:c>
      <x:c r="J295" s="50" t="n">
        <x:f>(J294*(1+Inputs!$B$12))+F295+P295</x:f>
        <x:v>200412.0609478019</x:v>
      </x:c>
      <x:c r="K295" s="50" t="n">
        <x:f>(K294*(1+Inputs!$B$12))*(1-H295)</x:f>
        <x:v>0</x:v>
      </x:c>
      <x:c r="L295" s="50" t="n">
        <x:f>L294*(1+Inputs!$B$13)+Q295</x:f>
        <x:v>22825.47858939499</x:v>
      </x:c>
      <x:c r="M295" s="50" t="n">
        <x:f>I295+J295+L295</x:f>
        <x:v>408484.4772040998</x:v>
      </x:c>
      <x:c r="N295" s="50" t="n">
        <x:f>F295+P295</x:f>
        <x:v>0</x:v>
      </x:c>
      <x:c r="O295" s="50" t="n">
        <x:f>IF(B295=1,0,O294+F294+P294)</x:f>
        <x:v>0</x:v>
      </x:c>
      <x:c r="P295" s="50" t="n">
        <x:f>MIN(G295,MAX(0,Inputs!$B$20-O295-F295))</x:f>
        <x:v>0</x:v>
      </x:c>
      <x:c r="Q295" s="50" t="n">
        <x:f>(C295-E295-F295)+(G295-P295)</x:f>
        <x:v>0</x:v>
      </x:c>
    </x:row>
    <x:row r="296">
      <x:c r="A296" s="41" t="n">
        <x:f>IF(B296=1,A295+1,A295)</x:f>
        <x:v>2038</x:v>
      </x:c>
      <x:c r="B296" s="41" t="n">
        <x:f>IF(B295=26,1,B295+1)</x:f>
        <x:v>9</x:v>
      </x:c>
      <x:c r="C296" s="48" t="n">
        <x:f>Inputs!$F$14</x:f>
        <x:v>600</x:v>
      </x:c>
      <x:c r="D296" s="50" t="n">
        <x:f>IF(B296=1,0,D295+E295)</x:f>
        <x:v>4800</x:v>
      </x:c>
      <x:c r="E296" s="50" t="n">
        <x:f>MIN(C296,MAX(0,Inputs!$B$7-D296))</x:f>
        <x:v>600</x:v>
      </x:c>
      <x:c r="F296" s="50" t="n">
        <x:f>MIN(C296-E296,MAX(0,Inputs!$B$20-O296))</x:f>
        <x:v>0</x:v>
      </x:c>
      <x:c r="G296" s="50" t="n">
        <x:f>SUM(N262:N287)*Inputs!$B$6</x:f>
        <x:v>3257.1653519999995</x:v>
      </x:c>
      <x:c r="H296" s="41" t="n">
        <x:f>0</x:f>
        <x:v>0</x:v>
      </x:c>
      <x:c r="I296" s="50" t="n">
        <x:f>(I295*(1+Inputs!$B$12))+E296</x:f>
        <x:v>186194.88821028545</x:v>
      </x:c>
      <x:c r="J296" s="50" t="n">
        <x:f>(J295*(1+Inputs!$B$12))+F296+P296</x:f>
        <x:v>204045.66159414718</x:v>
      </x:c>
      <x:c r="K296" s="50" t="n">
        <x:f>(K295*(1+Inputs!$B$12))*(1-H296)</x:f>
        <x:v>0</x:v>
      </x:c>
      <x:c r="L296" s="50" t="n">
        <x:f>L295*(1+Inputs!$B$13)+Q296</x:f>
        <x:v>22865.415287492197</x:v>
      </x:c>
      <x:c r="M296" s="50" t="n">
        <x:f>I296+J296+L296</x:f>
        <x:v>413105.9650919249</x:v>
      </x:c>
      <x:c r="N296" s="50" t="n">
        <x:f>F296+P296</x:f>
        <x:v>3257.1653519999995</x:v>
      </x:c>
      <x:c r="O296" s="50" t="n">
        <x:f>IF(B296=1,0,O295+F295+P295)</x:f>
        <x:v>0</x:v>
      </x:c>
      <x:c r="P296" s="50" t="n">
        <x:f>MIN(G296,MAX(0,Inputs!$B$20-O296-F296))</x:f>
        <x:v>3257.1653519999995</x:v>
      </x:c>
      <x:c r="Q296" s="50" t="n">
        <x:f>(C296-E296-F296)+(G296-P296)</x:f>
        <x:v>0</x:v>
      </x:c>
    </x:row>
    <x:row r="297">
      <x:c r="A297" s="41" t="n">
        <x:f>IF(B297=1,A296+1,A296)</x:f>
        <x:v>2038</x:v>
      </x:c>
      <x:c r="B297" s="41" t="n">
        <x:f>IF(B296=26,1,B296+1)</x:f>
        <x:v>10</x:v>
      </x:c>
      <x:c r="C297" s="48" t="n">
        <x:f>Inputs!$F$14</x:f>
        <x:v>600</x:v>
      </x:c>
      <x:c r="D297" s="50" t="n">
        <x:f>IF(B297=1,0,D296+E296)</x:f>
        <x:v>5400</x:v>
      </x:c>
      <x:c r="E297" s="50" t="n">
        <x:f>MIN(C297,MAX(0,Inputs!$B$7-D297))</x:f>
        <x:v>600</x:v>
      </x:c>
      <x:c r="F297" s="50" t="n">
        <x:f>MIN(C297-E297,MAX(0,Inputs!$B$20-O297))</x:f>
        <x:v>0</x:v>
      </x:c>
      <x:c r="G297" s="50" t="n">
        <x:f>0</x:f>
        <x:v>0</x:v>
      </x:c>
      <x:c r="H297" s="41" t="n">
        <x:f>0</x:f>
        <x:v>0</x:v>
      </x:c>
      <x:c r="I297" s="50" t="n">
        <x:f>(I296*(1+Inputs!$B$12))+E297</x:f>
        <x:v>187144.6192954185</x:v>
      </x:c>
      <x:c r="J297" s="50" t="n">
        <x:f>(J296*(1+Inputs!$B$12))+F297+P297</x:f>
        <x:v>204428.9219045238</x:v>
      </x:c>
      <x:c r="K297" s="50" t="n">
        <x:f>(K296*(1+Inputs!$B$12))*(1-H297)</x:f>
        <x:v>0</x:v>
      </x:c>
      <x:c r="L297" s="50" t="n">
        <x:f>L296*(1+Inputs!$B$13)+Q297</x:f>
        <x:v>22905.421861007293</x:v>
      </x:c>
      <x:c r="M297" s="50" t="n">
        <x:f>I297+J297+L297</x:f>
        <x:v>414478.9630609496</x:v>
      </x:c>
      <x:c r="N297" s="50" t="n">
        <x:f>F297+P297</x:f>
        <x:v>0</x:v>
      </x:c>
      <x:c r="O297" s="50" t="n">
        <x:f>IF(B297=1,0,O296+F296+P296)</x:f>
        <x:v>3257.1653519999995</x:v>
      </x:c>
      <x:c r="P297" s="50" t="n">
        <x:f>MIN(G297,MAX(0,Inputs!$B$20-O297-F297))</x:f>
        <x:v>0</x:v>
      </x:c>
      <x:c r="Q297" s="50" t="n">
        <x:f>(C297-E297-F297)+(G297-P297)</x:f>
        <x:v>0</x:v>
      </x:c>
    </x:row>
    <x:row r="298">
      <x:c r="A298" s="41" t="n">
        <x:f>IF(B298=1,A297+1,A297)</x:f>
        <x:v>2038</x:v>
      </x:c>
      <x:c r="B298" s="41" t="n">
        <x:f>IF(B297=26,1,B297+1)</x:f>
        <x:v>11</x:v>
      </x:c>
      <x:c r="C298" s="48" t="n">
        <x:f>Inputs!$F$14</x:f>
        <x:v>600</x:v>
      </x:c>
      <x:c r="D298" s="50" t="n">
        <x:f>IF(B298=1,0,D297+E297)</x:f>
        <x:v>6000</x:v>
      </x:c>
      <x:c r="E298" s="50" t="n">
        <x:f>MIN(C298,MAX(0,Inputs!$B$7-D298))</x:f>
        <x:v>600</x:v>
      </x:c>
      <x:c r="F298" s="50" t="n">
        <x:f>MIN(C298-E298,MAX(0,Inputs!$B$20-O298))</x:f>
        <x:v>0</x:v>
      </x:c>
      <x:c r="G298" s="50" t="n">
        <x:f>0</x:f>
        <x:v>0</x:v>
      </x:c>
      <x:c r="H298" s="41" t="n">
        <x:f>0</x:f>
        <x:v>0</x:v>
      </x:c>
      <x:c r="I298" s="50" t="n">
        <x:f>(I297*(1+Inputs!$B$12))+E298</x:f>
        <x:v>188096.13426670534</x:v>
      </x:c>
      <x:c r="J298" s="50" t="n">
        <x:f>(J297*(1+Inputs!$B$12))+F298+P298</x:f>
        <x:v>204812.9020952662</x:v>
      </x:c>
      <x:c r="K298" s="50" t="n">
        <x:f>(K297*(1+Inputs!$B$12))*(1-H298)</x:f>
        <x:v>0</x:v>
      </x:c>
      <x:c r="L298" s="50" t="n">
        <x:f>L297*(1+Inputs!$B$13)+Q298</x:f>
        <x:v>22945.498432198106</x:v>
      </x:c>
      <x:c r="M298" s="50" t="n">
        <x:f>I298+J298+L298</x:f>
        <x:v>415854.53479416965</x:v>
      </x:c>
      <x:c r="N298" s="50" t="n">
        <x:f>F298+P298</x:f>
        <x:v>0</x:v>
      </x:c>
      <x:c r="O298" s="50" t="n">
        <x:f>IF(B298=1,0,O297+F297+P297)</x:f>
        <x:v>3257.1653519999995</x:v>
      </x:c>
      <x:c r="P298" s="50" t="n">
        <x:f>MIN(G298,MAX(0,Inputs!$B$20-O298-F298))</x:f>
        <x:v>0</x:v>
      </x:c>
      <x:c r="Q298" s="50" t="n">
        <x:f>(C298-E298-F298)+(G298-P298)</x:f>
        <x:v>0</x:v>
      </x:c>
    </x:row>
    <x:row r="299">
      <x:c r="A299" s="41" t="n">
        <x:f>IF(B299=1,A298+1,A298)</x:f>
        <x:v>2038</x:v>
      </x:c>
      <x:c r="B299" s="41" t="n">
        <x:f>IF(B298=26,1,B298+1)</x:f>
        <x:v>12</x:v>
      </x:c>
      <x:c r="C299" s="48" t="n">
        <x:f>Inputs!$F$14</x:f>
        <x:v>600</x:v>
      </x:c>
      <x:c r="D299" s="50" t="n">
        <x:f>IF(B299=1,0,D298+E298)</x:f>
        <x:v>6600</x:v>
      </x:c>
      <x:c r="E299" s="50" t="n">
        <x:f>MIN(C299,MAX(0,Inputs!$B$7-D299))</x:f>
        <x:v>600</x:v>
      </x:c>
      <x:c r="F299" s="50" t="n">
        <x:f>MIN(C299-E299,MAX(0,Inputs!$B$20-O299))</x:f>
        <x:v>0</x:v>
      </x:c>
      <x:c r="G299" s="50" t="n">
        <x:f>0</x:f>
        <x:v>0</x:v>
      </x:c>
      <x:c r="H299" s="41" t="n">
        <x:f>0</x:f>
        <x:v>0</x:v>
      </x:c>
      <x:c r="I299" s="50" t="n">
        <x:f>(I298*(1+Inputs!$B$12))+E299</x:f>
        <x:v>189049.43647483113</x:v>
      </x:c>
      <x:c r="J299" s="50" t="n">
        <x:f>(J298*(1+Inputs!$B$12))+F299+P299</x:f>
        <x:v>205197.60351853046</x:v>
      </x:c>
      <x:c r="K299" s="50" t="n">
        <x:f>(K298*(1+Inputs!$B$12))*(1-H299)</x:f>
        <x:v>0</x:v>
      </x:c>
      <x:c r="L299" s="50" t="n">
        <x:f>L298*(1+Inputs!$B$13)+Q299</x:f>
        <x:v>22985.645123536375</x:v>
      </x:c>
      <x:c r="M299" s="50" t="n">
        <x:f>I299+J299+L299</x:f>
        <x:v>417232.6851168979</x:v>
      </x:c>
      <x:c r="N299" s="50" t="n">
        <x:f>F299+P299</x:f>
        <x:v>0</x:v>
      </x:c>
      <x:c r="O299" s="50" t="n">
        <x:f>IF(B299=1,0,O298+F298+P298)</x:f>
        <x:v>3257.1653519999995</x:v>
      </x:c>
      <x:c r="P299" s="50" t="n">
        <x:f>MIN(G299,MAX(0,Inputs!$B$20-O299-F299))</x:f>
        <x:v>0</x:v>
      </x:c>
      <x:c r="Q299" s="50" t="n">
        <x:f>(C299-E299-F299)+(G299-P299)</x:f>
        <x:v>0</x:v>
      </x:c>
    </x:row>
    <x:row r="300">
      <x:c r="A300" s="41" t="n">
        <x:f>IF(B300=1,A299+1,A299)</x:f>
        <x:v>2038</x:v>
      </x:c>
      <x:c r="B300" s="41" t="n">
        <x:f>IF(B299=26,1,B299+1)</x:f>
        <x:v>13</x:v>
      </x:c>
      <x:c r="C300" s="48" t="n">
        <x:f>Inputs!$F$14</x:f>
        <x:v>600</x:v>
      </x:c>
      <x:c r="D300" s="50" t="n">
        <x:f>IF(B300=1,0,D299+E299)</x:f>
        <x:v>7200</x:v>
      </x:c>
      <x:c r="E300" s="50" t="n">
        <x:f>MIN(C300,MAX(0,Inputs!$B$7-D300))</x:f>
        <x:v>600</x:v>
      </x:c>
      <x:c r="F300" s="50" t="n">
        <x:f>MIN(C300-E300,MAX(0,Inputs!$B$20-O300))</x:f>
        <x:v>0</x:v>
      </x:c>
      <x:c r="G300" s="50" t="n">
        <x:f>0</x:f>
        <x:v>0</x:v>
      </x:c>
      <x:c r="H300" s="41" t="n">
        <x:f>0</x:f>
        <x:v>0</x:v>
      </x:c>
      <x:c r="I300" s="50" t="n">
        <x:f>(I299*(1+Inputs!$B$12))+E300</x:f>
        <x:v>190004.52927677456</x:v>
      </x:c>
      <x:c r="J300" s="50" t="n">
        <x:f>(J299*(1+Inputs!$B$12))+F300+P300</x:f>
        <x:v>205583.02752901235</x:v>
      </x:c>
      <x:c r="K300" s="50" t="n">
        <x:f>(K299*(1+Inputs!$B$12))*(1-H300)</x:f>
        <x:v>0</x:v>
      </x:c>
      <x:c r="L300" s="50" t="n">
        <x:f>L299*(1+Inputs!$B$13)+Q300</x:f>
        <x:v>23025.86205770812</x:v>
      </x:c>
      <x:c r="M300" s="50" t="n">
        <x:f>I300+J300+L300</x:f>
        <x:v>418613.41886349506</x:v>
      </x:c>
      <x:c r="N300" s="50" t="n">
        <x:f>F300+P300</x:f>
        <x:v>0</x:v>
      </x:c>
      <x:c r="O300" s="50" t="n">
        <x:f>IF(B300=1,0,O299+F299+P299)</x:f>
        <x:v>3257.1653519999995</x:v>
      </x:c>
      <x:c r="P300" s="50" t="n">
        <x:f>MIN(G300,MAX(0,Inputs!$B$20-O300-F300))</x:f>
        <x:v>0</x:v>
      </x:c>
      <x:c r="Q300" s="50" t="n">
        <x:f>(C300-E300-F300)+(G300-P300)</x:f>
        <x:v>0</x:v>
      </x:c>
    </x:row>
    <x:row r="301">
      <x:c r="A301" s="41" t="n">
        <x:f>IF(B301=1,A300+1,A300)</x:f>
        <x:v>2038</x:v>
      </x:c>
      <x:c r="B301" s="41" t="n">
        <x:f>IF(B300=26,1,B300+1)</x:f>
        <x:v>14</x:v>
      </x:c>
      <x:c r="C301" s="48" t="n">
        <x:f>Inputs!$F$14</x:f>
        <x:v>600</x:v>
      </x:c>
      <x:c r="D301" s="50" t="n">
        <x:f>IF(B301=1,0,D300+E300)</x:f>
        <x:v>7800</x:v>
      </x:c>
      <x:c r="E301" s="50" t="n">
        <x:f>MIN(C301,MAX(0,Inputs!$B$7-D301))</x:f>
        <x:v>200</x:v>
      </x:c>
      <x:c r="F301" s="50" t="n">
        <x:f>MIN(C301-E301,MAX(0,Inputs!$B$20-O301))</x:f>
        <x:v>400</x:v>
      </x:c>
      <x:c r="G301" s="50" t="n">
        <x:f>0</x:f>
        <x:v>0</x:v>
      </x:c>
      <x:c r="H301" s="41" t="n">
        <x:f>0</x:f>
        <x:v>0</x:v>
      </x:c>
      <x:c r="I301" s="50" t="n">
        <x:f>(I300*(1+Inputs!$B$12))+E301</x:f>
        <x:v>190561.4160358198</x:v>
      </x:c>
      <x:c r="J301" s="50" t="n">
        <x:f>(J300*(1+Inputs!$B$12))+F301+P301</x:f>
        <x:v>206369.17548395222</x:v>
      </x:c>
      <x:c r="K301" s="50" t="n">
        <x:f>(K300*(1+Inputs!$B$12))*(1-H301)</x:f>
        <x:v>0</x:v>
      </x:c>
      <x:c r="L301" s="50" t="n">
        <x:f>L300*(1+Inputs!$B$13)+Q301</x:f>
        <x:v>23066.14935761402</x:v>
      </x:c>
      <x:c r="M301" s="50" t="n">
        <x:f>I301+J301+L301</x:f>
        <x:v>419996.74087738607</x:v>
      </x:c>
      <x:c r="N301" s="50" t="n">
        <x:f>F301+P301</x:f>
        <x:v>400</x:v>
      </x:c>
      <x:c r="O301" s="50" t="n">
        <x:f>IF(B301=1,0,O300+F300+P300)</x:f>
        <x:v>3257.1653519999995</x:v>
      </x:c>
      <x:c r="P301" s="50" t="n">
        <x:f>MIN(G301,MAX(0,Inputs!$B$20-O301-F301))</x:f>
        <x:v>0</x:v>
      </x:c>
      <x:c r="Q301" s="50" t="n">
        <x:f>(C301-E301-F301)+(G301-P301)</x:f>
        <x:v>0</x:v>
      </x:c>
    </x:row>
    <x:row r="302">
      <x:c r="A302" s="41" t="n">
        <x:f>IF(B302=1,A301+1,A301)</x:f>
        <x:v>2038</x:v>
      </x:c>
      <x:c r="B302" s="41" t="n">
        <x:f>IF(B301=26,1,B301+1)</x:f>
        <x:v>15</x:v>
      </x:c>
      <x:c r="C302" s="48" t="n">
        <x:f>Inputs!$F$14</x:f>
        <x:v>600</x:v>
      </x:c>
      <x:c r="D302" s="50" t="n">
        <x:f>IF(B302=1,0,D301+E301)</x:f>
        <x:v>8000</x:v>
      </x:c>
      <x:c r="E302" s="50" t="n">
        <x:f>MIN(C302,MAX(0,Inputs!$B$7-D302))</x:f>
        <x:v>0</x:v>
      </x:c>
      <x:c r="F302" s="50" t="n">
        <x:f>MIN(C302-E302,MAX(0,Inputs!$B$20-O302))</x:f>
        <x:v>600</x:v>
      </x:c>
      <x:c r="G302" s="50" t="n">
        <x:f>0</x:f>
        <x:v>0</x:v>
      </x:c>
      <x:c r="H302" s="41" t="n">
        <x:f>0</x:f>
        <x:v>0</x:v>
      </x:c>
      <x:c r="I302" s="50" t="n">
        <x:f>(I301*(1+Inputs!$B$12))+E302</x:f>
        <x:v>190919.3487989332</x:v>
      </x:c>
      <x:c r="J302" s="50" t="n">
        <x:f>(J301*(1+Inputs!$B$12))+F302+P302</x:f>
        <x:v>207356.80006577482</x:v>
      </x:c>
      <x:c r="K302" s="50" t="n">
        <x:f>(K301*(1+Inputs!$B$12))*(1-H302)</x:f>
        <x:v>0</x:v>
      </x:c>
      <x:c r="L302" s="50" t="n">
        <x:f>L301*(1+Inputs!$B$13)+Q302</x:f>
        <x:v>23106.50714636979</x:v>
      </x:c>
      <x:c r="M302" s="50" t="n">
        <x:f>I302+J302+L302</x:f>
        <x:v>421382.6560110778</x:v>
      </x:c>
      <x:c r="N302" s="50" t="n">
        <x:f>F302+P302</x:f>
        <x:v>600</x:v>
      </x:c>
      <x:c r="O302" s="50" t="n">
        <x:f>IF(B302=1,0,O301+F301+P301)</x:f>
        <x:v>3657.1653519999995</x:v>
      </x:c>
      <x:c r="P302" s="50" t="n">
        <x:f>MIN(G302,MAX(0,Inputs!$B$20-O302-F302))</x:f>
        <x:v>0</x:v>
      </x:c>
      <x:c r="Q302" s="50" t="n">
        <x:f>(C302-E302-F302)+(G302-P302)</x:f>
        <x:v>0</x:v>
      </x:c>
    </x:row>
    <x:row r="303">
      <x:c r="A303" s="41" t="n">
        <x:f>IF(B303=1,A302+1,A302)</x:f>
        <x:v>2038</x:v>
      </x:c>
      <x:c r="B303" s="41" t="n">
        <x:f>IF(B302=26,1,B302+1)</x:f>
        <x:v>16</x:v>
      </x:c>
      <x:c r="C303" s="48" t="n">
        <x:f>Inputs!$F$14</x:f>
        <x:v>600</x:v>
      </x:c>
      <x:c r="D303" s="50" t="n">
        <x:f>IF(B303=1,0,D302+E302)</x:f>
        <x:v>8000</x:v>
      </x:c>
      <x:c r="E303" s="50" t="n">
        <x:f>MIN(C303,MAX(0,Inputs!$B$7-D303))</x:f>
        <x:v>0</x:v>
      </x:c>
      <x:c r="F303" s="50" t="n">
        <x:f>MIN(C303-E303,MAX(0,Inputs!$B$20-O303))</x:f>
        <x:v>600</x:v>
      </x:c>
      <x:c r="G303" s="50" t="n">
        <x:f>0</x:f>
        <x:v>0</x:v>
      </x:c>
      <x:c r="H303" s="41" t="n">
        <x:f>0</x:f>
        <x:v>0</x:v>
      </x:c>
      <x:c r="I303" s="50" t="n">
        <x:f>(I302*(1+Inputs!$B$12))+E303</x:f>
        <x:v>191277.95386951353</x:v>
      </x:c>
      <x:c r="J303" s="50" t="n">
        <x:f>(J302*(1+Inputs!$B$12))+F303+P303</x:f>
        <x:v>208346.27970935567</x:v>
      </x:c>
      <x:c r="K303" s="50" t="n">
        <x:f>(K302*(1+Inputs!$B$12))*(1-H303)</x:f>
        <x:v>0</x:v>
      </x:c>
      <x:c r="L303" s="50" t="n">
        <x:f>L302*(1+Inputs!$B$13)+Q303</x:f>
        <x:v>23146.93554730655</x:v>
      </x:c>
      <x:c r="M303" s="50" t="n">
        <x:f>I303+J303+L303</x:f>
        <x:v>422771.16912617575</x:v>
      </x:c>
      <x:c r="N303" s="50" t="n">
        <x:f>F303+P303</x:f>
        <x:v>600</x:v>
      </x:c>
      <x:c r="O303" s="50" t="n">
        <x:f>IF(B303=1,0,O302+F302+P302)</x:f>
        <x:v>4257.165352</x:v>
      </x:c>
      <x:c r="P303" s="50" t="n">
        <x:f>MIN(G303,MAX(0,Inputs!$B$20-O303-F303))</x:f>
        <x:v>0</x:v>
      </x:c>
      <x:c r="Q303" s="50" t="n">
        <x:f>(C303-E303-F303)+(G303-P303)</x:f>
        <x:v>0</x:v>
      </x:c>
    </x:row>
    <x:row r="304">
      <x:c r="A304" s="41" t="n">
        <x:f>IF(B304=1,A303+1,A303)</x:f>
        <x:v>2038</x:v>
      </x:c>
      <x:c r="B304" s="41" t="n">
        <x:f>IF(B303=26,1,B303+1)</x:f>
        <x:v>17</x:v>
      </x:c>
      <x:c r="C304" s="48" t="n">
        <x:f>Inputs!$F$14</x:f>
        <x:v>600</x:v>
      </x:c>
      <x:c r="D304" s="50" t="n">
        <x:f>IF(B304=1,0,D303+E303)</x:f>
        <x:v>8000</x:v>
      </x:c>
      <x:c r="E304" s="50" t="n">
        <x:f>MIN(C304,MAX(0,Inputs!$B$7-D304))</x:f>
        <x:v>0</x:v>
      </x:c>
      <x:c r="F304" s="50" t="n">
        <x:f>MIN(C304-E304,MAX(0,Inputs!$B$20-O304))</x:f>
        <x:v>600</x:v>
      </x:c>
      <x:c r="G304" s="50" t="n">
        <x:f>0</x:f>
        <x:v>0</x:v>
      </x:c>
      <x:c r="H304" s="41" t="n">
        <x:f>0</x:f>
        <x:v>0</x:v>
      </x:c>
      <x:c r="I304" s="50" t="n">
        <x:f>(I303*(1+Inputs!$B$12))+E304</x:f>
        <x:v>191637.23251036034</x:v>
      </x:c>
      <x:c r="J304" s="50" t="n">
        <x:f>(J303*(1+Inputs!$B$12))+F304+P304</x:f>
        <x:v>209337.61789906953</x:v>
      </x:c>
      <x:c r="K304" s="50" t="n">
        <x:f>(K303*(1+Inputs!$B$12))*(1-H304)</x:f>
        <x:v>0</x:v>
      </x:c>
      <x:c r="L304" s="50" t="n">
        <x:f>L303*(1+Inputs!$B$13)+Q304</x:f>
        <x:v>23187.434683971216</x:v>
      </x:c>
      <x:c r="M304" s="50" t="n">
        <x:f>I304+J304+L304</x:f>
        <x:v>424162.2850934011</x:v>
      </x:c>
      <x:c r="N304" s="50" t="n">
        <x:f>F304+P304</x:f>
        <x:v>600</x:v>
      </x:c>
      <x:c r="O304" s="50" t="n">
        <x:f>IF(B304=1,0,O303+F303+P303)</x:f>
        <x:v>4857.165352</x:v>
      </x:c>
      <x:c r="P304" s="50" t="n">
        <x:f>MIN(G304,MAX(0,Inputs!$B$20-O304-F304))</x:f>
        <x:v>0</x:v>
      </x:c>
      <x:c r="Q304" s="50" t="n">
        <x:f>(C304-E304-F304)+(G304-P304)</x:f>
        <x:v>0</x:v>
      </x:c>
    </x:row>
    <x:row r="305">
      <x:c r="A305" s="41" t="n">
        <x:f>IF(B305=1,A304+1,A304)</x:f>
        <x:v>2038</x:v>
      </x:c>
      <x:c r="B305" s="41" t="n">
        <x:f>IF(B304=26,1,B304+1)</x:f>
        <x:v>18</x:v>
      </x:c>
      <x:c r="C305" s="48" t="n">
        <x:f>Inputs!$F$14</x:f>
        <x:v>600</x:v>
      </x:c>
      <x:c r="D305" s="50" t="n">
        <x:f>IF(B305=1,0,D304+E304)</x:f>
        <x:v>8000</x:v>
      </x:c>
      <x:c r="E305" s="50" t="n">
        <x:f>MIN(C305,MAX(0,Inputs!$B$7-D305))</x:f>
        <x:v>0</x:v>
      </x:c>
      <x:c r="F305" s="50" t="n">
        <x:f>MIN(C305-E305,MAX(0,Inputs!$B$20-O305))</x:f>
        <x:v>600</x:v>
      </x:c>
      <x:c r="G305" s="50" t="n">
        <x:f>0</x:f>
        <x:v>0</x:v>
      </x:c>
      <x:c r="H305" s="41" t="n">
        <x:f>0</x:f>
        <x:v>0</x:v>
      </x:c>
      <x:c r="I305" s="50" t="n">
        <x:f>(I304*(1+Inputs!$B$12))+E305</x:f>
        <x:v>191997.18598664508</x:v>
      </x:c>
      <x:c r="J305" s="50" t="n">
        <x:f>(J304*(1+Inputs!$B$12))+F305+P305</x:f>
        <x:v>210330.81812583582</x:v>
      </x:c>
      <x:c r="K305" s="50" t="n">
        <x:f>(K304*(1+Inputs!$B$12))*(1-H305)</x:f>
        <x:v>0</x:v>
      </x:c>
      <x:c r="L305" s="50" t="n">
        <x:f>L304*(1+Inputs!$B$13)+Q305</x:f>
        <x:v>23228.00468012686</x:v>
      </x:c>
      <x:c r="M305" s="50" t="n">
        <x:f>I305+J305+L305</x:f>
        <x:v>425556.00879260775</x:v>
      </x:c>
      <x:c r="N305" s="50" t="n">
        <x:f>F305+P305</x:f>
        <x:v>600</x:v>
      </x:c>
      <x:c r="O305" s="50" t="n">
        <x:f>IF(B305=1,0,O304+F304+P304)</x:f>
        <x:v>5457.165352</x:v>
      </x:c>
      <x:c r="P305" s="50" t="n">
        <x:f>MIN(G305,MAX(0,Inputs!$B$20-O305-F305))</x:f>
        <x:v>0</x:v>
      </x:c>
      <x:c r="Q305" s="50" t="n">
        <x:f>(C305-E305-F305)+(G305-P305)</x:f>
        <x:v>0</x:v>
      </x:c>
    </x:row>
    <x:row r="306">
      <x:c r="A306" s="41" t="n">
        <x:f>IF(B306=1,A305+1,A305)</x:f>
        <x:v>2038</x:v>
      </x:c>
      <x:c r="B306" s="41" t="n">
        <x:f>IF(B305=26,1,B305+1)</x:f>
        <x:v>19</x:v>
      </x:c>
      <x:c r="C306" s="48" t="n">
        <x:f>Inputs!$F$14</x:f>
        <x:v>600</x:v>
      </x:c>
      <x:c r="D306" s="50" t="n">
        <x:f>IF(B306=1,0,D305+E305)</x:f>
        <x:v>8000</x:v>
      </x:c>
      <x:c r="E306" s="50" t="n">
        <x:f>MIN(C306,MAX(0,Inputs!$B$7-D306))</x:f>
        <x:v>0</x:v>
      </x:c>
      <x:c r="F306" s="50" t="n">
        <x:f>MIN(C306-E306,MAX(0,Inputs!$B$20-O306))</x:f>
        <x:v>600</x:v>
      </x:c>
      <x:c r="G306" s="50" t="n">
        <x:f>0</x:f>
        <x:v>0</x:v>
      </x:c>
      <x:c r="H306" s="41" t="n">
        <x:f>0</x:f>
        <x:v>0</x:v>
      </x:c>
      <x:c r="I306" s="50" t="n">
        <x:f>(I305*(1+Inputs!$B$12))+E306</x:f>
        <x:v>192357.81556591563</x:v>
      </x:c>
      <x:c r="J306" s="50" t="n">
        <x:f>(J305*(1+Inputs!$B$12))+F306+P306</x:f>
        <x:v>211325.88388713103</x:v>
      </x:c>
      <x:c r="K306" s="50" t="n">
        <x:f>(K305*(1+Inputs!$B$12))*(1-H306)</x:f>
        <x:v>0</x:v>
      </x:c>
      <x:c r="L306" s="50" t="n">
        <x:f>L305*(1+Inputs!$B$13)+Q306</x:f>
        <x:v>23268.6456597531</x:v>
      </x:c>
      <x:c r="M306" s="50" t="n">
        <x:f>I306+J306+L306</x:f>
        <x:v>426952.3451127998</x:v>
      </x:c>
      <x:c r="N306" s="50" t="n">
        <x:f>F306+P306</x:f>
        <x:v>600</x:v>
      </x:c>
      <x:c r="O306" s="50" t="n">
        <x:f>IF(B306=1,0,O305+F305+P305)</x:f>
        <x:v>6057.165352</x:v>
      </x:c>
      <x:c r="P306" s="50" t="n">
        <x:f>MIN(G306,MAX(0,Inputs!$B$20-O306-F306))</x:f>
        <x:v>0</x:v>
      </x:c>
      <x:c r="Q306" s="50" t="n">
        <x:f>(C306-E306-F306)+(G306-P306)</x:f>
        <x:v>0</x:v>
      </x:c>
    </x:row>
    <x:row r="307">
      <x:c r="A307" s="41" t="n">
        <x:f>IF(B307=1,A306+1,A306)</x:f>
        <x:v>2038</x:v>
      </x:c>
      <x:c r="B307" s="41" t="n">
        <x:f>IF(B306=26,1,B306+1)</x:f>
        <x:v>20</x:v>
      </x:c>
      <x:c r="C307" s="48" t="n">
        <x:f>Inputs!$F$14</x:f>
        <x:v>600</x:v>
      </x:c>
      <x:c r="D307" s="50" t="n">
        <x:f>IF(B307=1,0,D306+E306)</x:f>
        <x:v>8000</x:v>
      </x:c>
      <x:c r="E307" s="50" t="n">
        <x:f>MIN(C307,MAX(0,Inputs!$B$7-D307))</x:f>
        <x:v>0</x:v>
      </x:c>
      <x:c r="F307" s="50" t="n">
        <x:f>MIN(C307-E307,MAX(0,Inputs!$B$20-O307))</x:f>
        <x:v>600</x:v>
      </x:c>
      <x:c r="G307" s="50" t="n">
        <x:f>0</x:f>
        <x:v>0</x:v>
      </x:c>
      <x:c r="H307" s="41" t="n">
        <x:f>0</x:f>
        <x:v>0</x:v>
      </x:c>
      <x:c r="I307" s="50" t="n">
        <x:f>(I306*(1+Inputs!$B$12))+E307</x:f>
        <x:v>192719.12251810066</x:v>
      </x:c>
      <x:c r="J307" s="50" t="n">
        <x:f>(J306*(1+Inputs!$B$12))+F307+P307</x:f>
        <x:v>212322.81868700092</x:v>
      </x:c>
      <x:c r="K307" s="50" t="n">
        <x:f>(K306*(1+Inputs!$B$12))*(1-H307)</x:f>
        <x:v>0</x:v>
      </x:c>
      <x:c r="L307" s="50" t="n">
        <x:f>L306*(1+Inputs!$B$13)+Q307</x:f>
        <x:v>23309.357747046473</x:v>
      </x:c>
      <x:c r="M307" s="50" t="n">
        <x:f>I307+J307+L307</x:f>
        <x:v>428351.298952148</x:v>
      </x:c>
      <x:c r="N307" s="50" t="n">
        <x:f>F307+P307</x:f>
        <x:v>600</x:v>
      </x:c>
      <x:c r="O307" s="50" t="n">
        <x:f>IF(B307=1,0,O306+F306+P306)</x:f>
        <x:v>6657.165352</x:v>
      </x:c>
      <x:c r="P307" s="50" t="n">
        <x:f>MIN(G307,MAX(0,Inputs!$B$20-O307-F307))</x:f>
        <x:v>0</x:v>
      </x:c>
      <x:c r="Q307" s="50" t="n">
        <x:f>(C307-E307-F307)+(G307-P307)</x:f>
        <x:v>0</x:v>
      </x:c>
    </x:row>
    <x:row r="308">
      <x:c r="A308" s="41" t="n">
        <x:f>IF(B308=1,A307+1,A307)</x:f>
        <x:v>2038</x:v>
      </x:c>
      <x:c r="B308" s="41" t="n">
        <x:f>IF(B307=26,1,B307+1)</x:f>
        <x:v>21</x:v>
      </x:c>
      <x:c r="C308" s="48" t="n">
        <x:f>Inputs!$F$14</x:f>
        <x:v>600</x:v>
      </x:c>
      <x:c r="D308" s="50" t="n">
        <x:f>IF(B308=1,0,D307+E307)</x:f>
        <x:v>8000</x:v>
      </x:c>
      <x:c r="E308" s="50" t="n">
        <x:f>MIN(C308,MAX(0,Inputs!$B$7-D308))</x:f>
        <x:v>0</x:v>
      </x:c>
      <x:c r="F308" s="50" t="n">
        <x:f>MIN(C308-E308,MAX(0,Inputs!$B$20-O308))</x:f>
        <x:v>600</x:v>
      </x:c>
      <x:c r="G308" s="50" t="n">
        <x:f>0</x:f>
        <x:v>0</x:v>
      </x:c>
      <x:c r="H308" s="41" t="n">
        <x:f>0</x:f>
        <x:v>0</x:v>
      </x:c>
      <x:c r="I308" s="50" t="n">
        <x:f>(I307*(1+Inputs!$B$12))+E308</x:f>
        <x:v>193081.1081155142</x:v>
      </x:c>
      <x:c r="J308" s="50" t="n">
        <x:f>(J307*(1+Inputs!$B$12))+F308+P308</x:f>
        <x:v>213321.626036073</x:v>
      </x:c>
      <x:c r="K308" s="50" t="n">
        <x:f>(K307*(1+Inputs!$B$12))*(1-H308)</x:f>
        <x:v>0</x:v>
      </x:c>
      <x:c r="L308" s="50" t="n">
        <x:f>L307*(1+Inputs!$B$13)+Q308</x:f>
        <x:v>23350.14106642082</x:v>
      </x:c>
      <x:c r="M308" s="50" t="n">
        <x:f>I308+J308+L308</x:f>
        <x:v>429752.875218008</x:v>
      </x:c>
      <x:c r="N308" s="50" t="n">
        <x:f>F308+P308</x:f>
        <x:v>600</x:v>
      </x:c>
      <x:c r="O308" s="50" t="n">
        <x:f>IF(B308=1,0,O307+F307+P307)</x:f>
        <x:v>7257.165352</x:v>
      </x:c>
      <x:c r="P308" s="50" t="n">
        <x:f>MIN(G308,MAX(0,Inputs!$B$20-O308-F308))</x:f>
        <x:v>0</x:v>
      </x:c>
      <x:c r="Q308" s="50" t="n">
        <x:f>(C308-E308-F308)+(G308-P308)</x:f>
        <x:v>0</x:v>
      </x:c>
    </x:row>
    <x:row r="309">
      <x:c r="A309" s="41" t="n">
        <x:f>IF(B309=1,A308+1,A308)</x:f>
        <x:v>2038</x:v>
      </x:c>
      <x:c r="B309" s="41" t="n">
        <x:f>IF(B308=26,1,B308+1)</x:f>
        <x:v>22</x:v>
      </x:c>
      <x:c r="C309" s="48" t="n">
        <x:f>Inputs!$F$14</x:f>
        <x:v>600</x:v>
      </x:c>
      <x:c r="D309" s="50" t="n">
        <x:f>IF(B309=1,0,D308+E308)</x:f>
        <x:v>8000</x:v>
      </x:c>
      <x:c r="E309" s="50" t="n">
        <x:f>MIN(C309,MAX(0,Inputs!$B$7-D309))</x:f>
        <x:v>0</x:v>
      </x:c>
      <x:c r="F309" s="50" t="n">
        <x:f>MIN(C309-E309,MAX(0,Inputs!$B$20-O309))</x:f>
        <x:v>600</x:v>
      </x:c>
      <x:c r="G309" s="50" t="n">
        <x:f>0</x:f>
        <x:v>0</x:v>
      </x:c>
      <x:c r="H309" s="41" t="n">
        <x:f>0</x:f>
        <x:v>0</x:v>
      </x:c>
      <x:c r="I309" s="50" t="n">
        <x:f>(I308*(1+Inputs!$B$12))+E309</x:f>
        <x:v>193443.77363286001</x:v>
      </x:c>
      <x:c r="J309" s="50" t="n">
        <x:f>(J308*(1+Inputs!$B$12))+F309+P309</x:f>
        <x:v>214322.30945156873</x:v>
      </x:c>
      <x:c r="K309" s="50" t="n">
        <x:f>(K308*(1+Inputs!$B$12))*(1-H309)</x:f>
        <x:v>0</x:v>
      </x:c>
      <x:c r="L309" s="50" t="n">
        <x:f>L308*(1+Inputs!$B$13)+Q309</x:f>
        <x:v>23390.99574250766</x:v>
      </x:c>
      <x:c r="M309" s="50" t="n">
        <x:f>I309+J309+L309</x:f>
        <x:v>431157.0788269364</x:v>
      </x:c>
      <x:c r="N309" s="50" t="n">
        <x:f>F309+P309</x:f>
        <x:v>600</x:v>
      </x:c>
      <x:c r="O309" s="50" t="n">
        <x:f>IF(B309=1,0,O308+F308+P308)</x:f>
        <x:v>7857.165352</x:v>
      </x:c>
      <x:c r="P309" s="50" t="n">
        <x:f>MIN(G309,MAX(0,Inputs!$B$20-O309-F309))</x:f>
        <x:v>0</x:v>
      </x:c>
      <x:c r="Q309" s="50" t="n">
        <x:f>(C309-E309-F309)+(G309-P309)</x:f>
        <x:v>0</x:v>
      </x:c>
    </x:row>
    <x:row r="310">
      <x:c r="A310" s="41" t="n">
        <x:f>IF(B310=1,A309+1,A309)</x:f>
        <x:v>2038</x:v>
      </x:c>
      <x:c r="B310" s="41" t="n">
        <x:f>IF(B309=26,1,B309+1)</x:f>
        <x:v>23</x:v>
      </x:c>
      <x:c r="C310" s="48" t="n">
        <x:f>Inputs!$F$14</x:f>
        <x:v>600</x:v>
      </x:c>
      <x:c r="D310" s="50" t="n">
        <x:f>IF(B310=1,0,D309+E309)</x:f>
        <x:v>8000</x:v>
      </x:c>
      <x:c r="E310" s="50" t="n">
        <x:f>MIN(C310,MAX(0,Inputs!$B$7-D310))</x:f>
        <x:v>0</x:v>
      </x:c>
      <x:c r="F310" s="50" t="n">
        <x:f>MIN(C310-E310,MAX(0,Inputs!$B$20-O310))</x:f>
        <x:v>600</x:v>
      </x:c>
      <x:c r="G310" s="50" t="n">
        <x:f>0</x:f>
        <x:v>0</x:v>
      </x:c>
      <x:c r="H310" s="41" t="n">
        <x:f>0</x:f>
        <x:v>0</x:v>
      </x:c>
      <x:c r="I310" s="50" t="n">
        <x:f>(I309*(1+Inputs!$B$12))+E310</x:f>
        <x:v>193807.12034723622</x:v>
      </x:c>
      <x:c r="J310" s="50" t="n">
        <x:f>(J309*(1+Inputs!$B$12))+F310+P310</x:f>
        <x:v>215324.87245731606</x:v>
      </x:c>
      <x:c r="K310" s="50" t="n">
        <x:f>(K309*(1+Inputs!$B$12))*(1-H310)</x:f>
        <x:v>0</x:v>
      </x:c>
      <x:c r="L310" s="50" t="n">
        <x:f>L309*(1+Inputs!$B$13)+Q310</x:f>
        <x:v>23431.92190015658</x:v>
      </x:c>
      <x:c r="M310" s="50" t="n">
        <x:f>I310+J310+L310</x:f>
        <x:v>432563.9147047089</x:v>
      </x:c>
      <x:c r="N310" s="50" t="n">
        <x:f>F310+P310</x:f>
        <x:v>600</x:v>
      </x:c>
      <x:c r="O310" s="50" t="n">
        <x:f>IF(B310=1,0,O309+F309+P309)</x:f>
        <x:v>8457.165352</x:v>
      </x:c>
      <x:c r="P310" s="50" t="n">
        <x:f>MIN(G310,MAX(0,Inputs!$B$20-O310-F310))</x:f>
        <x:v>0</x:v>
      </x:c>
      <x:c r="Q310" s="50" t="n">
        <x:f>(C310-E310-F310)+(G310-P310)</x:f>
        <x:v>0</x:v>
      </x:c>
    </x:row>
    <x:row r="311">
      <x:c r="A311" s="41" t="n">
        <x:f>IF(B311=1,A310+1,A310)</x:f>
        <x:v>2038</x:v>
      </x:c>
      <x:c r="B311" s="41" t="n">
        <x:f>IF(B310=26,1,B310+1)</x:f>
        <x:v>24</x:v>
      </x:c>
      <x:c r="C311" s="48" t="n">
        <x:f>Inputs!$F$14</x:f>
        <x:v>600</x:v>
      </x:c>
      <x:c r="D311" s="50" t="n">
        <x:f>IF(B311=1,0,D310+E310)</x:f>
        <x:v>8000</x:v>
      </x:c>
      <x:c r="E311" s="50" t="n">
        <x:f>MIN(C311,MAX(0,Inputs!$B$7-D311))</x:f>
        <x:v>0</x:v>
      </x:c>
      <x:c r="F311" s="50" t="n">
        <x:f>MIN(C311-E311,MAX(0,Inputs!$B$20-O311))</x:f>
        <x:v>600</x:v>
      </x:c>
      <x:c r="G311" s="50" t="n">
        <x:f>0</x:f>
        <x:v>0</x:v>
      </x:c>
      <x:c r="H311" s="41" t="n">
        <x:f>0</x:f>
        <x:v>0</x:v>
      </x:c>
      <x:c r="I311" s="50" t="n">
        <x:f>(I310*(1+Inputs!$B$12))+E311</x:f>
        <x:v>194171.1495381397</x:v>
      </x:c>
      <x:c r="J311" s="50" t="n">
        <x:f>(J310*(1+Inputs!$B$12))+F311+P311</x:f>
        <x:v>216329.31858376172</x:v>
      </x:c>
      <x:c r="K311" s="50" t="n">
        <x:f>(K310*(1+Inputs!$B$12))*(1-H311)</x:f>
        <x:v>0</x:v>
      </x:c>
      <x:c r="L311" s="50" t="n">
        <x:f>L310*(1+Inputs!$B$13)+Q311</x:f>
        <x:v>23472.919664435605</x:v>
      </x:c>
      <x:c r="M311" s="50" t="n">
        <x:f>I311+J311+L311</x:f>
        <x:v>433973.387786337</x:v>
      </x:c>
      <x:c r="N311" s="50" t="n">
        <x:f>F311+P311</x:f>
        <x:v>600</x:v>
      </x:c>
      <x:c r="O311" s="50" t="n">
        <x:f>IF(B311=1,0,O310+F310+P310)</x:f>
        <x:v>9057.165352</x:v>
      </x:c>
      <x:c r="P311" s="50" t="n">
        <x:f>MIN(G311,MAX(0,Inputs!$B$20-O311-F311))</x:f>
        <x:v>0</x:v>
      </x:c>
      <x:c r="Q311" s="50" t="n">
        <x:f>(C311-E311-F311)+(G311-P311)</x:f>
        <x:v>0</x:v>
      </x:c>
    </x:row>
    <x:row r="312">
      <x:c r="A312" s="41" t="n">
        <x:f>IF(B312=1,A311+1,A311)</x:f>
        <x:v>2038</x:v>
      </x:c>
      <x:c r="B312" s="41" t="n">
        <x:f>IF(B311=26,1,B311+1)</x:f>
        <x:v>25</x:v>
      </x:c>
      <x:c r="C312" s="48" t="n">
        <x:f>Inputs!$F$14</x:f>
        <x:v>600</x:v>
      </x:c>
      <x:c r="D312" s="50" t="n">
        <x:f>IF(B312=1,0,D311+E311)</x:f>
        <x:v>8000</x:v>
      </x:c>
      <x:c r="E312" s="50" t="n">
        <x:f>MIN(C312,MAX(0,Inputs!$B$7-D312))</x:f>
        <x:v>0</x:v>
      </x:c>
      <x:c r="F312" s="50" t="n">
        <x:f>MIN(C312-E312,MAX(0,Inputs!$B$20-O312))</x:f>
        <x:v>600</x:v>
      </x:c>
      <x:c r="G312" s="50" t="n">
        <x:f>0</x:f>
        <x:v>0</x:v>
      </x:c>
      <x:c r="H312" s="41" t="n">
        <x:f>0</x:f>
        <x:v>0</x:v>
      </x:c>
      <x:c r="I312" s="50" t="n">
        <x:f>(I311*(1+Inputs!$B$12))+E312</x:f>
        <x:v>194535.86248747056</x:v>
      </x:c>
      <x:c r="J312" s="50" t="n">
        <x:f>(J311*(1+Inputs!$B$12))+F312+P312</x:f>
        <x:v>217335.65136798372</x:v>
      </x:c>
      <x:c r="K312" s="50" t="n">
        <x:f>(K311*(1+Inputs!$B$12))*(1-H312)</x:f>
        <x:v>0</x:v>
      </x:c>
      <x:c r="L312" s="50" t="n">
        <x:f>L311*(1+Inputs!$B$13)+Q312</x:f>
        <x:v>23513.989160631587</x:v>
      </x:c>
      <x:c r="M312" s="50" t="n">
        <x:f>I312+J312+L312</x:f>
        <x:v>435385.5030160859</x:v>
      </x:c>
      <x:c r="N312" s="50" t="n">
        <x:f>F312+P312</x:f>
        <x:v>600</x:v>
      </x:c>
      <x:c r="O312" s="50" t="n">
        <x:f>IF(B312=1,0,O311+F311+P311)</x:f>
        <x:v>9657.165352</x:v>
      </x:c>
      <x:c r="P312" s="50" t="n">
        <x:f>MIN(G312,MAX(0,Inputs!$B$20-O312-F312))</x:f>
        <x:v>0</x:v>
      </x:c>
      <x:c r="Q312" s="50" t="n">
        <x:f>(C312-E312-F312)+(G312-P312)</x:f>
        <x:v>0</x:v>
      </x:c>
    </x:row>
    <x:row r="313">
      <x:c r="A313" s="41" t="n">
        <x:f>IF(B313=1,A312+1,A312)</x:f>
        <x:v>2038</x:v>
      </x:c>
      <x:c r="B313" s="41" t="n">
        <x:f>IF(B312=26,1,B312+1)</x:f>
        <x:v>26</x:v>
      </x:c>
      <x:c r="C313" s="48" t="n">
        <x:f>Inputs!$F$14</x:f>
        <x:v>600</x:v>
      </x:c>
      <x:c r="D313" s="50" t="n">
        <x:f>IF(B313=1,0,D312+E312)</x:f>
        <x:v>8000</x:v>
      </x:c>
      <x:c r="E313" s="50" t="n">
        <x:f>MIN(C313,MAX(0,Inputs!$B$7-D313))</x:f>
        <x:v>0</x:v>
      </x:c>
      <x:c r="F313" s="50" t="n">
        <x:f>MIN(C313-E313,MAX(0,Inputs!$B$20-O313))</x:f>
        <x:v>600</x:v>
      </x:c>
      <x:c r="G313" s="50" t="n">
        <x:f>0</x:f>
        <x:v>0</x:v>
      </x:c>
      <x:c r="H313" s="41" t="n">
        <x:f>IF(A313=Inputs!$B$8,1,0)</x:f>
        <x:v>0</x:v>
      </x:c>
      <x:c r="I313" s="50" t="n">
        <x:f>(I312*(1+Inputs!$B$12))+E313</x:f>
        <x:v>194901.2604795368</x:v>
      </x:c>
      <x:c r="J313" s="50" t="n">
        <x:f>(J312*(1+Inputs!$B$12))+F313+P313</x:f>
        <x:v>218343.87435370384</x:v>
      </x:c>
      <x:c r="K313" s="50" t="n">
        <x:f>(K312*(1+Inputs!$B$12))*(1-H313)</x:f>
        <x:v>0</x:v>
      </x:c>
      <x:c r="L313" s="50" t="n">
        <x:f>L312*(1+Inputs!$B$13)+Q313</x:f>
        <x:v>23555.130514250584</x:v>
      </x:c>
      <x:c r="M313" s="50" t="n">
        <x:f>I313+J313+L313</x:f>
        <x:v>436800.26534749125</x:v>
      </x:c>
      <x:c r="N313" s="50" t="n">
        <x:f>F313+P313</x:f>
        <x:v>600</x:v>
      </x:c>
      <x:c r="O313" s="50" t="n">
        <x:f>IF(B313=1,0,O312+F312+P312)</x:f>
        <x:v>10257.165352</x:v>
      </x:c>
      <x:c r="P313" s="50" t="n">
        <x:f>MIN(G313,MAX(0,Inputs!$B$20-O313-F313))</x:f>
        <x:v>0</x:v>
      </x:c>
      <x:c r="Q313" s="50" t="n">
        <x:f>(C313-E313-F313)+(G313-P313)</x:f>
        <x:v>0</x:v>
      </x:c>
    </x:row>
    <x:row r="314">
      <x:c r="A314" s="41" t="n">
        <x:f>IF(B314=1,A313+1,A313)</x:f>
        <x:v>2039</x:v>
      </x:c>
      <x:c r="B314" s="41" t="n">
        <x:f>IF(B313=26,1,B313+1)</x:f>
        <x:v>1</x:v>
      </x:c>
      <x:c r="C314" s="48" t="n">
        <x:f>Inputs!$F$15</x:f>
        <x:v>600</x:v>
      </x:c>
      <x:c r="D314" s="50" t="n">
        <x:f>IF(B314=1,0,D313+E313)</x:f>
        <x:v>0</x:v>
      </x:c>
      <x:c r="E314" s="50" t="n">
        <x:f>MIN(C314,MAX(0,Inputs!$B$7-D314))</x:f>
        <x:v>600</x:v>
      </x:c>
      <x:c r="F314" s="50" t="n">
        <x:f>MIN(C314-E314,MAX(0,Inputs!$B$20-O314))</x:f>
        <x:v>0</x:v>
      </x:c>
      <x:c r="G314" s="50" t="n">
        <x:f>0</x:f>
        <x:v>0</x:v>
      </x:c>
      <x:c r="H314" s="41" t="n">
        <x:f>0</x:f>
        <x:v>0</x:v>
      </x:c>
      <x:c r="I314" s="50" t="n">
        <x:f>(I313*(1+Inputs!$B$12))+E314</x:f>
        <x:v>195867.3448010587</x:v>
      </x:c>
      <x:c r="J314" s="50" t="n">
        <x:f>(J313*(1+Inputs!$B$12))+F314+P314</x:f>
        <x:v>218753.99109129995</x:v>
      </x:c>
      <x:c r="K314" s="50" t="n">
        <x:f>(K313*(1+Inputs!$B$12))*(1-H314)</x:f>
        <x:v>0</x:v>
      </x:c>
      <x:c r="L314" s="50" t="n">
        <x:f>L313*(1+Inputs!$B$13)+Q314</x:f>
        <x:v>23596.343851018253</x:v>
      </x:c>
      <x:c r="M314" s="50" t="n">
        <x:f>I314+J314+L314</x:f>
        <x:v>438217.6797433769</x:v>
      </x:c>
      <x:c r="N314" s="50" t="n">
        <x:f>F314+P314</x:f>
        <x:v>0</x:v>
      </x:c>
      <x:c r="O314" s="50" t="n">
        <x:f>IF(B314=1,0,O313+F313+P313)</x:f>
        <x:v>0</x:v>
      </x:c>
      <x:c r="P314" s="50" t="n">
        <x:f>MIN(G314,MAX(0,Inputs!$B$20-O314-F314))</x:f>
        <x:v>0</x:v>
      </x:c>
      <x:c r="Q314" s="50" t="n">
        <x:f>(C314-E314-F314)+(G314-P314)</x:f>
        <x:v>0</x:v>
      </x:c>
    </x:row>
    <x:row r="315">
      <x:c r="A315" s="41" t="n">
        <x:f>IF(B315=1,A314+1,A314)</x:f>
        <x:v>2039</x:v>
      </x:c>
      <x:c r="B315" s="41" t="n">
        <x:f>IF(B314=26,1,B314+1)</x:f>
        <x:v>2</x:v>
      </x:c>
      <x:c r="C315" s="48" t="n">
        <x:f>Inputs!$F$15</x:f>
        <x:v>600</x:v>
      </x:c>
      <x:c r="D315" s="50" t="n">
        <x:f>IF(B315=1,0,D314+E314)</x:f>
        <x:v>600</x:v>
      </x:c>
      <x:c r="E315" s="50" t="n">
        <x:f>MIN(C315,MAX(0,Inputs!$B$7-D315))</x:f>
        <x:v>600</x:v>
      </x:c>
      <x:c r="F315" s="50" t="n">
        <x:f>MIN(C315-E315,MAX(0,Inputs!$B$20-O315))</x:f>
        <x:v>0</x:v>
      </x:c>
      <x:c r="G315" s="50" t="n">
        <x:f>0</x:f>
        <x:v>0</x:v>
      </x:c>
      <x:c r="H315" s="41" t="n">
        <x:f>0</x:f>
        <x:v>0</x:v>
      </x:c>
      <x:c r="I315" s="50" t="n">
        <x:f>(I314*(1+Inputs!$B$12))+E315</x:f>
        <x:v>196835.24372512606</x:v>
      </x:c>
      <x:c r="J315" s="50" t="n">
        <x:f>(J314*(1+Inputs!$B$12))+F315+P315</x:f>
        <x:v>219164.87815386604</x:v>
      </x:c>
      <x:c r="K315" s="50" t="n">
        <x:f>(K314*(1+Inputs!$B$12))*(1-H315)</x:f>
        <x:v>0</x:v>
      </x:c>
      <x:c r="L315" s="50" t="n">
        <x:f>L314*(1+Inputs!$B$13)+Q315</x:f>
        <x:v>23637.629296880223</x:v>
      </x:c>
      <x:c r="M315" s="50" t="n">
        <x:f>I315+J315+L315</x:f>
        <x:v>439637.7511758723</x:v>
      </x:c>
      <x:c r="N315" s="50" t="n">
        <x:f>F315+P315</x:f>
        <x:v>0</x:v>
      </x:c>
      <x:c r="O315" s="50" t="n">
        <x:f>IF(B315=1,0,O314+F314+P314)</x:f>
        <x:v>0</x:v>
      </x:c>
      <x:c r="P315" s="50" t="n">
        <x:f>MIN(G315,MAX(0,Inputs!$B$20-O315-F315))</x:f>
        <x:v>0</x:v>
      </x:c>
      <x:c r="Q315" s="50" t="n">
        <x:f>(C315-E315-F315)+(G315-P315)</x:f>
        <x:v>0</x:v>
      </x:c>
    </x:row>
    <x:row r="316">
      <x:c r="A316" s="41" t="n">
        <x:f>IF(B316=1,A315+1,A315)</x:f>
        <x:v>2039</x:v>
      </x:c>
      <x:c r="B316" s="41" t="n">
        <x:f>IF(B315=26,1,B315+1)</x:f>
        <x:v>3</x:v>
      </x:c>
      <x:c r="C316" s="48" t="n">
        <x:f>Inputs!$F$15</x:f>
        <x:v>600</x:v>
      </x:c>
      <x:c r="D316" s="50" t="n">
        <x:f>IF(B316=1,0,D315+E315)</x:f>
        <x:v>1200</x:v>
      </x:c>
      <x:c r="E316" s="50" t="n">
        <x:f>MIN(C316,MAX(0,Inputs!$B$7-D316))</x:f>
        <x:v>600</x:v>
      </x:c>
      <x:c r="F316" s="50" t="n">
        <x:f>MIN(C316-E316,MAX(0,Inputs!$B$20-O316))</x:f>
        <x:v>0</x:v>
      </x:c>
      <x:c r="G316" s="50" t="n">
        <x:f>0</x:f>
        <x:v>0</x:v>
      </x:c>
      <x:c r="H316" s="41" t="n">
        <x:f>0</x:f>
        <x:v>0</x:v>
      </x:c>
      <x:c r="I316" s="50" t="n">
        <x:f>(I315*(1+Inputs!$B$12))+E316</x:f>
        <x:v>197804.96066011876</x:v>
      </x:c>
      <x:c r="J316" s="50" t="n">
        <x:f>(J315*(1+Inputs!$B$12))+F316+P316</x:f>
        <x:v>219576.53698830857</x:v>
      </x:c>
      <x:c r="K316" s="50" t="n">
        <x:f>(K315*(1+Inputs!$B$12))*(1-H316)</x:f>
        <x:v>0</x:v>
      </x:c>
      <x:c r="L316" s="50" t="n">
        <x:f>L315*(1+Inputs!$B$13)+Q316</x:f>
        <x:v>23678.986978002486</x:v>
      </x:c>
      <x:c r="M316" s="50" t="n">
        <x:f>I316+J316+L316</x:f>
        <x:v>441060.4846264298</x:v>
      </x:c>
      <x:c r="N316" s="50" t="n">
        <x:f>F316+P316</x:f>
        <x:v>0</x:v>
      </x:c>
      <x:c r="O316" s="50" t="n">
        <x:f>IF(B316=1,0,O315+F315+P315)</x:f>
        <x:v>0</x:v>
      </x:c>
      <x:c r="P316" s="50" t="n">
        <x:f>MIN(G316,MAX(0,Inputs!$B$20-O316-F316))</x:f>
        <x:v>0</x:v>
      </x:c>
      <x:c r="Q316" s="50" t="n">
        <x:f>(C316-E316-F316)+(G316-P316)</x:f>
        <x:v>0</x:v>
      </x:c>
    </x:row>
    <x:row r="317">
      <x:c r="A317" s="41" t="n">
        <x:f>IF(B317=1,A316+1,A316)</x:f>
        <x:v>2039</x:v>
      </x:c>
      <x:c r="B317" s="41" t="n">
        <x:f>IF(B316=26,1,B316+1)</x:f>
        <x:v>4</x:v>
      </x:c>
      <x:c r="C317" s="48" t="n">
        <x:f>Inputs!$F$15</x:f>
        <x:v>600</x:v>
      </x:c>
      <x:c r="D317" s="50" t="n">
        <x:f>IF(B317=1,0,D316+E316)</x:f>
        <x:v>1800</x:v>
      </x:c>
      <x:c r="E317" s="50" t="n">
        <x:f>MIN(C317,MAX(0,Inputs!$B$7-D317))</x:f>
        <x:v>600</x:v>
      </x:c>
      <x:c r="F317" s="50" t="n">
        <x:f>MIN(C317-E317,MAX(0,Inputs!$B$20-O317))</x:f>
        <x:v>0</x:v>
      </x:c>
      <x:c r="G317" s="50" t="n">
        <x:f>0</x:f>
        <x:v>0</x:v>
      </x:c>
      <x:c r="H317" s="41" t="n">
        <x:f>0</x:f>
        <x:v>0</x:v>
      </x:c>
      <x:c r="I317" s="50" t="n">
        <x:f>(I316*(1+Inputs!$B$12))+E317</x:f>
        <x:v>198776.49902081874</x:v>
      </x:c>
      <x:c r="J317" s="50" t="n">
        <x:f>(J316*(1+Inputs!$B$12))+F317+P317</x:f>
        <x:v>219988.96904425175</x:v>
      </x:c>
      <x:c r="K317" s="50" t="n">
        <x:f>(K316*(1+Inputs!$B$12))*(1-H317)</x:f>
        <x:v>0</x:v>
      </x:c>
      <x:c r="L317" s="50" t="n">
        <x:f>L316*(1+Inputs!$B$13)+Q317</x:f>
        <x:v>23720.41702077178</x:v>
      </x:c>
      <x:c r="M317" s="50" t="n">
        <x:f>I317+J317+L317</x:f>
        <x:v>442485.8850858422</x:v>
      </x:c>
      <x:c r="N317" s="50" t="n">
        <x:f>F317+P317</x:f>
        <x:v>0</x:v>
      </x:c>
      <x:c r="O317" s="50" t="n">
        <x:f>IF(B317=1,0,O316+F316+P316)</x:f>
        <x:v>0</x:v>
      </x:c>
      <x:c r="P317" s="50" t="n">
        <x:f>MIN(G317,MAX(0,Inputs!$B$20-O317-F317))</x:f>
        <x:v>0</x:v>
      </x:c>
      <x:c r="Q317" s="50" t="n">
        <x:f>(C317-E317-F317)+(G317-P317)</x:f>
        <x:v>0</x:v>
      </x:c>
    </x:row>
    <x:row r="318">
      <x:c r="A318" s="41" t="n">
        <x:f>IF(B318=1,A317+1,A317)</x:f>
        <x:v>2039</x:v>
      </x:c>
      <x:c r="B318" s="41" t="n">
        <x:f>IF(B317=26,1,B317+1)</x:f>
        <x:v>5</x:v>
      </x:c>
      <x:c r="C318" s="48" t="n">
        <x:f>Inputs!$F$15</x:f>
        <x:v>600</x:v>
      </x:c>
      <x:c r="D318" s="50" t="n">
        <x:f>IF(B318=1,0,D317+E317)</x:f>
        <x:v>2400</x:v>
      </x:c>
      <x:c r="E318" s="50" t="n">
        <x:f>MIN(C318,MAX(0,Inputs!$B$7-D318))</x:f>
        <x:v>600</x:v>
      </x:c>
      <x:c r="F318" s="50" t="n">
        <x:f>MIN(C318-E318,MAX(0,Inputs!$B$20-O318))</x:f>
        <x:v>0</x:v>
      </x:c>
      <x:c r="G318" s="50" t="n">
        <x:f>0</x:f>
        <x:v>0</x:v>
      </x:c>
      <x:c r="H318" s="41" t="n">
        <x:f>0</x:f>
        <x:v>0</x:v>
      </x:c>
      <x:c r="I318" s="50" t="n">
        <x:f>(I317*(1+Inputs!$B$12))+E318</x:f>
        <x:v>199749.86222842187</x:v>
      </x:c>
      <x:c r="J318" s="50" t="n">
        <x:f>(J317*(1+Inputs!$B$12))+F318+P318</x:f>
        <x:v>220402.1757740426</x:v>
      </x:c>
      <x:c r="K318" s="50" t="n">
        <x:f>(K317*(1+Inputs!$B$12))*(1-H318)</x:f>
        <x:v>0</x:v>
      </x:c>
      <x:c r="L318" s="50" t="n">
        <x:f>L317*(1+Inputs!$B$13)+Q318</x:f>
        <x:v>23761.919551795974</x:v>
      </x:c>
      <x:c r="M318" s="50" t="n">
        <x:f>I318+J318+L318</x:f>
        <x:v>443913.95755426044</x:v>
      </x:c>
      <x:c r="N318" s="50" t="n">
        <x:f>F318+P318</x:f>
        <x:v>0</x:v>
      </x:c>
      <x:c r="O318" s="50" t="n">
        <x:f>IF(B318=1,0,O317+F317+P317)</x:f>
        <x:v>0</x:v>
      </x:c>
      <x:c r="P318" s="50" t="n">
        <x:f>MIN(G318,MAX(0,Inputs!$B$20-O318-F318))</x:f>
        <x:v>0</x:v>
      </x:c>
      <x:c r="Q318" s="50" t="n">
        <x:f>(C318-E318-F318)+(G318-P318)</x:f>
        <x:v>0</x:v>
      </x:c>
    </x:row>
    <x:row r="319">
      <x:c r="A319" s="41" t="n">
        <x:f>IF(B319=1,A318+1,A318)</x:f>
        <x:v>2039</x:v>
      </x:c>
      <x:c r="B319" s="41" t="n">
        <x:f>IF(B318=26,1,B318+1)</x:f>
        <x:v>6</x:v>
      </x:c>
      <x:c r="C319" s="48" t="n">
        <x:f>Inputs!$F$15</x:f>
        <x:v>600</x:v>
      </x:c>
      <x:c r="D319" s="50" t="n">
        <x:f>IF(B319=1,0,D318+E318)</x:f>
        <x:v>3000</x:v>
      </x:c>
      <x:c r="E319" s="50" t="n">
        <x:f>MIN(C319,MAX(0,Inputs!$B$7-D319))</x:f>
        <x:v>600</x:v>
      </x:c>
      <x:c r="F319" s="50" t="n">
        <x:f>MIN(C319-E319,MAX(0,Inputs!$B$20-O319))</x:f>
        <x:v>0</x:v>
      </x:c>
      <x:c r="G319" s="50" t="n">
        <x:f>0</x:f>
        <x:v>0</x:v>
      </x:c>
      <x:c r="H319" s="41" t="n">
        <x:f>0</x:f>
        <x:v>0</x:v>
      </x:c>
      <x:c r="I319" s="50" t="n">
        <x:f>(I318*(1+Inputs!$B$12))+E319</x:f>
        <x:v>200725.05371055013</x:v>
      </x:c>
      <x:c r="J319" s="50" t="n">
        <x:f>(J318*(1+Inputs!$B$12))+F319+P319</x:f>
        <x:v>220816.15863275615</x:v>
      </x:c>
      <x:c r="K319" s="50" t="n">
        <x:f>(K318*(1+Inputs!$B$12))*(1-H319)</x:f>
        <x:v>0</x:v>
      </x:c>
      <x:c r="L319" s="50" t="n">
        <x:f>L318*(1+Inputs!$B$13)+Q319</x:f>
        <x:v>23803.49469790446</x:v>
      </x:c>
      <x:c r="M319" s="50" t="n">
        <x:f>I319+J319+L319</x:f>
        <x:v>445344.7070412107</x:v>
      </x:c>
      <x:c r="N319" s="50" t="n">
        <x:f>F319+P319</x:f>
        <x:v>0</x:v>
      </x:c>
      <x:c r="O319" s="50" t="n">
        <x:f>IF(B319=1,0,O318+F318+P318)</x:f>
        <x:v>0</x:v>
      </x:c>
      <x:c r="P319" s="50" t="n">
        <x:f>MIN(G319,MAX(0,Inputs!$B$20-O319-F319))</x:f>
        <x:v>0</x:v>
      </x:c>
      <x:c r="Q319" s="50" t="n">
        <x:f>(C319-E319-F319)+(G319-P319)</x:f>
        <x:v>0</x:v>
      </x:c>
    </x:row>
    <x:row r="320">
      <x:c r="A320" s="41" t="n">
        <x:f>IF(B320=1,A319+1,A319)</x:f>
        <x:v>2039</x:v>
      </x:c>
      <x:c r="B320" s="41" t="n">
        <x:f>IF(B319=26,1,B319+1)</x:f>
        <x:v>7</x:v>
      </x:c>
      <x:c r="C320" s="48" t="n">
        <x:f>Inputs!$F$15</x:f>
        <x:v>600</x:v>
      </x:c>
      <x:c r="D320" s="50" t="n">
        <x:f>IF(B320=1,0,D319+E319)</x:f>
        <x:v>3600</x:v>
      </x:c>
      <x:c r="E320" s="50" t="n">
        <x:f>MIN(C320,MAX(0,Inputs!$B$7-D320))</x:f>
        <x:v>600</x:v>
      </x:c>
      <x:c r="F320" s="50" t="n">
        <x:f>MIN(C320-E320,MAX(0,Inputs!$B$20-O320))</x:f>
        <x:v>0</x:v>
      </x:c>
      <x:c r="G320" s="50" t="n">
        <x:f>0</x:f>
        <x:v>0</x:v>
      </x:c>
      <x:c r="H320" s="41" t="n">
        <x:f>0</x:f>
        <x:v>0</x:v>
      </x:c>
      <x:c r="I320" s="50" t="n">
        <x:f>(I319*(1+Inputs!$B$12))+E320</x:f>
        <x:v>201702.07690126362</x:v>
      </x:c>
      <x:c r="J320" s="50" t="n">
        <x:f>(J319*(1+Inputs!$B$12))+F320+P320</x:f>
        <x:v>221230.91907820044</x:v>
      </x:c>
      <x:c r="K320" s="50" t="n">
        <x:f>(K319*(1+Inputs!$B$12))*(1-H320)</x:f>
        <x:v>0</x:v>
      </x:c>
      <x:c r="L320" s="50" t="n">
        <x:f>L319*(1+Inputs!$B$13)+Q320</x:f>
        <x:v>23845.14258614854</x:v>
      </x:c>
      <x:c r="M320" s="50" t="n">
        <x:f>I320+J320+L320</x:f>
        <x:v>446778.13856561255</x:v>
      </x:c>
      <x:c r="N320" s="50" t="n">
        <x:f>F320+P320</x:f>
        <x:v>0</x:v>
      </x:c>
      <x:c r="O320" s="50" t="n">
        <x:f>IF(B320=1,0,O319+F319+P319)</x:f>
        <x:v>0</x:v>
      </x:c>
      <x:c r="P320" s="50" t="n">
        <x:f>MIN(G320,MAX(0,Inputs!$B$20-O320-F320))</x:f>
        <x:v>0</x:v>
      </x:c>
      <x:c r="Q320" s="50" t="n">
        <x:f>(C320-E320-F320)+(G320-P320)</x:f>
        <x:v>0</x:v>
      </x:c>
    </x:row>
    <x:row r="321">
      <x:c r="A321" s="41" t="n">
        <x:f>IF(B321=1,A320+1,A320)</x:f>
        <x:v>2039</x:v>
      </x:c>
      <x:c r="B321" s="41" t="n">
        <x:f>IF(B320=26,1,B320+1)</x:f>
        <x:v>8</x:v>
      </x:c>
      <x:c r="C321" s="48" t="n">
        <x:f>Inputs!$F$15</x:f>
        <x:v>600</x:v>
      </x:c>
      <x:c r="D321" s="50" t="n">
        <x:f>IF(B321=1,0,D320+E320)</x:f>
        <x:v>4200</x:v>
      </x:c>
      <x:c r="E321" s="50" t="n">
        <x:f>MIN(C321,MAX(0,Inputs!$B$7-D321))</x:f>
        <x:v>600</x:v>
      </x:c>
      <x:c r="F321" s="50" t="n">
        <x:f>MIN(C321-E321,MAX(0,Inputs!$B$20-O321))</x:f>
        <x:v>0</x:v>
      </x:c>
      <x:c r="G321" s="50" t="n">
        <x:f>0</x:f>
        <x:v>0</x:v>
      </x:c>
      <x:c r="H321" s="41" t="n">
        <x:f>0</x:f>
        <x:v>0</x:v>
      </x:c>
      <x:c r="I321" s="50" t="n">
        <x:f>(I320*(1+Inputs!$B$12))+E321</x:f>
        <x:v>202680.9352410726</x:v>
      </x:c>
      <x:c r="J321" s="50" t="n">
        <x:f>(J320*(1+Inputs!$B$12))+F321+P321</x:f>
        <x:v>221646.45857092174</x:v>
      </x:c>
      <x:c r="K321" s="50" t="n">
        <x:f>(K320*(1+Inputs!$B$12))*(1-H321)</x:f>
        <x:v>0</x:v>
      </x:c>
      <x:c r="L321" s="50" t="n">
        <x:f>L320*(1+Inputs!$B$13)+Q321</x:f>
        <x:v>23886.863343801804</x:v>
      </x:c>
      <x:c r="M321" s="50" t="n">
        <x:f>I321+J321+L321</x:f>
        <x:v>448214.25715579616</x:v>
      </x:c>
      <x:c r="N321" s="50" t="n">
        <x:f>F321+P321</x:f>
        <x:v>0</x:v>
      </x:c>
      <x:c r="O321" s="50" t="n">
        <x:f>IF(B321=1,0,O320+F320+P320)</x:f>
        <x:v>0</x:v>
      </x:c>
      <x:c r="P321" s="50" t="n">
        <x:f>MIN(G321,MAX(0,Inputs!$B$20-O321-F321))</x:f>
        <x:v>0</x:v>
      </x:c>
      <x:c r="Q321" s="50" t="n">
        <x:f>(C321-E321-F321)+(G321-P321)</x:f>
        <x:v>0</x:v>
      </x:c>
    </x:row>
    <x:row r="322">
      <x:c r="A322" s="41" t="n">
        <x:f>IF(B322=1,A321+1,A321)</x:f>
        <x:v>2039</x:v>
      </x:c>
      <x:c r="B322" s="41" t="n">
        <x:f>IF(B321=26,1,B321+1)</x:f>
        <x:v>9</x:v>
      </x:c>
      <x:c r="C322" s="48" t="n">
        <x:f>Inputs!$F$15</x:f>
        <x:v>600</x:v>
      </x:c>
      <x:c r="D322" s="50" t="n">
        <x:f>IF(B322=1,0,D321+E321)</x:f>
        <x:v>4800</x:v>
      </x:c>
      <x:c r="E322" s="50" t="n">
        <x:f>MIN(C322,MAX(0,Inputs!$B$7-D322))</x:f>
        <x:v>600</x:v>
      </x:c>
      <x:c r="F322" s="50" t="n">
        <x:f>MIN(C322-E322,MAX(0,Inputs!$B$20-O322))</x:f>
        <x:v>0</x:v>
      </x:c>
      <x:c r="G322" s="50" t="n">
        <x:f>SUM(N288:N313)*Inputs!$B$6</x:f>
        <x:v>3257.1496056</x:v>
      </x:c>
      <x:c r="H322" s="41" t="n">
        <x:f>0</x:f>
        <x:v>0</x:v>
      </x:c>
      <x:c r="I322" s="50" t="n">
        <x:f>(I321*(1+Inputs!$B$12))+E322</x:f>
        <x:v>203661.63217694976</x:v>
      </x:c>
      <x:c r="J322" s="50" t="n">
        <x:f>(J321*(1+Inputs!$B$12))+F322+P322</x:f>
        <x:v>225319.92817980968</x:v>
      </x:c>
      <x:c r="K322" s="50" t="n">
        <x:f>(K321*(1+Inputs!$B$12))*(1-H322)</x:f>
        <x:v>0</x:v>
      </x:c>
      <x:c r="L322" s="50" t="n">
        <x:f>L321*(1+Inputs!$B$13)+Q322</x:f>
        <x:v>23928.657098360534</x:v>
      </x:c>
      <x:c r="M322" s="50" t="n">
        <x:f>I322+J322+L322</x:f>
        <x:v>452910.21745512</x:v>
      </x:c>
      <x:c r="N322" s="50" t="n">
        <x:f>F322+P322</x:f>
        <x:v>3257.1496056</x:v>
      </x:c>
      <x:c r="O322" s="50" t="n">
        <x:f>IF(B322=1,0,O321+F321+P321)</x:f>
        <x:v>0</x:v>
      </x:c>
      <x:c r="P322" s="50" t="n">
        <x:f>MIN(G322,MAX(0,Inputs!$B$20-O322-F322))</x:f>
        <x:v>3257.1496056</x:v>
      </x:c>
      <x:c r="Q322" s="50" t="n">
        <x:f>(C322-E322-F322)+(G322-P322)</x:f>
        <x:v>0</x:v>
      </x:c>
    </x:row>
    <x:row r="323">
      <x:c r="A323" s="41" t="n">
        <x:f>IF(B323=1,A322+1,A322)</x:f>
        <x:v>2039</x:v>
      </x:c>
      <x:c r="B323" s="41" t="n">
        <x:f>IF(B322=26,1,B322+1)</x:f>
        <x:v>10</x:v>
      </x:c>
      <x:c r="C323" s="48" t="n">
        <x:f>Inputs!$F$15</x:f>
        <x:v>600</x:v>
      </x:c>
      <x:c r="D323" s="50" t="n">
        <x:f>IF(B323=1,0,D322+E322)</x:f>
        <x:v>5400</x:v>
      </x:c>
      <x:c r="E323" s="50" t="n">
        <x:f>MIN(C323,MAX(0,Inputs!$B$7-D323))</x:f>
        <x:v>600</x:v>
      </x:c>
      <x:c r="F323" s="50" t="n">
        <x:f>MIN(C323-E323,MAX(0,Inputs!$B$20-O323))</x:f>
        <x:v>0</x:v>
      </x:c>
      <x:c r="G323" s="50" t="n">
        <x:f>0</x:f>
        <x:v>0</x:v>
      </x:c>
      <x:c r="H323" s="41" t="n">
        <x:f>0</x:f>
        <x:v>0</x:v>
      </x:c>
      <x:c r="I323" s="50" t="n">
        <x:f>(I322*(1+Inputs!$B$12))+E323</x:f>
        <x:v>204644.17116234216</x:v>
      </x:c>
      <x:c r="J323" s="50" t="n">
        <x:f>(J322*(1+Inputs!$B$12))+F323+P323</x:f>
        <x:v>225743.14808526397</x:v>
      </x:c>
      <x:c r="K323" s="50" t="n">
        <x:f>(K322*(1+Inputs!$B$12))*(1-H323)</x:f>
        <x:v>0</x:v>
      </x:c>
      <x:c r="L323" s="50" t="n">
        <x:f>L322*(1+Inputs!$B$13)+Q323</x:f>
        <x:v>23970.523977544082</x:v>
      </x:c>
      <x:c r="M323" s="50" t="n">
        <x:f>I323+J323+L323</x:f>
        <x:v>454357.8432251502</x:v>
      </x:c>
      <x:c r="N323" s="50" t="n">
        <x:f>F323+P323</x:f>
        <x:v>0</x:v>
      </x:c>
      <x:c r="O323" s="50" t="n">
        <x:f>IF(B323=1,0,O322+F322+P322)</x:f>
        <x:v>3257.1496056</x:v>
      </x:c>
      <x:c r="P323" s="50" t="n">
        <x:f>MIN(G323,MAX(0,Inputs!$B$20-O323-F323))</x:f>
        <x:v>0</x:v>
      </x:c>
      <x:c r="Q323" s="50" t="n">
        <x:f>(C323-E323-F323)+(G323-P323)</x:f>
        <x:v>0</x:v>
      </x:c>
    </x:row>
    <x:row r="324">
      <x:c r="A324" s="41" t="n">
        <x:f>IF(B324=1,A323+1,A323)</x:f>
        <x:v>2039</x:v>
      </x:c>
      <x:c r="B324" s="41" t="n">
        <x:f>IF(B323=26,1,B323+1)</x:f>
        <x:v>11</x:v>
      </x:c>
      <x:c r="C324" s="48" t="n">
        <x:f>Inputs!$F$15</x:f>
        <x:v>600</x:v>
      </x:c>
      <x:c r="D324" s="50" t="n">
        <x:f>IF(B324=1,0,D323+E323)</x:f>
        <x:v>6000</x:v>
      </x:c>
      <x:c r="E324" s="50" t="n">
        <x:f>MIN(C324,MAX(0,Inputs!$B$7-D324))</x:f>
        <x:v>600</x:v>
      </x:c>
      <x:c r="F324" s="50" t="n">
        <x:f>MIN(C324-E324,MAX(0,Inputs!$B$20-O324))</x:f>
        <x:v>0</x:v>
      </x:c>
      <x:c r="G324" s="50" t="n">
        <x:f>0</x:f>
        <x:v>0</x:v>
      </x:c>
      <x:c r="H324" s="41" t="n">
        <x:f>0</x:f>
        <x:v>0</x:v>
      </x:c>
      <x:c r="I324" s="50" t="n">
        <x:f>(I323*(1+Inputs!$B$12))+E324</x:f>
        <x:v>205628.55565718355</x:v>
      </x:c>
      <x:c r="J324" s="50" t="n">
        <x:f>(J323*(1+Inputs!$B$12))+F324+P324</x:f>
        <x:v>226167.16292745472</x:v>
      </x:c>
      <x:c r="K324" s="50" t="n">
        <x:f>(K323*(1+Inputs!$B$12))*(1-H324)</x:f>
        <x:v>0</x:v>
      </x:c>
      <x:c r="L324" s="50" t="n">
        <x:f>L323*(1+Inputs!$B$13)+Q324</x:f>
        <x:v>24012.464109295266</x:v>
      </x:c>
      <x:c r="M324" s="50" t="n">
        <x:f>I324+J324+L324</x:f>
        <x:v>455808.18269393354</x:v>
      </x:c>
      <x:c r="N324" s="50" t="n">
        <x:f>F324+P324</x:f>
        <x:v>0</x:v>
      </x:c>
      <x:c r="O324" s="50" t="n">
        <x:f>IF(B324=1,0,O323+F323+P323)</x:f>
        <x:v>3257.1496056</x:v>
      </x:c>
      <x:c r="P324" s="50" t="n">
        <x:f>MIN(G324,MAX(0,Inputs!$B$20-O324-F324))</x:f>
        <x:v>0</x:v>
      </x:c>
      <x:c r="Q324" s="50" t="n">
        <x:f>(C324-E324-F324)+(G324-P324)</x:f>
        <x:v>0</x:v>
      </x:c>
    </x:row>
    <x:row r="325">
      <x:c r="A325" s="41" t="n">
        <x:f>IF(B325=1,A324+1,A324)</x:f>
        <x:v>2039</x:v>
      </x:c>
      <x:c r="B325" s="41" t="n">
        <x:f>IF(B324=26,1,B324+1)</x:f>
        <x:v>12</x:v>
      </x:c>
      <x:c r="C325" s="48" t="n">
        <x:f>Inputs!$F$15</x:f>
        <x:v>600</x:v>
      </x:c>
      <x:c r="D325" s="50" t="n">
        <x:f>IF(B325=1,0,D324+E324)</x:f>
        <x:v>6600</x:v>
      </x:c>
      <x:c r="E325" s="50" t="n">
        <x:f>MIN(C325,MAX(0,Inputs!$B$7-D325))</x:f>
        <x:v>600</x:v>
      </x:c>
      <x:c r="F325" s="50" t="n">
        <x:f>MIN(C325-E325,MAX(0,Inputs!$B$20-O325))</x:f>
        <x:v>0</x:v>
      </x:c>
      <x:c r="G325" s="50" t="n">
        <x:f>0</x:f>
        <x:v>0</x:v>
      </x:c>
      <x:c r="H325" s="41" t="n">
        <x:f>0</x:f>
        <x:v>0</x:v>
      </x:c>
      <x:c r="I325" s="50" t="n">
        <x:f>(I324*(1+Inputs!$B$12))+E325</x:f>
        <x:v>206614.7891279065</x:v>
      </x:c>
      <x:c r="J325" s="50" t="n">
        <x:f>(J324*(1+Inputs!$B$12))+F325+P325</x:f>
        <x:v>226591.97419951687</x:v>
      </x:c>
      <x:c r="K325" s="50" t="n">
        <x:f>(K324*(1+Inputs!$B$12))*(1-H325)</x:f>
        <x:v>0</x:v>
      </x:c>
      <x:c r="L325" s="50" t="n">
        <x:f>L324*(1+Inputs!$B$13)+Q325</x:f>
        <x:v>24054.477621780763</x:v>
      </x:c>
      <x:c r="M325" s="50" t="n">
        <x:f>I325+J325+L325</x:f>
        <x:v>457261.24094920413</x:v>
      </x:c>
      <x:c r="N325" s="50" t="n">
        <x:f>F325+P325</x:f>
        <x:v>0</x:v>
      </x:c>
      <x:c r="O325" s="50" t="n">
        <x:f>IF(B325=1,0,O324+F324+P324)</x:f>
        <x:v>3257.1496056</x:v>
      </x:c>
      <x:c r="P325" s="50" t="n">
        <x:f>MIN(G325,MAX(0,Inputs!$B$20-O325-F325))</x:f>
        <x:v>0</x:v>
      </x:c>
      <x:c r="Q325" s="50" t="n">
        <x:f>(C325-E325-F325)+(G325-P325)</x:f>
        <x:v>0</x:v>
      </x:c>
    </x:row>
    <x:row r="326">
      <x:c r="A326" s="41" t="n">
        <x:f>IF(B326=1,A325+1,A325)</x:f>
        <x:v>2039</x:v>
      </x:c>
      <x:c r="B326" s="41" t="n">
        <x:f>IF(B325=26,1,B325+1)</x:f>
        <x:v>13</x:v>
      </x:c>
      <x:c r="C326" s="48" t="n">
        <x:f>Inputs!$F$15</x:f>
        <x:v>600</x:v>
      </x:c>
      <x:c r="D326" s="50" t="n">
        <x:f>IF(B326=1,0,D325+E325)</x:f>
        <x:v>7200</x:v>
      </x:c>
      <x:c r="E326" s="50" t="n">
        <x:f>MIN(C326,MAX(0,Inputs!$B$7-D326))</x:f>
        <x:v>600</x:v>
      </x:c>
      <x:c r="F326" s="50" t="n">
        <x:f>MIN(C326-E326,MAX(0,Inputs!$B$20-O326))</x:f>
        <x:v>0</x:v>
      </x:c>
      <x:c r="G326" s="50" t="n">
        <x:f>0</x:f>
        <x:v>0</x:v>
      </x:c>
      <x:c r="H326" s="41" t="n">
        <x:f>0</x:f>
        <x:v>0</x:v>
      </x:c>
      <x:c r="I326" s="50" t="n">
        <x:f>(I325*(1+Inputs!$B$12))+E326</x:f>
        <x:v>207602.87504745455</x:v>
      </x:c>
      <x:c r="J326" s="50" t="n">
        <x:f>(J325*(1+Inputs!$B$12))+F326+P326</x:f>
        <x:v>227017.5833973899</x:v>
      </x:c>
      <x:c r="K326" s="50" t="n">
        <x:f>(K325*(1+Inputs!$B$12))*(1-H326)</x:f>
        <x:v>0</x:v>
      </x:c>
      <x:c r="L326" s="50" t="n">
        <x:f>L325*(1+Inputs!$B$13)+Q326</x:f>
        <x:v>24096.56464339149</x:v>
      </x:c>
      <x:c r="M326" s="50" t="n">
        <x:f>I326+J326+L326</x:f>
        <x:v>458717.02308823593</x:v>
      </x:c>
      <x:c r="N326" s="50" t="n">
        <x:f>F326+P326</x:f>
        <x:v>0</x:v>
      </x:c>
      <x:c r="O326" s="50" t="n">
        <x:f>IF(B326=1,0,O325+F325+P325)</x:f>
        <x:v>3257.1496056</x:v>
      </x:c>
      <x:c r="P326" s="50" t="n">
        <x:f>MIN(G326,MAX(0,Inputs!$B$20-O326-F326))</x:f>
        <x:v>0</x:v>
      </x:c>
      <x:c r="Q326" s="50" t="n">
        <x:f>(C326-E326-F326)+(G326-P326)</x:f>
        <x:v>0</x:v>
      </x:c>
    </x:row>
    <x:row r="327">
      <x:c r="A327" s="41" t="n">
        <x:f>IF(B327=1,A326+1,A326)</x:f>
        <x:v>2039</x:v>
      </x:c>
      <x:c r="B327" s="41" t="n">
        <x:f>IF(B326=26,1,B326+1)</x:f>
        <x:v>14</x:v>
      </x:c>
      <x:c r="C327" s="48" t="n">
        <x:f>Inputs!$F$15</x:f>
        <x:v>600</x:v>
      </x:c>
      <x:c r="D327" s="50" t="n">
        <x:f>IF(B327=1,0,D326+E326)</x:f>
        <x:v>7800</x:v>
      </x:c>
      <x:c r="E327" s="50" t="n">
        <x:f>MIN(C327,MAX(0,Inputs!$B$7-D327))</x:f>
        <x:v>200</x:v>
      </x:c>
      <x:c r="F327" s="50" t="n">
        <x:f>MIN(C327-E327,MAX(0,Inputs!$B$20-O327))</x:f>
        <x:v>400</x:v>
      </x:c>
      <x:c r="G327" s="50" t="n">
        <x:f>0</x:f>
        <x:v>0</x:v>
      </x:c>
      <x:c r="H327" s="41" t="n">
        <x:f>0</x:f>
        <x:v>0</x:v>
      </x:c>
      <x:c r="I327" s="50" t="n">
        <x:f>(I326*(1+Inputs!$B$12))+E327</x:f>
        <x:v>208192.81689529459</x:v>
      </x:c>
      <x:c r="J327" s="50" t="n">
        <x:f>(J326*(1+Inputs!$B$12))+F327+P327</x:f>
        <x:v>227843.9920198231</x:v>
      </x:c>
      <x:c r="K327" s="50" t="n">
        <x:f>(K326*(1+Inputs!$B$12))*(1-H327)</x:f>
        <x:v>0</x:v>
      </x:c>
      <x:c r="L327" s="50" t="n">
        <x:f>L326*(1+Inputs!$B$13)+Q327</x:f>
        <x:v>24138.725302743016</x:v>
      </x:c>
      <x:c r="M327" s="50" t="n">
        <x:f>I327+J327+L327</x:f>
        <x:v>460175.5342178607</x:v>
      </x:c>
      <x:c r="N327" s="50" t="n">
        <x:f>F327+P327</x:f>
        <x:v>400</x:v>
      </x:c>
      <x:c r="O327" s="50" t="n">
        <x:f>IF(B327=1,0,O326+F326+P326)</x:f>
        <x:v>3257.1496056</x:v>
      </x:c>
      <x:c r="P327" s="50" t="n">
        <x:f>MIN(G327,MAX(0,Inputs!$B$20-O327-F327))</x:f>
        <x:v>0</x:v>
      </x:c>
      <x:c r="Q327" s="50" t="n">
        <x:f>(C327-E327-F327)+(G327-P327)</x:f>
        <x:v>0</x:v>
      </x:c>
    </x:row>
    <x:row r="328">
      <x:c r="A328" s="41" t="n">
        <x:f>IF(B328=1,A327+1,A327)</x:f>
        <x:v>2039</x:v>
      </x:c>
      <x:c r="B328" s="41" t="n">
        <x:f>IF(B327=26,1,B327+1)</x:f>
        <x:v>15</x:v>
      </x:c>
      <x:c r="C328" s="48" t="n">
        <x:f>Inputs!$F$15</x:f>
        <x:v>600</x:v>
      </x:c>
      <x:c r="D328" s="50" t="n">
        <x:f>IF(B328=1,0,D327+E327)</x:f>
        <x:v>8000</x:v>
      </x:c>
      <x:c r="E328" s="50" t="n">
        <x:f>MIN(C328,MAX(0,Inputs!$B$7-D328))</x:f>
        <x:v>0</x:v>
      </x:c>
      <x:c r="F328" s="50" t="n">
        <x:f>MIN(C328-E328,MAX(0,Inputs!$B$20-O328))</x:f>
        <x:v>600</x:v>
      </x:c>
      <x:c r="G328" s="50" t="n">
        <x:f>0</x:f>
        <x:v>0</x:v>
      </x:c>
      <x:c r="H328" s="41" t="n">
        <x:f>0</x:f>
        <x:v>0</x:v>
      </x:c>
      <x:c r="I328" s="50" t="n">
        <x:f>(I327*(1+Inputs!$B$12))+E328</x:f>
        <x:v>208583.86683479382</x:v>
      </x:c>
      <x:c r="J328" s="50" t="n">
        <x:f>(J327*(1+Inputs!$B$12))+F328+P328</x:f>
        <x:v>228871.952891016</x:v>
      </x:c>
      <x:c r="K328" s="50" t="n">
        <x:f>(K327*(1+Inputs!$B$12))*(1-H328)</x:f>
        <x:v>0</x:v>
      </x:c>
      <x:c r="L328" s="50" t="n">
        <x:f>L327*(1+Inputs!$B$13)+Q328</x:f>
        <x:v>24180.959728675927</x:v>
      </x:c>
      <x:c r="M328" s="50" t="n">
        <x:f>I328+J328+L328</x:f>
        <x:v>461636.7794544858</x:v>
      </x:c>
      <x:c r="N328" s="50" t="n">
        <x:f>F328+P328</x:f>
        <x:v>600</x:v>
      </x:c>
      <x:c r="O328" s="50" t="n">
        <x:f>IF(B328=1,0,O327+F327+P327)</x:f>
        <x:v>3657.1496056</x:v>
      </x:c>
      <x:c r="P328" s="50" t="n">
        <x:f>MIN(G328,MAX(0,Inputs!$B$20-O328-F328))</x:f>
        <x:v>0</x:v>
      </x:c>
      <x:c r="Q328" s="50" t="n">
        <x:f>(C328-E328-F328)+(G328-P328)</x:f>
        <x:v>0</x:v>
      </x:c>
    </x:row>
    <x:row r="329">
      <x:c r="A329" s="41" t="n">
        <x:f>IF(B329=1,A328+1,A328)</x:f>
        <x:v>2039</x:v>
      </x:c>
      <x:c r="B329" s="41" t="n">
        <x:f>IF(B328=26,1,B328+1)</x:f>
        <x:v>16</x:v>
      </x:c>
      <x:c r="C329" s="48" t="n">
        <x:f>Inputs!$F$15</x:f>
        <x:v>600</x:v>
      </x:c>
      <x:c r="D329" s="50" t="n">
        <x:f>IF(B329=1,0,D328+E328)</x:f>
        <x:v>8000</x:v>
      </x:c>
      <x:c r="E329" s="50" t="n">
        <x:f>MIN(C329,MAX(0,Inputs!$B$7-D329))</x:f>
        <x:v>0</x:v>
      </x:c>
      <x:c r="F329" s="50" t="n">
        <x:f>MIN(C329-E329,MAX(0,Inputs!$B$20-O329))</x:f>
        <x:v>600</x:v>
      </x:c>
      <x:c r="G329" s="50" t="n">
        <x:f>0</x:f>
        <x:v>0</x:v>
      </x:c>
      <x:c r="H329" s="41" t="n">
        <x:f>0</x:f>
        <x:v>0</x:v>
      </x:c>
      <x:c r="I329" s="50" t="n">
        <x:f>(I328*(1+Inputs!$B$12))+E329</x:f>
        <x:v>208975.65128597055</x:v>
      </x:c>
      <x:c r="J329" s="50" t="n">
        <x:f>(J328*(1+Inputs!$B$12))+F329+P329</x:f>
        <x:v>229901.84458788522</x:v>
      </x:c>
      <x:c r="K329" s="50" t="n">
        <x:f>(K328*(1+Inputs!$B$12))*(1-H329)</x:f>
        <x:v>0</x:v>
      </x:c>
      <x:c r="L329" s="50" t="n">
        <x:f>L328*(1+Inputs!$B$13)+Q329</x:f>
        <x:v>24223.26805025625</x:v>
      </x:c>
      <x:c r="M329" s="50" t="n">
        <x:f>I329+J329+L329</x:f>
        <x:v>463100.763924112</x:v>
      </x:c>
      <x:c r="N329" s="50" t="n">
        <x:f>F329+P329</x:f>
        <x:v>600</x:v>
      </x:c>
      <x:c r="O329" s="50" t="n">
        <x:f>IF(B329=1,0,O328+F328+P328)</x:f>
        <x:v>4257.1496056</x:v>
      </x:c>
      <x:c r="P329" s="50" t="n">
        <x:f>MIN(G329,MAX(0,Inputs!$B$20-O329-F329))</x:f>
        <x:v>0</x:v>
      </x:c>
      <x:c r="Q329" s="50" t="n">
        <x:f>(C329-E329-F329)+(G329-P329)</x:f>
        <x:v>0</x:v>
      </x:c>
    </x:row>
    <x:row r="330">
      <x:c r="A330" s="41" t="n">
        <x:f>IF(B330=1,A329+1,A329)</x:f>
        <x:v>2039</x:v>
      </x:c>
      <x:c r="B330" s="41" t="n">
        <x:f>IF(B329=26,1,B329+1)</x:f>
        <x:v>17</x:v>
      </x:c>
      <x:c r="C330" s="48" t="n">
        <x:f>Inputs!$F$15</x:f>
        <x:v>600</x:v>
      </x:c>
      <x:c r="D330" s="50" t="n">
        <x:f>IF(B330=1,0,D329+E329)</x:f>
        <x:v>8000</x:v>
      </x:c>
      <x:c r="E330" s="50" t="n">
        <x:f>MIN(C330,MAX(0,Inputs!$B$7-D330))</x:f>
        <x:v>0</x:v>
      </x:c>
      <x:c r="F330" s="50" t="n">
        <x:f>MIN(C330-E330,MAX(0,Inputs!$B$20-O330))</x:f>
        <x:v>600</x:v>
      </x:c>
      <x:c r="G330" s="50" t="n">
        <x:f>0</x:f>
        <x:v>0</x:v>
      </x:c>
      <x:c r="H330" s="41" t="n">
        <x:f>0</x:f>
        <x:v>0</x:v>
      </x:c>
      <x:c r="I330" s="50" t="n">
        <x:f>(I329*(1+Inputs!$B$12))+E330</x:f>
        <x:v>209368.1716284629</x:v>
      </x:c>
      <x:c r="J330" s="50" t="n">
        <x:f>(J329*(1+Inputs!$B$12))+F330+P330</x:f>
        <x:v>230933.67073711337</x:v>
      </x:c>
      <x:c r="K330" s="50" t="n">
        <x:f>(K329*(1+Inputs!$B$12))*(1-H330)</x:f>
        <x:v>0</x:v>
      </x:c>
      <x:c r="L330" s="50" t="n">
        <x:f>L329*(1+Inputs!$B$13)+Q330</x:f>
        <x:v>24265.650396775825</x:v>
      </x:c>
      <x:c r="M330" s="50" t="n">
        <x:f>I330+J330+L330</x:f>
        <x:v>464567.4927623521</x:v>
      </x:c>
      <x:c r="N330" s="50" t="n">
        <x:f>F330+P330</x:f>
        <x:v>600</x:v>
      </x:c>
      <x:c r="O330" s="50" t="n">
        <x:f>IF(B330=1,0,O329+F329+P329)</x:f>
        <x:v>4857.1496056</x:v>
      </x:c>
      <x:c r="P330" s="50" t="n">
        <x:f>MIN(G330,MAX(0,Inputs!$B$20-O330-F330))</x:f>
        <x:v>0</x:v>
      </x:c>
      <x:c r="Q330" s="50" t="n">
        <x:f>(C330-E330-F330)+(G330-P330)</x:f>
        <x:v>0</x:v>
      </x:c>
    </x:row>
    <x:row r="331">
      <x:c r="A331" s="41" t="n">
        <x:f>IF(B331=1,A330+1,A330)</x:f>
        <x:v>2039</x:v>
      </x:c>
      <x:c r="B331" s="41" t="n">
        <x:f>IF(B330=26,1,B330+1)</x:f>
        <x:v>18</x:v>
      </x:c>
      <x:c r="C331" s="48" t="n">
        <x:f>Inputs!$F$15</x:f>
        <x:v>600</x:v>
      </x:c>
      <x:c r="D331" s="50" t="n">
        <x:f>IF(B331=1,0,D330+E330)</x:f>
        <x:v>8000</x:v>
      </x:c>
      <x:c r="E331" s="50" t="n">
        <x:f>MIN(C331,MAX(0,Inputs!$B$7-D331))</x:f>
        <x:v>0</x:v>
      </x:c>
      <x:c r="F331" s="50" t="n">
        <x:f>MIN(C331-E331,MAX(0,Inputs!$B$20-O331))</x:f>
        <x:v>600</x:v>
      </x:c>
      <x:c r="G331" s="50" t="n">
        <x:f>0</x:f>
        <x:v>0</x:v>
      </x:c>
      <x:c r="H331" s="41" t="n">
        <x:f>0</x:f>
        <x:v>0</x:v>
      </x:c>
      <x:c r="I331" s="50" t="n">
        <x:f>(I330*(1+Inputs!$B$12))+E331</x:f>
        <x:v>209761.4292445004</x:v>
      </x:c>
      <x:c r="J331" s="50" t="n">
        <x:f>(J330*(1+Inputs!$B$12))+F331+P331</x:f>
        <x:v>231967.434972195</x:v>
      </x:c>
      <x:c r="K331" s="50" t="n">
        <x:f>(K330*(1+Inputs!$B$12))*(1-H331)</x:f>
        <x:v>0</x:v>
      </x:c>
      <x:c r="L331" s="50" t="n">
        <x:f>L330*(1+Inputs!$B$13)+Q331</x:f>
        <x:v>24308.106897752707</x:v>
      </x:c>
      <x:c r="M331" s="50" t="n">
        <x:f>I331+J331+L331</x:f>
        <x:v>466036.97111444816</x:v>
      </x:c>
      <x:c r="N331" s="50" t="n">
        <x:f>F331+P331</x:f>
        <x:v>600</x:v>
      </x:c>
      <x:c r="O331" s="50" t="n">
        <x:f>IF(B331=1,0,O330+F330+P330)</x:f>
        <x:v>5457.1496056</x:v>
      </x:c>
      <x:c r="P331" s="50" t="n">
        <x:f>MIN(G331,MAX(0,Inputs!$B$20-O331-F331))</x:f>
        <x:v>0</x:v>
      </x:c>
      <x:c r="Q331" s="50" t="n">
        <x:f>(C331-E331-F331)+(G331-P331)</x:f>
        <x:v>0</x:v>
      </x:c>
    </x:row>
    <x:row r="332">
      <x:c r="A332" s="41" t="n">
        <x:f>IF(B332=1,A331+1,A331)</x:f>
        <x:v>2039</x:v>
      </x:c>
      <x:c r="B332" s="41" t="n">
        <x:f>IF(B331=26,1,B331+1)</x:f>
        <x:v>19</x:v>
      </x:c>
      <x:c r="C332" s="48" t="n">
        <x:f>Inputs!$F$15</x:f>
        <x:v>600</x:v>
      </x:c>
      <x:c r="D332" s="50" t="n">
        <x:f>IF(B332=1,0,D331+E331)</x:f>
        <x:v>8000</x:v>
      </x:c>
      <x:c r="E332" s="50" t="n">
        <x:f>MIN(C332,MAX(0,Inputs!$B$7-D332))</x:f>
        <x:v>0</x:v>
      </x:c>
      <x:c r="F332" s="50" t="n">
        <x:f>MIN(C332-E332,MAX(0,Inputs!$B$20-O332))</x:f>
        <x:v>600</x:v>
      </x:c>
      <x:c r="G332" s="50" t="n">
        <x:f>0</x:f>
        <x:v>0</x:v>
      </x:c>
      <x:c r="H332" s="41" t="n">
        <x:f>0</x:f>
        <x:v>0</x:v>
      </x:c>
      <x:c r="I332" s="50" t="n">
        <x:f>(I331*(1+Inputs!$B$12))+E332</x:f>
        <x:v>210155.4255189088</x:v>
      </x:c>
      <x:c r="J332" s="50" t="n">
        <x:f>(J331*(1+Inputs!$B$12))+F332+P332</x:f>
        <x:v>233003.1409334496</x:v>
      </x:c>
      <x:c r="K332" s="50" t="n">
        <x:f>(K331*(1+Inputs!$B$12))*(1-H332)</x:f>
        <x:v>0</x:v>
      </x:c>
      <x:c r="L332" s="50" t="n">
        <x:f>L331*(1+Inputs!$B$13)+Q332</x:f>
        <x:v>24350.637682931567</x:v>
      </x:c>
      <x:c r="M332" s="50" t="n">
        <x:f>I332+J332+L332</x:f>
        <x:v>467509.20413528994</x:v>
      </x:c>
      <x:c r="N332" s="50" t="n">
        <x:f>F332+P332</x:f>
        <x:v>600</x:v>
      </x:c>
      <x:c r="O332" s="50" t="n">
        <x:f>IF(B332=1,0,O331+F331+P331)</x:f>
        <x:v>6057.1496056</x:v>
      </x:c>
      <x:c r="P332" s="50" t="n">
        <x:f>MIN(G332,MAX(0,Inputs!$B$20-O332-F332))</x:f>
        <x:v>0</x:v>
      </x:c>
      <x:c r="Q332" s="50" t="n">
        <x:f>(C332-E332-F332)+(G332-P332)</x:f>
        <x:v>0</x:v>
      </x:c>
    </x:row>
    <x:row r="333">
      <x:c r="A333" s="41" t="n">
        <x:f>IF(B333=1,A332+1,A332)</x:f>
        <x:v>2039</x:v>
      </x:c>
      <x:c r="B333" s="41" t="n">
        <x:f>IF(B332=26,1,B332+1)</x:f>
        <x:v>20</x:v>
      </x:c>
      <x:c r="C333" s="48" t="n">
        <x:f>Inputs!$F$15</x:f>
        <x:v>600</x:v>
      </x:c>
      <x:c r="D333" s="50" t="n">
        <x:f>IF(B333=1,0,D332+E332)</x:f>
        <x:v>8000</x:v>
      </x:c>
      <x:c r="E333" s="50" t="n">
        <x:f>MIN(C333,MAX(0,Inputs!$B$7-D333))</x:f>
        <x:v>0</x:v>
      </x:c>
      <x:c r="F333" s="50" t="n">
        <x:f>MIN(C333-E333,MAX(0,Inputs!$B$20-O333))</x:f>
        <x:v>600</x:v>
      </x:c>
      <x:c r="G333" s="50" t="n">
        <x:f>0</x:f>
        <x:v>0</x:v>
      </x:c>
      <x:c r="H333" s="41" t="n">
        <x:f>0</x:f>
        <x:v>0</x:v>
      </x:c>
      <x:c r="I333" s="50" t="n">
        <x:f>(I332*(1+Inputs!$B$12))+E333</x:f>
        <x:v>210550.16183911497</x:v>
      </x:c>
      <x:c r="J333" s="50" t="n">
        <x:f>(J332*(1+Inputs!$B$12))+F333+P333</x:f>
        <x:v>234040.79226803422</x:v>
      </x:c>
      <x:c r="K333" s="50" t="n">
        <x:f>(K332*(1+Inputs!$B$12))*(1-H333)</x:f>
        <x:v>0</x:v>
      </x:c>
      <x:c r="L333" s="50" t="n">
        <x:f>L332*(1+Inputs!$B$13)+Q333</x:f>
        <x:v>24393.24288228408</x:v>
      </x:c>
      <x:c r="M333" s="50" t="n">
        <x:f>I333+J333+L333</x:f>
        <x:v>468984.19698943326</x:v>
      </x:c>
      <x:c r="N333" s="50" t="n">
        <x:f>F333+P333</x:f>
        <x:v>600</x:v>
      </x:c>
      <x:c r="O333" s="50" t="n">
        <x:f>IF(B333=1,0,O332+F332+P332)</x:f>
        <x:v>6657.1496056</x:v>
      </x:c>
      <x:c r="P333" s="50" t="n">
        <x:f>MIN(G333,MAX(0,Inputs!$B$20-O333-F333))</x:f>
        <x:v>0</x:v>
      </x:c>
      <x:c r="Q333" s="50" t="n">
        <x:f>(C333-E333-F333)+(G333-P333)</x:f>
        <x:v>0</x:v>
      </x:c>
    </x:row>
    <x:row r="334">
      <x:c r="A334" s="41" t="n">
        <x:f>IF(B334=1,A333+1,A333)</x:f>
        <x:v>2039</x:v>
      </x:c>
      <x:c r="B334" s="41" t="n">
        <x:f>IF(B333=26,1,B333+1)</x:f>
        <x:v>21</x:v>
      </x:c>
      <x:c r="C334" s="48" t="n">
        <x:f>Inputs!$F$15</x:f>
        <x:v>600</x:v>
      </x:c>
      <x:c r="D334" s="50" t="n">
        <x:f>IF(B334=1,0,D333+E333)</x:f>
        <x:v>8000</x:v>
      </x:c>
      <x:c r="E334" s="50" t="n">
        <x:f>MIN(C334,MAX(0,Inputs!$B$7-D334))</x:f>
        <x:v>0</x:v>
      </x:c>
      <x:c r="F334" s="50" t="n">
        <x:f>MIN(C334-E334,MAX(0,Inputs!$B$20-O334))</x:f>
        <x:v>600</x:v>
      </x:c>
      <x:c r="G334" s="50" t="n">
        <x:f>0</x:f>
        <x:v>0</x:v>
      </x:c>
      <x:c r="H334" s="41" t="n">
        <x:f>0</x:f>
        <x:v>0</x:v>
      </x:c>
      <x:c r="I334" s="50" t="n">
        <x:f>(I333*(1+Inputs!$B$12))+E334</x:f>
        <x:v>210945.6395951518</x:v>
      </x:c>
      <x:c r="J334" s="50" t="n">
        <x:f>(J333*(1+Inputs!$B$12))+F334+P334</x:f>
        <x:v>235080.3926299564</x:v>
      </x:c>
      <x:c r="K334" s="50" t="n">
        <x:f>(K333*(1+Inputs!$B$12))*(1-H334)</x:f>
        <x:v>0</x:v>
      </x:c>
      <x:c r="L334" s="50" t="n">
        <x:f>L333*(1+Inputs!$B$13)+Q334</x:f>
        <x:v>24435.922626009335</x:v>
      </x:c>
      <x:c r="M334" s="50" t="n">
        <x:f>I334+J334+L334</x:f>
        <x:v>470461.9548511175</x:v>
      </x:c>
      <x:c r="N334" s="50" t="n">
        <x:f>F334+P334</x:f>
        <x:v>600</x:v>
      </x:c>
      <x:c r="O334" s="50" t="n">
        <x:f>IF(B334=1,0,O333+F333+P333)</x:f>
        <x:v>7257.1496056</x:v>
      </x:c>
      <x:c r="P334" s="50" t="n">
        <x:f>MIN(G334,MAX(0,Inputs!$B$20-O334-F334))</x:f>
        <x:v>0</x:v>
      </x:c>
      <x:c r="Q334" s="50" t="n">
        <x:f>(C334-E334-F334)+(G334-P334)</x:f>
        <x:v>0</x:v>
      </x:c>
    </x:row>
    <x:row r="335">
      <x:c r="A335" s="41" t="n">
        <x:f>IF(B335=1,A334+1,A334)</x:f>
        <x:v>2039</x:v>
      </x:c>
      <x:c r="B335" s="41" t="n">
        <x:f>IF(B334=26,1,B334+1)</x:f>
        <x:v>22</x:v>
      </x:c>
      <x:c r="C335" s="48" t="n">
        <x:f>Inputs!$F$15</x:f>
        <x:v>600</x:v>
      </x:c>
      <x:c r="D335" s="50" t="n">
        <x:f>IF(B335=1,0,D334+E334)</x:f>
        <x:v>8000</x:v>
      </x:c>
      <x:c r="E335" s="50" t="n">
        <x:f>MIN(C335,MAX(0,Inputs!$B$7-D335))</x:f>
        <x:v>0</x:v>
      </x:c>
      <x:c r="F335" s="50" t="n">
        <x:f>MIN(C335-E335,MAX(0,Inputs!$B$20-O335))</x:f>
        <x:v>600</x:v>
      </x:c>
      <x:c r="G335" s="50" t="n">
        <x:f>0</x:f>
        <x:v>0</x:v>
      </x:c>
      <x:c r="H335" s="41" t="n">
        <x:f>0</x:f>
        <x:v>0</x:v>
      </x:c>
      <x:c r="I335" s="50" t="n">
        <x:f>(I334*(1+Inputs!$B$12))+E335</x:f>
        <x:v>211341.8601796631</x:v>
      </x:c>
      <x:c r="J335" s="50" t="n">
        <x:f>(J334*(1+Inputs!$B$12))+F335+P335</x:f>
        <x:v>236121.945680087</x:v>
      </x:c>
      <x:c r="K335" s="50" t="n">
        <x:f>(K334*(1+Inputs!$B$12))*(1-H335)</x:f>
        <x:v>0</x:v>
      </x:c>
      <x:c r="L335" s="50" t="n">
        <x:f>L334*(1+Inputs!$B$13)+Q335</x:f>
        <x:v>24478.677044534215</x:v>
      </x:c>
      <x:c r="M335" s="50" t="n">
        <x:f>I335+J335+L335</x:f>
        <x:v>471942.4829042844</x:v>
      </x:c>
      <x:c r="N335" s="50" t="n">
        <x:f>F335+P335</x:f>
        <x:v>600</x:v>
      </x:c>
      <x:c r="O335" s="50" t="n">
        <x:f>IF(B335=1,0,O334+F334+P334)</x:f>
        <x:v>7857.1496056</x:v>
      </x:c>
      <x:c r="P335" s="50" t="n">
        <x:f>MIN(G335,MAX(0,Inputs!$B$20-O335-F335))</x:f>
        <x:v>0</x:v>
      </x:c>
      <x:c r="Q335" s="50" t="n">
        <x:f>(C335-E335-F335)+(G335-P335)</x:f>
        <x:v>0</x:v>
      </x:c>
    </x:row>
    <x:row r="336">
      <x:c r="A336" s="41" t="n">
        <x:f>IF(B336=1,A335+1,A335)</x:f>
        <x:v>2039</x:v>
      </x:c>
      <x:c r="B336" s="41" t="n">
        <x:f>IF(B335=26,1,B335+1)</x:f>
        <x:v>23</x:v>
      </x:c>
      <x:c r="C336" s="48" t="n">
        <x:f>Inputs!$F$15</x:f>
        <x:v>600</x:v>
      </x:c>
      <x:c r="D336" s="50" t="n">
        <x:f>IF(B336=1,0,D335+E335)</x:f>
        <x:v>8000</x:v>
      </x:c>
      <x:c r="E336" s="50" t="n">
        <x:f>MIN(C336,MAX(0,Inputs!$B$7-D336))</x:f>
        <x:v>0</x:v>
      </x:c>
      <x:c r="F336" s="50" t="n">
        <x:f>MIN(C336-E336,MAX(0,Inputs!$B$20-O336))</x:f>
        <x:v>600</x:v>
      </x:c>
      <x:c r="G336" s="50" t="n">
        <x:f>0</x:f>
        <x:v>0</x:v>
      </x:c>
      <x:c r="H336" s="41" t="n">
        <x:f>0</x:f>
        <x:v>0</x:v>
      </x:c>
      <x:c r="I336" s="50" t="n">
        <x:f>(I335*(1+Inputs!$B$12))+E336</x:f>
        <x:v>211738.8249879085</x:v>
      </x:c>
      <x:c r="J336" s="50" t="n">
        <x:f>(J335*(1+Inputs!$B$12))+F336+P336</x:f>
        <x:v>237165.45508617317</x:v>
      </x:c>
      <x:c r="K336" s="50" t="n">
        <x:f>(K335*(1+Inputs!$B$12))*(1-H336)</x:f>
        <x:v>0</x:v>
      </x:c>
      <x:c r="L336" s="50" t="n">
        <x:f>L335*(1+Inputs!$B$13)+Q336</x:f>
        <x:v>24521.50626851381</x:v>
      </x:c>
      <x:c r="M336" s="50" t="n">
        <x:f>I336+J336+L336</x:f>
        <x:v>473425.7863425955</x:v>
      </x:c>
      <x:c r="N336" s="50" t="n">
        <x:f>F336+P336</x:f>
        <x:v>600</x:v>
      </x:c>
      <x:c r="O336" s="50" t="n">
        <x:f>IF(B336=1,0,O335+F335+P335)</x:f>
        <x:v>8457.1496056</x:v>
      </x:c>
      <x:c r="P336" s="50" t="n">
        <x:f>MIN(G336,MAX(0,Inputs!$B$20-O336-F336))</x:f>
        <x:v>0</x:v>
      </x:c>
      <x:c r="Q336" s="50" t="n">
        <x:f>(C336-E336-F336)+(G336-P336)</x:f>
        <x:v>0</x:v>
      </x:c>
    </x:row>
    <x:row r="337">
      <x:c r="A337" s="41" t="n">
        <x:f>IF(B337=1,A336+1,A336)</x:f>
        <x:v>2039</x:v>
      </x:c>
      <x:c r="B337" s="41" t="n">
        <x:f>IF(B336=26,1,B336+1)</x:f>
        <x:v>24</x:v>
      </x:c>
      <x:c r="C337" s="48" t="n">
        <x:f>Inputs!$F$15</x:f>
        <x:v>600</x:v>
      </x:c>
      <x:c r="D337" s="50" t="n">
        <x:f>IF(B337=1,0,D336+E336)</x:f>
        <x:v>8000</x:v>
      </x:c>
      <x:c r="E337" s="50" t="n">
        <x:f>MIN(C337,MAX(0,Inputs!$B$7-D337))</x:f>
        <x:v>0</x:v>
      </x:c>
      <x:c r="F337" s="50" t="n">
        <x:f>MIN(C337-E337,MAX(0,Inputs!$B$20-O337))</x:f>
        <x:v>600</x:v>
      </x:c>
      <x:c r="G337" s="50" t="n">
        <x:f>0</x:f>
        <x:v>0</x:v>
      </x:c>
      <x:c r="H337" s="41" t="n">
        <x:f>0</x:f>
        <x:v>0</x:v>
      </x:c>
      <x:c r="I337" s="50" t="n">
        <x:f>(I336*(1+Inputs!$B$12))+E337</x:f>
        <x:v>212136.53541776835</x:v>
      </x:c>
      <x:c r="J337" s="50" t="n">
        <x:f>(J336*(1+Inputs!$B$12))+F337+P337</x:f>
        <x:v>238210.9245228512</x:v>
      </x:c>
      <x:c r="K337" s="50" t="n">
        <x:f>(K336*(1+Inputs!$B$12))*(1-H337)</x:f>
        <x:v>0</x:v>
      </x:c>
      <x:c r="L337" s="50" t="n">
        <x:f>L336*(1+Inputs!$B$13)+Q337</x:f>
        <x:v>24564.41042883181</x:v>
      </x:c>
      <x:c r="M337" s="50" t="n">
        <x:f>I337+J337+L337</x:f>
        <x:v>474911.87036945135</x:v>
      </x:c>
      <x:c r="N337" s="50" t="n">
        <x:f>F337+P337</x:f>
        <x:v>600</x:v>
      </x:c>
      <x:c r="O337" s="50" t="n">
        <x:f>IF(B337=1,0,O336+F336+P336)</x:f>
        <x:v>9057.1496056</x:v>
      </x:c>
      <x:c r="P337" s="50" t="n">
        <x:f>MIN(G337,MAX(0,Inputs!$B$20-O337-F337))</x:f>
        <x:v>0</x:v>
      </x:c>
      <x:c r="Q337" s="50" t="n">
        <x:f>(C337-E337-F337)+(G337-P337)</x:f>
        <x:v>0</x:v>
      </x:c>
    </x:row>
    <x:row r="338">
      <x:c r="A338" s="41" t="n">
        <x:f>IF(B338=1,A337+1,A337)</x:f>
        <x:v>2039</x:v>
      </x:c>
      <x:c r="B338" s="41" t="n">
        <x:f>IF(B337=26,1,B337+1)</x:f>
        <x:v>25</x:v>
      </x:c>
      <x:c r="C338" s="48" t="n">
        <x:f>Inputs!$F$15</x:f>
        <x:v>600</x:v>
      </x:c>
      <x:c r="D338" s="50" t="n">
        <x:f>IF(B338=1,0,D337+E337)</x:f>
        <x:v>8000</x:v>
      </x:c>
      <x:c r="E338" s="50" t="n">
        <x:f>MIN(C338,MAX(0,Inputs!$B$7-D338))</x:f>
        <x:v>0</x:v>
      </x:c>
      <x:c r="F338" s="50" t="n">
        <x:f>MIN(C338-E338,MAX(0,Inputs!$B$20-O338))</x:f>
        <x:v>600</x:v>
      </x:c>
      <x:c r="G338" s="50" t="n">
        <x:f>0</x:f>
        <x:v>0</x:v>
      </x:c>
      <x:c r="H338" s="41" t="n">
        <x:f>0</x:f>
        <x:v>0</x:v>
      </x:c>
      <x:c r="I338" s="50" t="n">
        <x:f>(I337*(1+Inputs!$B$12))+E338</x:f>
        <x:v>212534.99286974862</x:v>
      </x:c>
      <x:c r="J338" s="50" t="n">
        <x:f>(J337*(1+Inputs!$B$12))+F338+P338</x:f>
        <x:v>239258.3576716594</x:v>
      </x:c>
      <x:c r="K338" s="50" t="n">
        <x:f>(K337*(1+Inputs!$B$12))*(1-H338)</x:f>
        <x:v>0</x:v>
      </x:c>
      <x:c r="L338" s="50" t="n">
        <x:f>L337*(1+Inputs!$B$13)+Q338</x:f>
        <x:v>24607.389656600903</x:v>
      </x:c>
      <x:c r="M338" s="50" t="n">
        <x:f>I338+J338+L338</x:f>
        <x:v>476400.74019800895</x:v>
      </x:c>
      <x:c r="N338" s="50" t="n">
        <x:f>F338+P338</x:f>
        <x:v>600</x:v>
      </x:c>
      <x:c r="O338" s="50" t="n">
        <x:f>IF(B338=1,0,O337+F337+P337)</x:f>
        <x:v>9657.1496056</x:v>
      </x:c>
      <x:c r="P338" s="50" t="n">
        <x:f>MIN(G338,MAX(0,Inputs!$B$20-O338-F338))</x:f>
        <x:v>0</x:v>
      </x:c>
      <x:c r="Q338" s="50" t="n">
        <x:f>(C338-E338-F338)+(G338-P338)</x:f>
        <x:v>0</x:v>
      </x:c>
    </x:row>
    <x:row r="339">
      <x:c r="A339" s="41" t="n">
        <x:f>IF(B339=1,A338+1,A338)</x:f>
        <x:v>2039</x:v>
      </x:c>
      <x:c r="B339" s="41" t="n">
        <x:f>IF(B338=26,1,B338+1)</x:f>
        <x:v>26</x:v>
      </x:c>
      <x:c r="C339" s="48" t="n">
        <x:f>Inputs!$F$15</x:f>
        <x:v>600</x:v>
      </x:c>
      <x:c r="D339" s="50" t="n">
        <x:f>IF(B339=1,0,D338+E338)</x:f>
        <x:v>8000</x:v>
      </x:c>
      <x:c r="E339" s="50" t="n">
        <x:f>MIN(C339,MAX(0,Inputs!$B$7-D339))</x:f>
        <x:v>0</x:v>
      </x:c>
      <x:c r="F339" s="50" t="n">
        <x:f>MIN(C339-E339,MAX(0,Inputs!$B$20-O339))</x:f>
        <x:v>600</x:v>
      </x:c>
      <x:c r="G339" s="50" t="n">
        <x:f>0</x:f>
        <x:v>0</x:v>
      </x:c>
      <x:c r="H339" s="41" t="n">
        <x:f>IF(A339=Inputs!$B$8,1,0)</x:f>
        <x:v>0</x:v>
      </x:c>
      <x:c r="I339" s="50" t="n">
        <x:f>(I338*(1+Inputs!$B$12))+E339</x:f>
        <x:v>212934.1987469859</x:v>
      </x:c>
      <x:c r="J339" s="50" t="n">
        <x:f>(J338*(1+Inputs!$B$12))+F339+P339</x:f>
        <x:v>240307.75822105128</x:v>
      </x:c>
      <x:c r="K339" s="50" t="n">
        <x:f>(K338*(1+Inputs!$B$12))*(1-H339)</x:f>
        <x:v>0</x:v>
      </x:c>
      <x:c r="L339" s="50" t="n">
        <x:f>L338*(1+Inputs!$B$13)+Q339</x:f>
        <x:v>24650.444083163184</x:v>
      </x:c>
      <x:c r="M339" s="50" t="n">
        <x:f>I339+J339+L339</x:f>
        <x:v>477892.40105120034</x:v>
      </x:c>
      <x:c r="N339" s="50" t="n">
        <x:f>F339+P339</x:f>
        <x:v>600</x:v>
      </x:c>
      <x:c r="O339" s="50" t="n">
        <x:f>IF(B339=1,0,O338+F338+P338)</x:f>
        <x:v>10257.1496056</x:v>
      </x:c>
      <x:c r="P339" s="50" t="n">
        <x:f>MIN(G339,MAX(0,Inputs!$B$20-O339-F339))</x:f>
        <x:v>0</x:v>
      </x:c>
      <x:c r="Q339" s="50" t="n">
        <x:f>(C339-E339-F339)+(G339-P339)</x:f>
        <x:v>0</x:v>
      </x:c>
    </x:row>
    <x:row r="340">
      <x:c r="A340" s="41" t="n">
        <x:f>IF(B340=1,A339+1,A339)</x:f>
        <x:v>2040</x:v>
      </x:c>
      <x:c r="B340" s="41" t="n">
        <x:f>IF(B339=26,1,B339+1)</x:f>
        <x:v>1</x:v>
      </x:c>
      <x:c r="C340" s="48" t="n">
        <x:f>Inputs!$F$16</x:f>
        <x:v>600</x:v>
      </x:c>
      <x:c r="D340" s="50" t="n">
        <x:f>IF(B340=1,0,D339+E339)</x:f>
        <x:v>0</x:v>
      </x:c>
      <x:c r="E340" s="50" t="n">
        <x:f>MIN(C340,MAX(0,Inputs!$B$7-D340))</x:f>
        <x:v>600</x:v>
      </x:c>
      <x:c r="F340" s="50" t="n">
        <x:f>MIN(C340-E340,MAX(0,Inputs!$B$20-O340))</x:f>
        <x:v>0</x:v>
      </x:c>
      <x:c r="G340" s="50" t="n">
        <x:f>0</x:f>
        <x:v>0</x:v>
      </x:c>
      <x:c r="H340" s="41" t="n">
        <x:f>0</x:f>
        <x:v>0</x:v>
      </x:c>
      <x:c r="I340" s="50" t="n">
        <x:f>(I339*(1+Inputs!$B$12))+E340</x:f>
        <x:v>213934.15445525225</x:v>
      </x:c>
      <x:c r="J340" s="50" t="n">
        <x:f>(J339*(1+Inputs!$B$12))+F340+P340</x:f>
        <x:v>240759.12986640827</x:v>
      </x:c>
      <x:c r="K340" s="50" t="n">
        <x:f>(K339*(1+Inputs!$B$12))*(1-H340)</x:f>
        <x:v>0</x:v>
      </x:c>
      <x:c r="L340" s="50" t="n">
        <x:f>L339*(1+Inputs!$B$13)+Q340</x:f>
        <x:v>24693.57384009055</x:v>
      </x:c>
      <x:c r="M340" s="50" t="n">
        <x:f>I340+J340+L340</x:f>
        <x:v>479386.85816175106</x:v>
      </x:c>
      <x:c r="N340" s="50" t="n">
        <x:f>F340+P340</x:f>
        <x:v>0</x:v>
      </x:c>
      <x:c r="O340" s="50" t="n">
        <x:f>IF(B340=1,0,O339+F339+P339)</x:f>
        <x:v>0</x:v>
      </x:c>
      <x:c r="P340" s="50" t="n">
        <x:f>MIN(G340,MAX(0,Inputs!$B$20-O340-F340))</x:f>
        <x:v>0</x:v>
      </x:c>
      <x:c r="Q340" s="50" t="n">
        <x:f>(C340-E340-F340)+(G340-P340)</x:f>
        <x:v>0</x:v>
      </x:c>
    </x:row>
    <x:row r="341">
      <x:c r="A341" s="41" t="n">
        <x:f>IF(B341=1,A340+1,A340)</x:f>
        <x:v>2040</x:v>
      </x:c>
      <x:c r="B341" s="41" t="n">
        <x:f>IF(B340=26,1,B340+1)</x:f>
        <x:v>2</x:v>
      </x:c>
      <x:c r="C341" s="48" t="n">
        <x:f>Inputs!$F$16</x:f>
        <x:v>600</x:v>
      </x:c>
      <x:c r="D341" s="50" t="n">
        <x:f>IF(B341=1,0,D340+E340)</x:f>
        <x:v>600</x:v>
      </x:c>
      <x:c r="E341" s="50" t="n">
        <x:f>MIN(C341,MAX(0,Inputs!$B$7-D341))</x:f>
        <x:v>600</x:v>
      </x:c>
      <x:c r="F341" s="50" t="n">
        <x:f>MIN(C341-E341,MAX(0,Inputs!$B$20-O341))</x:f>
        <x:v>0</x:v>
      </x:c>
      <x:c r="G341" s="50" t="n">
        <x:f>0</x:f>
        <x:v>0</x:v>
      </x:c>
      <x:c r="H341" s="41" t="n">
        <x:f>0</x:f>
        <x:v>0</x:v>
      </x:c>
      <x:c r="I341" s="50" t="n">
        <x:f>(I340*(1+Inputs!$B$12))+E341</x:f>
        <x:v>214935.9883869129</x:v>
      </x:c>
      <x:c r="J341" s="50" t="n">
        <x:f>(J340*(1+Inputs!$B$12))+F341+P341</x:f>
        <x:v>241211.3493261003</x:v>
      </x:c>
      <x:c r="K341" s="50" t="n">
        <x:f>(K340*(1+Inputs!$B$12))*(1-H341)</x:f>
        <x:v>0</x:v>
      </x:c>
      <x:c r="L341" s="50" t="n">
        <x:f>L340*(1+Inputs!$B$13)+Q341</x:f>
        <x:v>24736.7790591851</x:v>
      </x:c>
      <x:c r="M341" s="50" t="n">
        <x:f>I341+J341+L341</x:f>
        <x:v>480884.1167721983</x:v>
      </x:c>
      <x:c r="N341" s="50" t="n">
        <x:f>F341+P341</x:f>
        <x:v>0</x:v>
      </x:c>
      <x:c r="O341" s="50" t="n">
        <x:f>IF(B341=1,0,O340+F340+P340)</x:f>
        <x:v>0</x:v>
      </x:c>
      <x:c r="P341" s="50" t="n">
        <x:f>MIN(G341,MAX(0,Inputs!$B$20-O341-F341))</x:f>
        <x:v>0</x:v>
      </x:c>
      <x:c r="Q341" s="50" t="n">
        <x:f>(C341-E341-F341)+(G341-P341)</x:f>
        <x:v>0</x:v>
      </x:c>
    </x:row>
    <x:row r="342">
      <x:c r="A342" s="41" t="n">
        <x:f>IF(B342=1,A341+1,A341)</x:f>
        <x:v>2040</x:v>
      </x:c>
      <x:c r="B342" s="41" t="n">
        <x:f>IF(B341=26,1,B341+1)</x:f>
        <x:v>3</x:v>
      </x:c>
      <x:c r="C342" s="48" t="n">
        <x:f>Inputs!$F$16</x:f>
        <x:v>600</x:v>
      </x:c>
      <x:c r="D342" s="50" t="n">
        <x:f>IF(B342=1,0,D341+E341)</x:f>
        <x:v>1200</x:v>
      </x:c>
      <x:c r="E342" s="50" t="n">
        <x:f>MIN(C342,MAX(0,Inputs!$B$7-D342))</x:f>
        <x:v>600</x:v>
      </x:c>
      <x:c r="F342" s="50" t="n">
        <x:f>MIN(C342-E342,MAX(0,Inputs!$B$20-O342))</x:f>
        <x:v>0</x:v>
      </x:c>
      <x:c r="G342" s="50" t="n">
        <x:f>0</x:f>
        <x:v>0</x:v>
      </x:c>
      <x:c r="H342" s="41" t="n">
        <x:f>0</x:f>
        <x:v>0</x:v>
      </x:c>
      <x:c r="I342" s="50" t="n">
        <x:f>(I341*(1+Inputs!$B$12))+E342</x:f>
        <x:v>215939.70406984727</x:v>
      </x:c>
      <x:c r="J342" s="50" t="n">
        <x:f>(J341*(1+Inputs!$B$12))+F342+P342</x:f>
        <x:v>241664.41819258255</x:v>
      </x:c>
      <x:c r="K342" s="50" t="n">
        <x:f>(K341*(1+Inputs!$B$12))*(1-H342)</x:f>
        <x:v>0</x:v>
      </x:c>
      <x:c r="L342" s="50" t="n">
        <x:f>L341*(1+Inputs!$B$13)+Q342</x:f>
        <x:v>24780.05987247955</x:v>
      </x:c>
      <x:c r="M342" s="50" t="n">
        <x:f>I342+J342+L342</x:f>
        <x:v>482384.1821349093</x:v>
      </x:c>
      <x:c r="N342" s="50" t="n">
        <x:f>F342+P342</x:f>
        <x:v>0</x:v>
      </x:c>
      <x:c r="O342" s="50" t="n">
        <x:f>IF(B342=1,0,O341+F341+P341)</x:f>
        <x:v>0</x:v>
      </x:c>
      <x:c r="P342" s="50" t="n">
        <x:f>MIN(G342,MAX(0,Inputs!$B$20-O342-F342))</x:f>
        <x:v>0</x:v>
      </x:c>
      <x:c r="Q342" s="50" t="n">
        <x:f>(C342-E342-F342)+(G342-P342)</x:f>
        <x:v>0</x:v>
      </x:c>
    </x:row>
    <x:row r="343">
      <x:c r="A343" s="41" t="n">
        <x:f>IF(B343=1,A342+1,A342)</x:f>
        <x:v>2040</x:v>
      </x:c>
      <x:c r="B343" s="41" t="n">
        <x:f>IF(B342=26,1,B342+1)</x:f>
        <x:v>4</x:v>
      </x:c>
      <x:c r="C343" s="48" t="n">
        <x:f>Inputs!$F$16</x:f>
        <x:v>600</x:v>
      </x:c>
      <x:c r="D343" s="50" t="n">
        <x:f>IF(B343=1,0,D342+E342)</x:f>
        <x:v>1800</x:v>
      </x:c>
      <x:c r="E343" s="50" t="n">
        <x:f>MIN(C343,MAX(0,Inputs!$B$7-D343))</x:f>
        <x:v>600</x:v>
      </x:c>
      <x:c r="F343" s="50" t="n">
        <x:f>MIN(C343-E343,MAX(0,Inputs!$B$20-O343))</x:f>
        <x:v>0</x:v>
      </x:c>
      <x:c r="G343" s="50" t="n">
        <x:f>0</x:f>
        <x:v>0</x:v>
      </x:c>
      <x:c r="H343" s="41" t="n">
        <x:f>0</x:f>
        <x:v>0</x:v>
      </x:c>
      <x:c r="I343" s="50" t="n">
        <x:f>(I342*(1+Inputs!$B$12))+E343</x:f>
        <x:v>216945.3050385611</x:v>
      </x:c>
      <x:c r="J343" s="50" t="n">
        <x:f>(J342*(1+Inputs!$B$12))+F343+P343</x:f>
        <x:v>242118.33806130145</x:v>
      </x:c>
      <x:c r="K343" s="50" t="n">
        <x:f>(K342*(1+Inputs!$B$12))*(1-H343)</x:f>
        <x:v>0</x:v>
      </x:c>
      <x:c r="L343" s="50" t="n">
        <x:f>L342*(1+Inputs!$B$13)+Q343</x:f>
        <x:v>24823.416412237613</x:v>
      </x:c>
      <x:c r="M343" s="50" t="n">
        <x:f>I343+J343+L343</x:f>
        <x:v>483887.0595121002</x:v>
      </x:c>
      <x:c r="N343" s="50" t="n">
        <x:f>F343+P343</x:f>
        <x:v>0</x:v>
      </x:c>
      <x:c r="O343" s="50" t="n">
        <x:f>IF(B343=1,0,O342+F342+P342)</x:f>
        <x:v>0</x:v>
      </x:c>
      <x:c r="P343" s="50" t="n">
        <x:f>MIN(G343,MAX(0,Inputs!$B$20-O343-F343))</x:f>
        <x:v>0</x:v>
      </x:c>
      <x:c r="Q343" s="50" t="n">
        <x:f>(C343-E343-F343)+(G343-P343)</x:f>
        <x:v>0</x:v>
      </x:c>
    </x:row>
    <x:row r="344">
      <x:c r="A344" s="41" t="n">
        <x:f>IF(B344=1,A343+1,A343)</x:f>
        <x:v>2040</x:v>
      </x:c>
      <x:c r="B344" s="41" t="n">
        <x:f>IF(B343=26,1,B343+1)</x:f>
        <x:v>5</x:v>
      </x:c>
      <x:c r="C344" s="48" t="n">
        <x:f>Inputs!$F$16</x:f>
        <x:v>600</x:v>
      </x:c>
      <x:c r="D344" s="50" t="n">
        <x:f>IF(B344=1,0,D343+E343)</x:f>
        <x:v>2400</x:v>
      </x:c>
      <x:c r="E344" s="50" t="n">
        <x:f>MIN(C344,MAX(0,Inputs!$B$7-D344))</x:f>
        <x:v>600</x:v>
      </x:c>
      <x:c r="F344" s="50" t="n">
        <x:f>MIN(C344-E344,MAX(0,Inputs!$B$20-O344))</x:f>
        <x:v>0</x:v>
      </x:c>
      <x:c r="G344" s="50" t="n">
        <x:f>0</x:f>
        <x:v>0</x:v>
      </x:c>
      <x:c r="H344" s="41" t="n">
        <x:f>0</x:f>
        <x:v>0</x:v>
      </x:c>
      <x:c r="I344" s="50" t="n">
        <x:f>(I343*(1+Inputs!$B$12))+E344</x:f>
        <x:v>217952.79483419916</x:v>
      </x:c>
      <x:c r="J344" s="50" t="n">
        <x:f>(J343*(1+Inputs!$B$12))+F344+P344</x:f>
        <x:v>242573.11053070007</x:v>
      </x:c>
      <x:c r="K344" s="50" t="n">
        <x:f>(K343*(1+Inputs!$B$12))*(1-H344)</x:f>
        <x:v>0</x:v>
      </x:c>
      <x:c r="L344" s="50" t="n">
        <x:f>L343*(1+Inputs!$B$13)+Q344</x:f>
        <x:v>24866.84881095443</x:v>
      </x:c>
      <x:c r="M344" s="50" t="n">
        <x:f>I344+J344+L344</x:f>
        <x:v>485392.7541758536</x:v>
      </x:c>
      <x:c r="N344" s="50" t="n">
        <x:f>F344+P344</x:f>
        <x:v>0</x:v>
      </x:c>
      <x:c r="O344" s="50" t="n">
        <x:f>IF(B344=1,0,O343+F343+P343)</x:f>
        <x:v>0</x:v>
      </x:c>
      <x:c r="P344" s="50" t="n">
        <x:f>MIN(G344,MAX(0,Inputs!$B$20-O344-F344))</x:f>
        <x:v>0</x:v>
      </x:c>
      <x:c r="Q344" s="50" t="n">
        <x:f>(C344-E344-F344)+(G344-P344)</x:f>
        <x:v>0</x:v>
      </x:c>
    </x:row>
    <x:row r="345">
      <x:c r="A345" s="41" t="n">
        <x:f>IF(B345=1,A344+1,A344)</x:f>
        <x:v>2040</x:v>
      </x:c>
      <x:c r="B345" s="41" t="n">
        <x:f>IF(B344=26,1,B344+1)</x:f>
        <x:v>6</x:v>
      </x:c>
      <x:c r="C345" s="48" t="n">
        <x:f>Inputs!$F$16</x:f>
        <x:v>600</x:v>
      </x:c>
      <x:c r="D345" s="50" t="n">
        <x:f>IF(B345=1,0,D344+E344)</x:f>
        <x:v>3000</x:v>
      </x:c>
      <x:c r="E345" s="50" t="n">
        <x:f>MIN(C345,MAX(0,Inputs!$B$7-D345))</x:f>
        <x:v>600</x:v>
      </x:c>
      <x:c r="F345" s="50" t="n">
        <x:f>MIN(C345-E345,MAX(0,Inputs!$B$20-O345))</x:f>
        <x:v>0</x:v>
      </x:c>
      <x:c r="G345" s="50" t="n">
        <x:f>0</x:f>
        <x:v>0</x:v>
      </x:c>
      <x:c r="H345" s="41" t="n">
        <x:f>0</x:f>
        <x:v>0</x:v>
      </x:c>
      <x:c r="I345" s="50" t="n">
        <x:f>(I344*(1+Inputs!$B$12))+E345</x:f>
        <x:v>218962.17700455745</x:v>
      </x:c>
      <x:c r="J345" s="50" t="n">
        <x:f>(J344*(1+Inputs!$B$12))+F345+P345</x:f>
        <x:v>243028.73720222389</x:v>
      </x:c>
      <x:c r="K345" s="50" t="n">
        <x:f>(K344*(1+Inputs!$B$12))*(1-H345)</x:f>
        <x:v>0</x:v>
      </x:c>
      <x:c r="L345" s="50" t="n">
        <x:f>L344*(1+Inputs!$B$13)+Q345</x:f>
        <x:v>24910.35720135696</x:v>
      </x:c>
      <x:c r="M345" s="50" t="n">
        <x:f>I345+J345+L345</x:f>
        <x:v>486901.2714081383</x:v>
      </x:c>
      <x:c r="N345" s="50" t="n">
        <x:f>F345+P345</x:f>
        <x:v>0</x:v>
      </x:c>
      <x:c r="O345" s="50" t="n">
        <x:f>IF(B345=1,0,O344+F344+P344)</x:f>
        <x:v>0</x:v>
      </x:c>
      <x:c r="P345" s="50" t="n">
        <x:f>MIN(G345,MAX(0,Inputs!$B$20-O345-F345))</x:f>
        <x:v>0</x:v>
      </x:c>
      <x:c r="Q345" s="50" t="n">
        <x:f>(C345-E345-F345)+(G345-P345)</x:f>
        <x:v>0</x:v>
      </x:c>
    </x:row>
    <x:row r="346">
      <x:c r="A346" s="41" t="n">
        <x:f>IF(B346=1,A345+1,A345)</x:f>
        <x:v>2040</x:v>
      </x:c>
      <x:c r="B346" s="41" t="n">
        <x:f>IF(B345=26,1,B345+1)</x:f>
        <x:v>7</x:v>
      </x:c>
      <x:c r="C346" s="48" t="n">
        <x:f>Inputs!$F$16</x:f>
        <x:v>600</x:v>
      </x:c>
      <x:c r="D346" s="50" t="n">
        <x:f>IF(B346=1,0,D345+E345)</x:f>
        <x:v>3600</x:v>
      </x:c>
      <x:c r="E346" s="50" t="n">
        <x:f>MIN(C346,MAX(0,Inputs!$B$7-D346))</x:f>
        <x:v>600</x:v>
      </x:c>
      <x:c r="F346" s="50" t="n">
        <x:f>MIN(C346-E346,MAX(0,Inputs!$B$20-O346))</x:f>
        <x:v>0</x:v>
      </x:c>
      <x:c r="G346" s="50" t="n">
        <x:f>0</x:f>
        <x:v>0</x:v>
      </x:c>
      <x:c r="H346" s="41" t="n">
        <x:f>0</x:f>
        <x:v>0</x:v>
      </x:c>
      <x:c r="I346" s="50" t="n">
        <x:f>(I345*(1+Inputs!$B$12))+E346</x:f>
        <x:v>219973.4551040959</x:v>
      </x:c>
      <x:c r="J346" s="50" t="n">
        <x:f>(J345*(1+Inputs!$B$12))+F346+P346</x:f>
        <x:v>243485.21968032638</x:v>
      </x:c>
      <x:c r="K346" s="50" t="n">
        <x:f>(K345*(1+Inputs!$B$12))*(1-H346)</x:f>
        <x:v>0</x:v>
      </x:c>
      <x:c r="L346" s="50" t="n">
        <x:f>L345*(1+Inputs!$B$13)+Q346</x:f>
        <x:v>24953.941716404388</x:v>
      </x:c>
      <x:c r="M346" s="50" t="n">
        <x:f>I346+J346+L346</x:f>
        <x:v>488412.61650082667</x:v>
      </x:c>
      <x:c r="N346" s="50" t="n">
        <x:f>F346+P346</x:f>
        <x:v>0</x:v>
      </x:c>
      <x:c r="O346" s="50" t="n">
        <x:f>IF(B346=1,0,O345+F345+P345)</x:f>
        <x:v>0</x:v>
      </x:c>
      <x:c r="P346" s="50" t="n">
        <x:f>MIN(G346,MAX(0,Inputs!$B$20-O346-F346))</x:f>
        <x:v>0</x:v>
      </x:c>
      <x:c r="Q346" s="50" t="n">
        <x:f>(C346-E346-F346)+(G346-P346)</x:f>
        <x:v>0</x:v>
      </x:c>
    </x:row>
    <x:row r="347">
      <x:c r="A347" s="41" t="n">
        <x:f>IF(B347=1,A346+1,A346)</x:f>
        <x:v>2040</x:v>
      </x:c>
      <x:c r="B347" s="41" t="n">
        <x:f>IF(B346=26,1,B346+1)</x:f>
        <x:v>8</x:v>
      </x:c>
      <x:c r="C347" s="48" t="n">
        <x:f>Inputs!$F$16</x:f>
        <x:v>600</x:v>
      </x:c>
      <x:c r="D347" s="50" t="n">
        <x:f>IF(B347=1,0,D346+E346)</x:f>
        <x:v>4200</x:v>
      </x:c>
      <x:c r="E347" s="50" t="n">
        <x:f>MIN(C347,MAX(0,Inputs!$B$7-D347))</x:f>
        <x:v>600</x:v>
      </x:c>
      <x:c r="F347" s="50" t="n">
        <x:f>MIN(C347-E347,MAX(0,Inputs!$B$20-O347))</x:f>
        <x:v>0</x:v>
      </x:c>
      <x:c r="G347" s="50" t="n">
        <x:f>0</x:f>
        <x:v>0</x:v>
      </x:c>
      <x:c r="H347" s="41" t="n">
        <x:f>0</x:f>
        <x:v>0</x:v>
      </x:c>
      <x:c r="I347" s="50" t="n">
        <x:f>(I346*(1+Inputs!$B$12))+E347</x:f>
        <x:v>220986.63269395076</x:v>
      </x:c>
      <x:c r="J347" s="50" t="n">
        <x:f>(J346*(1+Inputs!$B$12))+F347+P347</x:f>
        <x:v>243942.55957247468</x:v>
      </x:c>
      <x:c r="K347" s="50" t="n">
        <x:f>(K346*(1+Inputs!$B$12))*(1-H347)</x:f>
        <x:v>0</x:v>
      </x:c>
      <x:c r="L347" s="50" t="n">
        <x:f>L346*(1+Inputs!$B$13)+Q347</x:f>
        <x:v>24997.60248928853</x:v>
      </x:c>
      <x:c r="M347" s="50" t="n">
        <x:f>I347+J347+L347</x:f>
        <x:v>489926.794755714</x:v>
      </x:c>
      <x:c r="N347" s="50" t="n">
        <x:f>F347+P347</x:f>
        <x:v>0</x:v>
      </x:c>
      <x:c r="O347" s="50" t="n">
        <x:f>IF(B347=1,0,O346+F346+P346)</x:f>
        <x:v>0</x:v>
      </x:c>
      <x:c r="P347" s="50" t="n">
        <x:f>MIN(G347,MAX(0,Inputs!$B$20-O347-F347))</x:f>
        <x:v>0</x:v>
      </x:c>
      <x:c r="Q347" s="50" t="n">
        <x:f>(C347-E347-F347)+(G347-P347)</x:f>
        <x:v>0</x:v>
      </x:c>
    </x:row>
    <x:row r="348">
      <x:c r="A348" s="41" t="n">
        <x:f>IF(B348=1,A347+1,A347)</x:f>
        <x:v>2040</x:v>
      </x:c>
      <x:c r="B348" s="41" t="n">
        <x:f>IF(B347=26,1,B347+1)</x:f>
        <x:v>9</x:v>
      </x:c>
      <x:c r="C348" s="48" t="n">
        <x:f>Inputs!$F$16</x:f>
        <x:v>600</x:v>
      </x:c>
      <x:c r="D348" s="50" t="n">
        <x:f>IF(B348=1,0,D347+E347)</x:f>
        <x:v>4800</x:v>
      </x:c>
      <x:c r="E348" s="50" t="n">
        <x:f>MIN(C348,MAX(0,Inputs!$B$7-D348))</x:f>
        <x:v>600</x:v>
      </x:c>
      <x:c r="F348" s="50" t="n">
        <x:f>MIN(C348-E348,MAX(0,Inputs!$B$20-O348))</x:f>
        <x:v>0</x:v>
      </x:c>
      <x:c r="G348" s="50" t="n">
        <x:f>SUM(N314:N339)*Inputs!$B$6</x:f>
        <x:v>3257.14488168</x:v>
      </x:c>
      <x:c r="H348" s="41" t="n">
        <x:f>0</x:f>
        <x:v>0</x:v>
      </x:c>
      <x:c r="I348" s="50" t="n">
        <x:f>(I347*(1+Inputs!$B$12))+E348</x:f>
        <x:v>222001.7133419472</x:v>
      </x:c>
      <x:c r="J348" s="50" t="n">
        <x:f>(J347*(1+Inputs!$B$12))+F348+P348</x:f>
        <x:v>247657.90337083527</x:v>
      </x:c>
      <x:c r="K348" s="50" t="n">
        <x:f>(K347*(1+Inputs!$B$12))*(1-H348)</x:f>
        <x:v>0</x:v>
      </x:c>
      <x:c r="L348" s="50" t="n">
        <x:f>L347*(1+Inputs!$B$13)+Q348</x:f>
        <x:v>25041.33965343424</x:v>
      </x:c>
      <x:c r="M348" s="50" t="n">
        <x:f>I348+J348+L348</x:f>
        <x:v>494700.9563662167</x:v>
      </x:c>
      <x:c r="N348" s="50" t="n">
        <x:f>F348+P348</x:f>
        <x:v>3257.14488168</x:v>
      </x:c>
      <x:c r="O348" s="50" t="n">
        <x:f>IF(B348=1,0,O347+F347+P347)</x:f>
        <x:v>0</x:v>
      </x:c>
      <x:c r="P348" s="50" t="n">
        <x:f>MIN(G348,MAX(0,Inputs!$B$20-O348-F348))</x:f>
        <x:v>3257.14488168</x:v>
      </x:c>
      <x:c r="Q348" s="50" t="n">
        <x:f>(C348-E348-F348)+(G348-P348)</x:f>
        <x:v>0</x:v>
      </x:c>
    </x:row>
    <x:row r="349">
      <x:c r="A349" s="41" t="n">
        <x:f>IF(B349=1,A348+1,A348)</x:f>
        <x:v>2040</x:v>
      </x:c>
      <x:c r="B349" s="41" t="n">
        <x:f>IF(B348=26,1,B348+1)</x:f>
        <x:v>10</x:v>
      </x:c>
      <x:c r="C349" s="48" t="n">
        <x:f>Inputs!$F$16</x:f>
        <x:v>600</x:v>
      </x:c>
      <x:c r="D349" s="50" t="n">
        <x:f>IF(B349=1,0,D348+E348)</x:f>
        <x:v>5400</x:v>
      </x:c>
      <x:c r="E349" s="50" t="n">
        <x:f>MIN(C349,MAX(0,Inputs!$B$7-D349))</x:f>
        <x:v>600</x:v>
      </x:c>
      <x:c r="F349" s="50" t="n">
        <x:f>MIN(C349-E349,MAX(0,Inputs!$B$20-O349))</x:f>
        <x:v>0</x:v>
      </x:c>
      <x:c r="G349" s="50" t="n">
        <x:f>0</x:f>
        <x:v>0</x:v>
      </x:c>
      <x:c r="H349" s="41" t="n">
        <x:f>0</x:f>
        <x:v>0</x:v>
      </x:c>
      <x:c r="I349" s="50" t="n">
        <x:f>(I348*(1+Inputs!$B$12))+E349</x:f>
        <x:v>223018.7006226119</x:v>
      </x:c>
      <x:c r="J349" s="50" t="n">
        <x:f>(J348*(1+Inputs!$B$12))+F349+P349</x:f>
        <x:v>248123.0808422481</x:v>
      </x:c>
      <x:c r="K349" s="50" t="n">
        <x:f>(K348*(1+Inputs!$B$12))*(1-H349)</x:f>
        <x:v>0</x:v>
      </x:c>
      <x:c r="L349" s="50" t="n">
        <x:f>L348*(1+Inputs!$B$13)+Q349</x:f>
        <x:v>25085.15334249982</x:v>
      </x:c>
      <x:c r="M349" s="50" t="n">
        <x:f>I349+J349+L349</x:f>
        <x:v>496226.9348073598</x:v>
      </x:c>
      <x:c r="N349" s="50" t="n">
        <x:f>F349+P349</x:f>
        <x:v>0</x:v>
      </x:c>
      <x:c r="O349" s="50" t="n">
        <x:f>IF(B349=1,0,O348+F348+P348)</x:f>
        <x:v>3257.14488168</x:v>
      </x:c>
      <x:c r="P349" s="50" t="n">
        <x:f>MIN(G349,MAX(0,Inputs!$B$20-O349-F349))</x:f>
        <x:v>0</x:v>
      </x:c>
      <x:c r="Q349" s="50" t="n">
        <x:f>(C349-E349-F349)+(G349-P349)</x:f>
        <x:v>0</x:v>
      </x:c>
    </x:row>
    <x:row r="350">
      <x:c r="A350" s="41" t="n">
        <x:f>IF(B350=1,A349+1,A349)</x:f>
        <x:v>2040</x:v>
      </x:c>
      <x:c r="B350" s="41" t="n">
        <x:f>IF(B349=26,1,B349+1)</x:f>
        <x:v>11</x:v>
      </x:c>
      <x:c r="C350" s="48" t="n">
        <x:f>Inputs!$F$16</x:f>
        <x:v>600</x:v>
      </x:c>
      <x:c r="D350" s="50" t="n">
        <x:f>IF(B350=1,0,D349+E349)</x:f>
        <x:v>6000</x:v>
      </x:c>
      <x:c r="E350" s="50" t="n">
        <x:f>MIN(C350,MAX(0,Inputs!$B$7-D350))</x:f>
        <x:v>600</x:v>
      </x:c>
      <x:c r="F350" s="50" t="n">
        <x:f>MIN(C350-E350,MAX(0,Inputs!$B$20-O350))</x:f>
        <x:v>0</x:v>
      </x:c>
      <x:c r="G350" s="50" t="n">
        <x:f>0</x:f>
        <x:v>0</x:v>
      </x:c>
      <x:c r="H350" s="41" t="n">
        <x:f>0</x:f>
        <x:v>0</x:v>
      </x:c>
      <x:c r="I350" s="50" t="n">
        <x:f>(I349*(1+Inputs!$B$12))+E350</x:f>
        <x:v>224037.59811718555</x:v>
      </x:c>
      <x:c r="J350" s="50" t="n">
        <x:f>(J349*(1+Inputs!$B$12))+F350+P350</x:f>
        <x:v>248589.13205957</x:v>
      </x:c>
      <x:c r="K350" s="50" t="n">
        <x:f>(K349*(1+Inputs!$B$12))*(1-H350)</x:f>
        <x:v>0</x:v>
      </x:c>
      <x:c r="L350" s="50" t="n">
        <x:f>L349*(1+Inputs!$B$13)+Q350</x:f>
        <x:v>25129.043690377435</x:v>
      </x:c>
      <x:c r="M350" s="50" t="n">
        <x:f>I350+J350+L350</x:f>
        <x:v>497755.773867133</x:v>
      </x:c>
      <x:c r="N350" s="50" t="n">
        <x:f>F350+P350</x:f>
        <x:v>0</x:v>
      </x:c>
      <x:c r="O350" s="50" t="n">
        <x:f>IF(B350=1,0,O349+F349+P349)</x:f>
        <x:v>3257.14488168</x:v>
      </x:c>
      <x:c r="P350" s="50" t="n">
        <x:f>MIN(G350,MAX(0,Inputs!$B$20-O350-F350))</x:f>
        <x:v>0</x:v>
      </x:c>
      <x:c r="Q350" s="50" t="n">
        <x:f>(C350-E350-F350)+(G350-P350)</x:f>
        <x:v>0</x:v>
      </x:c>
    </x:row>
    <x:row r="351">
      <x:c r="A351" s="41" t="n">
        <x:f>IF(B351=1,A350+1,A350)</x:f>
        <x:v>2040</x:v>
      </x:c>
      <x:c r="B351" s="41" t="n">
        <x:f>IF(B350=26,1,B350+1)</x:f>
        <x:v>12</x:v>
      </x:c>
      <x:c r="C351" s="48" t="n">
        <x:f>Inputs!$F$16</x:f>
        <x:v>600</x:v>
      </x:c>
      <x:c r="D351" s="50" t="n">
        <x:f>IF(B351=1,0,D350+E350)</x:f>
        <x:v>6600</x:v>
      </x:c>
      <x:c r="E351" s="50" t="n">
        <x:f>MIN(C351,MAX(0,Inputs!$B$7-D351))</x:f>
        <x:v>600</x:v>
      </x:c>
      <x:c r="F351" s="50" t="n">
        <x:f>MIN(C351-E351,MAX(0,Inputs!$B$20-O351))</x:f>
        <x:v>0</x:v>
      </x:c>
      <x:c r="G351" s="50" t="n">
        <x:f>0</x:f>
        <x:v>0</x:v>
      </x:c>
      <x:c r="H351" s="41" t="n">
        <x:f>0</x:f>
        <x:v>0</x:v>
      </x:c>
      <x:c r="I351" s="50" t="n">
        <x:f>(I350*(1+Inputs!$B$12))+E351</x:f>
        <x:v>225058.40941363553</x:v>
      </x:c>
      <x:c r="J351" s="50" t="n">
        <x:f>(J350*(1+Inputs!$B$12))+F351+P351</x:f>
        <x:v>249056.0586639636</x:v>
      </x:c>
      <x:c r="K351" s="50" t="n">
        <x:f>(K350*(1+Inputs!$B$12))*(1-H351)</x:f>
        <x:v>0</x:v>
      </x:c>
      <x:c r="L351" s="50" t="n">
        <x:f>L350*(1+Inputs!$B$13)+Q351</x:f>
        <x:v>25173.010831193507</x:v>
      </x:c>
      <x:c r="M351" s="50" t="n">
        <x:f>I351+J351+L351</x:f>
        <x:v>499287.47890879266</x:v>
      </x:c>
      <x:c r="N351" s="50" t="n">
        <x:f>F351+P351</x:f>
        <x:v>0</x:v>
      </x:c>
      <x:c r="O351" s="50" t="n">
        <x:f>IF(B351=1,0,O350+F350+P350)</x:f>
        <x:v>3257.14488168</x:v>
      </x:c>
      <x:c r="P351" s="50" t="n">
        <x:f>MIN(G351,MAX(0,Inputs!$B$20-O351-F351))</x:f>
        <x:v>0</x:v>
      </x:c>
      <x:c r="Q351" s="50" t="n">
        <x:f>(C351-E351-F351)+(G351-P351)</x:f>
        <x:v>0</x:v>
      </x:c>
    </x:row>
    <x:row r="352">
      <x:c r="A352" s="41" t="n">
        <x:f>IF(B352=1,A351+1,A351)</x:f>
        <x:v>2040</x:v>
      </x:c>
      <x:c r="B352" s="41" t="n">
        <x:f>IF(B351=26,1,B351+1)</x:f>
        <x:v>13</x:v>
      </x:c>
      <x:c r="C352" s="48" t="n">
        <x:f>Inputs!$F$16</x:f>
        <x:v>600</x:v>
      </x:c>
      <x:c r="D352" s="50" t="n">
        <x:f>IF(B352=1,0,D351+E351)</x:f>
        <x:v>7200</x:v>
      </x:c>
      <x:c r="E352" s="50" t="n">
        <x:f>MIN(C352,MAX(0,Inputs!$B$7-D352))</x:f>
        <x:v>600</x:v>
      </x:c>
      <x:c r="F352" s="50" t="n">
        <x:f>MIN(C352-E352,MAX(0,Inputs!$B$20-O352))</x:f>
        <x:v>0</x:v>
      </x:c>
      <x:c r="G352" s="50" t="n">
        <x:f>0</x:f>
        <x:v>0</x:v>
      </x:c>
      <x:c r="H352" s="41" t="n">
        <x:f>0</x:f>
        <x:v>0</x:v>
      </x:c>
      <x:c r="I352" s="50" t="n">
        <x:f>(I351*(1+Inputs!$B$12))+E352</x:f>
        <x:v>226081.13810666848</x:v>
      </x:c>
      <x:c r="J352" s="50" t="n">
        <x:f>(J351*(1+Inputs!$B$12))+F352+P352</x:f>
        <x:v>249523.86229967425</x:v>
      </x:c>
      <x:c r="K352" s="50" t="n">
        <x:f>(K351*(1+Inputs!$B$12))*(1-H352)</x:f>
        <x:v>0</x:v>
      </x:c>
      <x:c r="L352" s="50" t="n">
        <x:f>L351*(1+Inputs!$B$13)+Q352</x:f>
        <x:v>25217.054899309136</x:v>
      </x:c>
      <x:c r="M352" s="50" t="n">
        <x:f>I352+J352+L352</x:f>
        <x:v>500822.05530565185</x:v>
      </x:c>
      <x:c r="N352" s="50" t="n">
        <x:f>F352+P352</x:f>
        <x:v>0</x:v>
      </x:c>
      <x:c r="O352" s="50" t="n">
        <x:f>IF(B352=1,0,O351+F351+P351)</x:f>
        <x:v>3257.14488168</x:v>
      </x:c>
      <x:c r="P352" s="50" t="n">
        <x:f>MIN(G352,MAX(0,Inputs!$B$20-O352-F352))</x:f>
        <x:v>0</x:v>
      </x:c>
      <x:c r="Q352" s="50" t="n">
        <x:f>(C352-E352-F352)+(G352-P352)</x:f>
        <x:v>0</x:v>
      </x:c>
    </x:row>
    <x:row r="353">
      <x:c r="A353" s="41" t="n">
        <x:f>IF(B353=1,A352+1,A352)</x:f>
        <x:v>2040</x:v>
      </x:c>
      <x:c r="B353" s="41" t="n">
        <x:f>IF(B352=26,1,B352+1)</x:f>
        <x:v>14</x:v>
      </x:c>
      <x:c r="C353" s="48" t="n">
        <x:f>Inputs!$F$16</x:f>
        <x:v>600</x:v>
      </x:c>
      <x:c r="D353" s="50" t="n">
        <x:f>IF(B353=1,0,D352+E352)</x:f>
        <x:v>7800</x:v>
      </x:c>
      <x:c r="E353" s="50" t="n">
        <x:f>MIN(C353,MAX(0,Inputs!$B$7-D353))</x:f>
        <x:v>200</x:v>
      </x:c>
      <x:c r="F353" s="50" t="n">
        <x:f>MIN(C353-E353,MAX(0,Inputs!$B$20-O353))</x:f>
        <x:v>400</x:v>
      </x:c>
      <x:c r="G353" s="50" t="n">
        <x:f>0</x:f>
        <x:v>0</x:v>
      </x:c>
      <x:c r="H353" s="41" t="n">
        <x:f>0</x:f>
        <x:v>0</x:v>
      </x:c>
      <x:c r="I353" s="50" t="n">
        <x:f>(I352*(1+Inputs!$B$12))+E353</x:f>
        <x:v>226705.78779774305</x:v>
      </x:c>
      <x:c r="J353" s="50" t="n">
        <x:f>(J352*(1+Inputs!$B$12))+F353+P353</x:f>
        <x:v>250392.54461403564</x:v>
      </x:c>
      <x:c r="K353" s="50" t="n">
        <x:f>(K352*(1+Inputs!$B$12))*(1-H353)</x:f>
        <x:v>0</x:v>
      </x:c>
      <x:c r="L353" s="50" t="n">
        <x:f>L352*(1+Inputs!$B$13)+Q353</x:f>
        <x:v>25261.176029320504</x:v>
      </x:c>
      <x:c r="M353" s="50" t="n">
        <x:f>I353+J353+L353</x:f>
        <x:v>502359.5084410992</x:v>
      </x:c>
      <x:c r="N353" s="50" t="n">
        <x:f>F353+P353</x:f>
        <x:v>400</x:v>
      </x:c>
      <x:c r="O353" s="50" t="n">
        <x:f>IF(B353=1,0,O352+F352+P352)</x:f>
        <x:v>3257.14488168</x:v>
      </x:c>
      <x:c r="P353" s="50" t="n">
        <x:f>MIN(G353,MAX(0,Inputs!$B$20-O353-F353))</x:f>
        <x:v>0</x:v>
      </x:c>
      <x:c r="Q353" s="50" t="n">
        <x:f>(C353-E353-F353)+(G353-P353)</x:f>
        <x:v>0</x:v>
      </x:c>
    </x:row>
    <x:row r="354">
      <x:c r="A354" s="41" t="n">
        <x:f>IF(B354=1,A353+1,A353)</x:f>
        <x:v>2040</x:v>
      </x:c>
      <x:c r="B354" s="41" t="n">
        <x:f>IF(B353=26,1,B353+1)</x:f>
        <x:v>15</x:v>
      </x:c>
      <x:c r="C354" s="48" t="n">
        <x:f>Inputs!$F$16</x:f>
        <x:v>600</x:v>
      </x:c>
      <x:c r="D354" s="50" t="n">
        <x:f>IF(B354=1,0,D353+E353)</x:f>
        <x:v>8000</x:v>
      </x:c>
      <x:c r="E354" s="50" t="n">
        <x:f>MIN(C354,MAX(0,Inputs!$B$7-D354))</x:f>
        <x:v>0</x:v>
      </x:c>
      <x:c r="F354" s="50" t="n">
        <x:f>MIN(C354-E354,MAX(0,Inputs!$B$20-O354))</x:f>
        <x:v>600</x:v>
      </x:c>
      <x:c r="G354" s="50" t="n">
        <x:f>0</x:f>
        <x:v>0</x:v>
      </x:c>
      <x:c r="H354" s="41" t="n">
        <x:f>0</x:f>
        <x:v>0</x:v>
      </x:c>
      <x:c r="I354" s="50" t="n">
        <x:f>(I353*(1+Inputs!$B$12))+E354</x:f>
        <x:v>227131.6107724474</x:v>
      </x:c>
      <x:c r="J354" s="50" t="n">
        <x:f>(J353*(1+Inputs!$B$12))+F354+P354</x:f>
        <x:v>251462.85858011074</x:v>
      </x:c>
      <x:c r="K354" s="50" t="n">
        <x:f>(K353*(1+Inputs!$B$12))*(1-H354)</x:f>
        <x:v>0</x:v>
      </x:c>
      <x:c r="L354" s="50" t="n">
        <x:f>L353*(1+Inputs!$B$13)+Q354</x:f>
        <x:v>25305.3743560593</x:v>
      </x:c>
      <x:c r="M354" s="50" t="n">
        <x:f>I354+J354+L354</x:f>
        <x:v>503899.84370861744</x:v>
      </x:c>
      <x:c r="N354" s="50" t="n">
        <x:f>F354+P354</x:f>
        <x:v>600</x:v>
      </x:c>
      <x:c r="O354" s="50" t="n">
        <x:f>IF(B354=1,0,O353+F353+P353)</x:f>
        <x:v>3657.14488168</x:v>
      </x:c>
      <x:c r="P354" s="50" t="n">
        <x:f>MIN(G354,MAX(0,Inputs!$B$20-O354-F354))</x:f>
        <x:v>0</x:v>
      </x:c>
      <x:c r="Q354" s="50" t="n">
        <x:f>(C354-E354-F354)+(G354-P354)</x:f>
        <x:v>0</x:v>
      </x:c>
    </x:row>
    <x:row r="355">
      <x:c r="A355" s="41" t="n">
        <x:f>IF(B355=1,A354+1,A354)</x:f>
        <x:v>2040</x:v>
      </x:c>
      <x:c r="B355" s="41" t="n">
        <x:f>IF(B354=26,1,B354+1)</x:f>
        <x:v>16</x:v>
      </x:c>
      <x:c r="C355" s="48" t="n">
        <x:f>Inputs!$F$16</x:f>
        <x:v>600</x:v>
      </x:c>
      <x:c r="D355" s="50" t="n">
        <x:f>IF(B355=1,0,D354+E354)</x:f>
        <x:v>8000</x:v>
      </x:c>
      <x:c r="E355" s="50" t="n">
        <x:f>MIN(C355,MAX(0,Inputs!$B$7-D355))</x:f>
        <x:v>0</x:v>
      </x:c>
      <x:c r="F355" s="50" t="n">
        <x:f>MIN(C355-E355,MAX(0,Inputs!$B$20-O355))</x:f>
        <x:v>600</x:v>
      </x:c>
      <x:c r="G355" s="50" t="n">
        <x:f>0</x:f>
        <x:v>0</x:v>
      </x:c>
      <x:c r="H355" s="41" t="n">
        <x:f>0</x:f>
        <x:v>0</x:v>
      </x:c>
      <x:c r="I355" s="50" t="n">
        <x:f>(I354*(1+Inputs!$B$12))+E355</x:f>
        <x:v>227558.23357325036</x:v>
      </x:c>
      <x:c r="J355" s="50" t="n">
        <x:f>(J354*(1+Inputs!$B$12))+F355+P355</x:f>
        <x:v>252535.1829239593</x:v>
      </x:c>
      <x:c r="K355" s="50" t="n">
        <x:f>(K354*(1+Inputs!$B$12))*(1-H355)</x:f>
        <x:v>0</x:v>
      </x:c>
      <x:c r="L355" s="50" t="n">
        <x:f>L354*(1+Inputs!$B$13)+Q355</x:f>
        <x:v>25349.650014593106</x:v>
      </x:c>
      <x:c r="M355" s="50" t="n">
        <x:f>I355+J355+L355</x:f>
        <x:v>505443.0665118028</x:v>
      </x:c>
      <x:c r="N355" s="50" t="n">
        <x:f>F355+P355</x:f>
        <x:v>600</x:v>
      </x:c>
      <x:c r="O355" s="50" t="n">
        <x:f>IF(B355=1,0,O354+F354+P354)</x:f>
        <x:v>4257.14488168</x:v>
      </x:c>
      <x:c r="P355" s="50" t="n">
        <x:f>MIN(G355,MAX(0,Inputs!$B$20-O355-F355))</x:f>
        <x:v>0</x:v>
      </x:c>
      <x:c r="Q355" s="50" t="n">
        <x:f>(C355-E355-F355)+(G355-P355)</x:f>
        <x:v>0</x:v>
      </x:c>
    </x:row>
    <x:row r="356">
      <x:c r="A356" s="41" t="n">
        <x:f>IF(B356=1,A355+1,A355)</x:f>
        <x:v>2040</x:v>
      </x:c>
      <x:c r="B356" s="41" t="n">
        <x:f>IF(B355=26,1,B355+1)</x:f>
        <x:v>17</x:v>
      </x:c>
      <x:c r="C356" s="48" t="n">
        <x:f>Inputs!$F$16</x:f>
        <x:v>600</x:v>
      </x:c>
      <x:c r="D356" s="50" t="n">
        <x:f>IF(B356=1,0,D355+E355)</x:f>
        <x:v>8000</x:v>
      </x:c>
      <x:c r="E356" s="50" t="n">
        <x:f>MIN(C356,MAX(0,Inputs!$B$7-D356))</x:f>
        <x:v>0</x:v>
      </x:c>
      <x:c r="F356" s="50" t="n">
        <x:f>MIN(C356-E356,MAX(0,Inputs!$B$20-O356))</x:f>
        <x:v>600</x:v>
      </x:c>
      <x:c r="G356" s="50" t="n">
        <x:f>0</x:f>
        <x:v>0</x:v>
      </x:c>
      <x:c r="H356" s="41" t="n">
        <x:f>0</x:f>
        <x:v>0</x:v>
      </x:c>
      <x:c r="I356" s="50" t="n">
        <x:f>(I355*(1+Inputs!$B$12))+E356</x:f>
        <x:v>227985.65770247055</x:v>
      </x:c>
      <x:c r="J356" s="50" t="n">
        <x:f>(J355*(1+Inputs!$B$12))+F356+P356</x:f>
        <x:v>253609.52142168715</x:v>
      </x:c>
      <x:c r="K356" s="50" t="n">
        <x:f>(K355*(1+Inputs!$B$12))*(1-H356)</x:f>
        <x:v>0</x:v>
      </x:c>
      <x:c r="L356" s="50" t="n">
        <x:f>L355*(1+Inputs!$B$13)+Q356</x:f>
        <x:v>25394.00314022584</x:v>
      </x:c>
      <x:c r="M356" s="50" t="n">
        <x:f>I356+J356+L356</x:f>
        <x:v>506989.18226438353</x:v>
      </x:c>
      <x:c r="N356" s="50" t="n">
        <x:f>F356+P356</x:f>
        <x:v>600</x:v>
      </x:c>
      <x:c r="O356" s="50" t="n">
        <x:f>IF(B356=1,0,O355+F355+P355)</x:f>
        <x:v>4857.14488168</x:v>
      </x:c>
      <x:c r="P356" s="50" t="n">
        <x:f>MIN(G356,MAX(0,Inputs!$B$20-O356-F356))</x:f>
        <x:v>0</x:v>
      </x:c>
      <x:c r="Q356" s="50" t="n">
        <x:f>(C356-E356-F356)+(G356-P356)</x:f>
        <x:v>0</x:v>
      </x:c>
    </x:row>
    <x:row r="357">
      <x:c r="A357" s="41" t="n">
        <x:f>IF(B357=1,A356+1,A356)</x:f>
        <x:v>2040</x:v>
      </x:c>
      <x:c r="B357" s="41" t="n">
        <x:f>IF(B356=26,1,B356+1)</x:f>
        <x:v>18</x:v>
      </x:c>
      <x:c r="C357" s="48" t="n">
        <x:f>Inputs!$F$16</x:f>
        <x:v>600</x:v>
      </x:c>
      <x:c r="D357" s="50" t="n">
        <x:f>IF(B357=1,0,D356+E356)</x:f>
        <x:v>8000</x:v>
      </x:c>
      <x:c r="E357" s="50" t="n">
        <x:f>MIN(C357,MAX(0,Inputs!$B$7-D357))</x:f>
        <x:v>0</x:v>
      </x:c>
      <x:c r="F357" s="50" t="n">
        <x:f>MIN(C357-E357,MAX(0,Inputs!$B$20-O357))</x:f>
        <x:v>600</x:v>
      </x:c>
      <x:c r="G357" s="50" t="n">
        <x:f>0</x:f>
        <x:v>0</x:v>
      </x:c>
      <x:c r="H357" s="41" t="n">
        <x:f>0</x:f>
        <x:v>0</x:v>
      </x:c>
      <x:c r="I357" s="50" t="n">
        <x:f>(I356*(1+Inputs!$B$12))+E357</x:f>
        <x:v>228413.88466524842</x:v>
      </x:c>
      <x:c r="J357" s="50" t="n">
        <x:f>(J356*(1+Inputs!$B$12))+F357+P357</x:f>
        <x:v>254685.87785649276</x:v>
      </x:c>
      <x:c r="K357" s="50" t="n">
        <x:f>(K356*(1+Inputs!$B$12))*(1-H357)</x:f>
        <x:v>0</x:v>
      </x:c>
      <x:c r="L357" s="50" t="n">
        <x:f>L356*(1+Inputs!$B$13)+Q357</x:f>
        <x:v>25438.433868498145</x:v>
      </x:c>
      <x:c r="M357" s="50" t="n">
        <x:f>I357+J357+L357</x:f>
        <x:v>508538.19639023935</x:v>
      </x:c>
      <x:c r="N357" s="50" t="n">
        <x:f>F357+P357</x:f>
        <x:v>600</x:v>
      </x:c>
      <x:c r="O357" s="50" t="n">
        <x:f>IF(B357=1,0,O356+F356+P356)</x:f>
        <x:v>5457.14488168</x:v>
      </x:c>
      <x:c r="P357" s="50" t="n">
        <x:f>MIN(G357,MAX(0,Inputs!$B$20-O357-F357))</x:f>
        <x:v>0</x:v>
      </x:c>
      <x:c r="Q357" s="50" t="n">
        <x:f>(C357-E357-F357)+(G357-P357)</x:f>
        <x:v>0</x:v>
      </x:c>
    </x:row>
    <x:row r="358">
      <x:c r="A358" s="41" t="n">
        <x:f>IF(B358=1,A357+1,A357)</x:f>
        <x:v>2040</x:v>
      </x:c>
      <x:c r="B358" s="41" t="n">
        <x:f>IF(B357=26,1,B357+1)</x:f>
        <x:v>19</x:v>
      </x:c>
      <x:c r="C358" s="48" t="n">
        <x:f>Inputs!$F$16</x:f>
        <x:v>600</x:v>
      </x:c>
      <x:c r="D358" s="50" t="n">
        <x:f>IF(B358=1,0,D357+E357)</x:f>
        <x:v>8000</x:v>
      </x:c>
      <x:c r="E358" s="50" t="n">
        <x:f>MIN(C358,MAX(0,Inputs!$B$7-D358))</x:f>
        <x:v>0</x:v>
      </x:c>
      <x:c r="F358" s="50" t="n">
        <x:f>MIN(C358-E358,MAX(0,Inputs!$B$20-O358))</x:f>
        <x:v>600</x:v>
      </x:c>
      <x:c r="G358" s="50" t="n">
        <x:f>0</x:f>
        <x:v>0</x:v>
      </x:c>
      <x:c r="H358" s="41" t="n">
        <x:f>0</x:f>
        <x:v>0</x:v>
      </x:c>
      <x:c r="I358" s="50" t="n">
        <x:f>(I357*(1+Inputs!$B$12))+E358</x:f>
        <x:v>228842.91596955154</x:v>
      </x:c>
      <x:c r="J358" s="50" t="n">
        <x:f>(J357*(1+Inputs!$B$12))+F358+P358</x:f>
        <x:v>255764.25601868064</x:v>
      </x:c>
      <x:c r="K358" s="50" t="n">
        <x:f>(K357*(1+Inputs!$B$12))*(1-H358)</x:f>
        <x:v>0</x:v>
      </x:c>
      <x:c r="L358" s="50" t="n">
        <x:f>L357*(1+Inputs!$B$13)+Q358</x:f>
        <x:v>25482.94233518782</x:v>
      </x:c>
      <x:c r="M358" s="50" t="n">
        <x:f>I358+J358+L358</x:f>
        <x:v>510090.11432342</x:v>
      </x:c>
      <x:c r="N358" s="50" t="n">
        <x:f>F358+P358</x:f>
        <x:v>600</x:v>
      </x:c>
      <x:c r="O358" s="50" t="n">
        <x:f>IF(B358=1,0,O357+F357+P357)</x:f>
        <x:v>6057.14488168</x:v>
      </x:c>
      <x:c r="P358" s="50" t="n">
        <x:f>MIN(G358,MAX(0,Inputs!$B$20-O358-F358))</x:f>
        <x:v>0</x:v>
      </x:c>
      <x:c r="Q358" s="50" t="n">
        <x:f>(C358-E358-F358)+(G358-P358)</x:f>
        <x:v>0</x:v>
      </x:c>
    </x:row>
    <x:row r="359">
      <x:c r="A359" s="41" t="n">
        <x:f>IF(B359=1,A358+1,A358)</x:f>
        <x:v>2040</x:v>
      </x:c>
      <x:c r="B359" s="41" t="n">
        <x:f>IF(B358=26,1,B358+1)</x:f>
        <x:v>20</x:v>
      </x:c>
      <x:c r="C359" s="48" t="n">
        <x:f>Inputs!$F$16</x:f>
        <x:v>600</x:v>
      </x:c>
      <x:c r="D359" s="50" t="n">
        <x:f>IF(B359=1,0,D358+E358)</x:f>
        <x:v>8000</x:v>
      </x:c>
      <x:c r="E359" s="50" t="n">
        <x:f>MIN(C359,MAX(0,Inputs!$B$7-D359))</x:f>
        <x:v>0</x:v>
      </x:c>
      <x:c r="F359" s="50" t="n">
        <x:f>MIN(C359-E359,MAX(0,Inputs!$B$20-O359))</x:f>
        <x:v>600</x:v>
      </x:c>
      <x:c r="G359" s="50" t="n">
        <x:f>0</x:f>
        <x:v>0</x:v>
      </x:c>
      <x:c r="H359" s="41" t="n">
        <x:f>0</x:f>
        <x:v>0</x:v>
      </x:c>
      <x:c r="I359" s="50" t="n">
        <x:f>(I358*(1+Inputs!$B$12))+E359</x:f>
        <x:v>229272.7531261799</x:v>
      </x:c>
      <x:c r="J359" s="50" t="n">
        <x:f>(J358*(1+Inputs!$B$12))+F359+P359</x:f>
        <x:v>256844.65970567465</x:v>
      </x:c>
      <x:c r="K359" s="50" t="n">
        <x:f>(K358*(1+Inputs!$B$12))*(1-H359)</x:f>
        <x:v>0</x:v>
      </x:c>
      <x:c r="L359" s="50" t="n">
        <x:f>L358*(1+Inputs!$B$13)+Q359</x:f>
        <x:v>25527.528676310227</x:v>
      </x:c>
      <x:c r="M359" s="50" t="n">
        <x:f>I359+J359+L359</x:f>
        <x:v>511644.94150816475</x:v>
      </x:c>
      <x:c r="N359" s="50" t="n">
        <x:f>F359+P359</x:f>
        <x:v>600</x:v>
      </x:c>
      <x:c r="O359" s="50" t="n">
        <x:f>IF(B359=1,0,O358+F358+P358)</x:f>
        <x:v>6657.14488168</x:v>
      </x:c>
      <x:c r="P359" s="50" t="n">
        <x:f>MIN(G359,MAX(0,Inputs!$B$20-O359-F359))</x:f>
        <x:v>0</x:v>
      </x:c>
      <x:c r="Q359" s="50" t="n">
        <x:f>(C359-E359-F359)+(G359-P359)</x:f>
        <x:v>0</x:v>
      </x:c>
    </x:row>
    <x:row r="360">
      <x:c r="A360" s="41" t="n">
        <x:f>IF(B360=1,A359+1,A359)</x:f>
        <x:v>2040</x:v>
      </x:c>
      <x:c r="B360" s="41" t="n">
        <x:f>IF(B359=26,1,B359+1)</x:f>
        <x:v>21</x:v>
      </x:c>
      <x:c r="C360" s="48" t="n">
        <x:f>Inputs!$F$16</x:f>
        <x:v>600</x:v>
      </x:c>
      <x:c r="D360" s="50" t="n">
        <x:f>IF(B360=1,0,D359+E359)</x:f>
        <x:v>8000</x:v>
      </x:c>
      <x:c r="E360" s="50" t="n">
        <x:f>MIN(C360,MAX(0,Inputs!$B$7-D360))</x:f>
        <x:v>0</x:v>
      </x:c>
      <x:c r="F360" s="50" t="n">
        <x:f>MIN(C360-E360,MAX(0,Inputs!$B$20-O360))</x:f>
        <x:v>600</x:v>
      </x:c>
      <x:c r="G360" s="50" t="n">
        <x:f>0</x:f>
        <x:v>0</x:v>
      </x:c>
      <x:c r="H360" s="41" t="n">
        <x:f>0</x:f>
        <x:v>0</x:v>
      </x:c>
      <x:c r="I360" s="50" t="n">
        <x:f>(I359*(1+Inputs!$B$12))+E360</x:f>
        <x:v>229703.3976487712</x:v>
      </x:c>
      <x:c r="J360" s="50" t="n">
        <x:f>(J359*(1+Inputs!$B$12))+F360+P360</x:f>
        <x:v>257927.0927220314</x:v>
      </x:c>
      <x:c r="K360" s="50" t="n">
        <x:f>(K359*(1+Inputs!$B$12))*(1-H360)</x:f>
        <x:v>0</x:v>
      </x:c>
      <x:c r="L360" s="50" t="n">
        <x:f>L359*(1+Inputs!$B$13)+Q360</x:f>
        <x:v>25572.193028118705</x:v>
      </x:c>
      <x:c r="M360" s="50" t="n">
        <x:f>I360+J360+L360</x:f>
        <x:v>513202.6833989213</x:v>
      </x:c>
      <x:c r="N360" s="50" t="n">
        <x:f>F360+P360</x:f>
        <x:v>600</x:v>
      </x:c>
      <x:c r="O360" s="50" t="n">
        <x:f>IF(B360=1,0,O359+F359+P359)</x:f>
        <x:v>7257.14488168</x:v>
      </x:c>
      <x:c r="P360" s="50" t="n">
        <x:f>MIN(G360,MAX(0,Inputs!$B$20-O360-F360))</x:f>
        <x:v>0</x:v>
      </x:c>
      <x:c r="Q360" s="50" t="n">
        <x:f>(C360-E360-F360)+(G360-P360)</x:f>
        <x:v>0</x:v>
      </x:c>
    </x:row>
    <x:row r="361">
      <x:c r="A361" s="41" t="n">
        <x:f>IF(B361=1,A360+1,A360)</x:f>
        <x:v>2040</x:v>
      </x:c>
      <x:c r="B361" s="41" t="n">
        <x:f>IF(B360=26,1,B360+1)</x:f>
        <x:v>22</x:v>
      </x:c>
      <x:c r="C361" s="48" t="n">
        <x:f>Inputs!$F$16</x:f>
        <x:v>600</x:v>
      </x:c>
      <x:c r="D361" s="50" t="n">
        <x:f>IF(B361=1,0,D360+E360)</x:f>
        <x:v>8000</x:v>
      </x:c>
      <x:c r="E361" s="50" t="n">
        <x:f>MIN(C361,MAX(0,Inputs!$B$7-D361))</x:f>
        <x:v>0</x:v>
      </x:c>
      <x:c r="F361" s="50" t="n">
        <x:f>MIN(C361-E361,MAX(0,Inputs!$B$20-O361))</x:f>
        <x:v>600</x:v>
      </x:c>
      <x:c r="G361" s="50" t="n">
        <x:f>0</x:f>
        <x:v>0</x:v>
      </x:c>
      <x:c r="H361" s="41" t="n">
        <x:f>0</x:f>
        <x:v>0</x:v>
      </x:c>
      <x:c r="I361" s="50" t="n">
        <x:f>(I360*(1+Inputs!$B$12))+E361</x:f>
        <x:v>230134.85105380628</x:v>
      </x:c>
      <x:c r="J361" s="50" t="n">
        <x:f>(J360*(1+Inputs!$B$12))+F361+P361</x:f>
        <x:v>259011.55887945357</x:v>
      </x:c>
      <x:c r="K361" s="50" t="n">
        <x:f>(K360*(1+Inputs!$B$12))*(1-H361)</x:f>
        <x:v>0</x:v>
      </x:c>
      <x:c r="L361" s="50" t="n">
        <x:f>L360*(1+Inputs!$B$13)+Q361</x:f>
        <x:v>25616.935527104994</x:v>
      </x:c>
      <x:c r="M361" s="50" t="n">
        <x:f>I361+J361+L361</x:f>
        <x:v>514763.3454603648</x:v>
      </x:c>
      <x:c r="N361" s="50" t="n">
        <x:f>F361+P361</x:f>
        <x:v>600</x:v>
      </x:c>
      <x:c r="O361" s="50" t="n">
        <x:f>IF(B361=1,0,O360+F360+P360)</x:f>
        <x:v>7857.14488168</x:v>
      </x:c>
      <x:c r="P361" s="50" t="n">
        <x:f>MIN(G361,MAX(0,Inputs!$B$20-O361-F361))</x:f>
        <x:v>0</x:v>
      </x:c>
      <x:c r="Q361" s="50" t="n">
        <x:f>(C361-E361-F361)+(G361-P361)</x:f>
        <x:v>0</x:v>
      </x:c>
    </x:row>
    <x:row r="362">
      <x:c r="A362" s="41" t="n">
        <x:f>IF(B362=1,A361+1,A361)</x:f>
        <x:v>2040</x:v>
      </x:c>
      <x:c r="B362" s="41" t="n">
        <x:f>IF(B361=26,1,B361+1)</x:f>
        <x:v>23</x:v>
      </x:c>
      <x:c r="C362" s="48" t="n">
        <x:f>Inputs!$F$16</x:f>
        <x:v>600</x:v>
      </x:c>
      <x:c r="D362" s="50" t="n">
        <x:f>IF(B362=1,0,D361+E361)</x:f>
        <x:v>8000</x:v>
      </x:c>
      <x:c r="E362" s="50" t="n">
        <x:f>MIN(C362,MAX(0,Inputs!$B$7-D362))</x:f>
        <x:v>0</x:v>
      </x:c>
      <x:c r="F362" s="50" t="n">
        <x:f>MIN(C362-E362,MAX(0,Inputs!$B$20-O362))</x:f>
        <x:v>600</x:v>
      </x:c>
      <x:c r="G362" s="50" t="n">
        <x:f>0</x:f>
        <x:v>0</x:v>
      </x:c>
      <x:c r="H362" s="41" t="n">
        <x:f>0</x:f>
        <x:v>0</x:v>
      </x:c>
      <x:c r="I362" s="50" t="n">
        <x:f>(I361*(1+Inputs!$B$12))+E362</x:f>
        <x:v>230567.11486061435</x:v>
      </x:c>
      <x:c r="J362" s="50" t="n">
        <x:f>(J361*(1+Inputs!$B$12))+F362+P362</x:f>
        <x:v>260098.06199680344</x:v>
      </x:c>
      <x:c r="K362" s="50" t="n">
        <x:f>(K361*(1+Inputs!$B$12))*(1-H362)</x:f>
        <x:v>0</x:v>
      </x:c>
      <x:c r="L362" s="50" t="n">
        <x:f>L361*(1+Inputs!$B$13)+Q362</x:f>
        <x:v>25661.756309999637</x:v>
      </x:c>
      <x:c r="M362" s="50" t="n">
        <x:f>I362+J362+L362</x:f>
        <x:v>516326.9331674174</x:v>
      </x:c>
      <x:c r="N362" s="50" t="n">
        <x:f>F362+P362</x:f>
        <x:v>600</x:v>
      </x:c>
      <x:c r="O362" s="50" t="n">
        <x:f>IF(B362=1,0,O361+F361+P361)</x:f>
        <x:v>8457.14488168</x:v>
      </x:c>
      <x:c r="P362" s="50" t="n">
        <x:f>MIN(G362,MAX(0,Inputs!$B$20-O362-F362))</x:f>
        <x:v>0</x:v>
      </x:c>
      <x:c r="Q362" s="50" t="n">
        <x:f>(C362-E362-F362)+(G362-P362)</x:f>
        <x:v>0</x:v>
      </x:c>
    </x:row>
    <x:row r="363">
      <x:c r="A363" s="41" t="n">
        <x:f>IF(B363=1,A362+1,A362)</x:f>
        <x:v>2040</x:v>
      </x:c>
      <x:c r="B363" s="41" t="n">
        <x:f>IF(B362=26,1,B362+1)</x:f>
        <x:v>24</x:v>
      </x:c>
      <x:c r="C363" s="48" t="n">
        <x:f>Inputs!$F$16</x:f>
        <x:v>600</x:v>
      </x:c>
      <x:c r="D363" s="50" t="n">
        <x:f>IF(B363=1,0,D362+E362)</x:f>
        <x:v>8000</x:v>
      </x:c>
      <x:c r="E363" s="50" t="n">
        <x:f>MIN(C363,MAX(0,Inputs!$B$7-D363))</x:f>
        <x:v>0</x:v>
      </x:c>
      <x:c r="F363" s="50" t="n">
        <x:f>MIN(C363-E363,MAX(0,Inputs!$B$20-O363))</x:f>
        <x:v>600</x:v>
      </x:c>
      <x:c r="G363" s="50" t="n">
        <x:f>0</x:f>
        <x:v>0</x:v>
      </x:c>
      <x:c r="H363" s="41" t="n">
        <x:f>0</x:f>
        <x:v>0</x:v>
      </x:c>
      <x:c r="I363" s="50" t="n">
        <x:f>(I362*(1+Inputs!$B$12))+E363</x:f>
        <x:v>231000.1905913784</x:v>
      </x:c>
      <x:c r="J363" s="50" t="n">
        <x:f>(J362*(1+Inputs!$B$12))+F363+P363</x:f>
        <x:v>261186.60590011626</x:v>
      </x:c>
      <x:c r="K363" s="50" t="n">
        <x:f>(K362*(1+Inputs!$B$12))*(1-H363)</x:f>
        <x:v>0</x:v>
      </x:c>
      <x:c r="L363" s="50" t="n">
        <x:f>L362*(1+Inputs!$B$13)+Q363</x:f>
        <x:v>25706.65551377242</x:v>
      </x:c>
      <x:c r="M363" s="50" t="n">
        <x:f>I363+J363+L363</x:f>
        <x:v>517893.452005267</x:v>
      </x:c>
      <x:c r="N363" s="50" t="n">
        <x:f>F363+P363</x:f>
        <x:v>600</x:v>
      </x:c>
      <x:c r="O363" s="50" t="n">
        <x:f>IF(B363=1,0,O362+F362+P362)</x:f>
        <x:v>9057.14488168</x:v>
      </x:c>
      <x:c r="P363" s="50" t="n">
        <x:f>MIN(G363,MAX(0,Inputs!$B$20-O363-F363))</x:f>
        <x:v>0</x:v>
      </x:c>
      <x:c r="Q363" s="50" t="n">
        <x:f>(C363-E363-F363)+(G363-P363)</x:f>
        <x:v>0</x:v>
      </x:c>
    </x:row>
    <x:row r="364">
      <x:c r="A364" s="41" t="n">
        <x:f>IF(B364=1,A363+1,A363)</x:f>
        <x:v>2040</x:v>
      </x:c>
      <x:c r="B364" s="41" t="n">
        <x:f>IF(B363=26,1,B363+1)</x:f>
        <x:v>25</x:v>
      </x:c>
      <x:c r="C364" s="48" t="n">
        <x:f>Inputs!$F$16</x:f>
        <x:v>600</x:v>
      </x:c>
      <x:c r="D364" s="50" t="n">
        <x:f>IF(B364=1,0,D363+E363)</x:f>
        <x:v>8000</x:v>
      </x:c>
      <x:c r="E364" s="50" t="n">
        <x:f>MIN(C364,MAX(0,Inputs!$B$7-D364))</x:f>
        <x:v>0</x:v>
      </x:c>
      <x:c r="F364" s="50" t="n">
        <x:f>MIN(C364-E364,MAX(0,Inputs!$B$20-O364))</x:f>
        <x:v>600</x:v>
      </x:c>
      <x:c r="G364" s="50" t="n">
        <x:f>0</x:f>
        <x:v>0</x:v>
      </x:c>
      <x:c r="H364" s="41" t="n">
        <x:f>0</x:f>
        <x:v>0</x:v>
      </x:c>
      <x:c r="I364" s="50" t="n">
        <x:f>(I363*(1+Inputs!$B$12))+E364</x:f>
        <x:v>231434.07977114053</x:v>
      </x:c>
      <x:c r="J364" s="50" t="n">
        <x:f>(J363*(1+Inputs!$B$12))+F364+P364</x:f>
        <x:v>262277.1944226137</x:v>
      </x:c>
      <x:c r="K364" s="50" t="n">
        <x:f>(K363*(1+Inputs!$B$12))*(1-H364)</x:f>
        <x:v>0</x:v>
      </x:c>
      <x:c r="L364" s="50" t="n">
        <x:f>L363*(1+Inputs!$B$13)+Q364</x:f>
        <x:v>25751.633275632776</x:v>
      </x:c>
      <x:c r="M364" s="50" t="n">
        <x:f>I364+J364+L364</x:f>
        <x:v>519462.90746938705</x:v>
      </x:c>
      <x:c r="N364" s="50" t="n">
        <x:f>F364+P364</x:f>
        <x:v>600</x:v>
      </x:c>
      <x:c r="O364" s="50" t="n">
        <x:f>IF(B364=1,0,O363+F363+P363)</x:f>
        <x:v>9657.14488168</x:v>
      </x:c>
      <x:c r="P364" s="50" t="n">
        <x:f>MIN(G364,MAX(0,Inputs!$B$20-O364-F364))</x:f>
        <x:v>0</x:v>
      </x:c>
      <x:c r="Q364" s="50" t="n">
        <x:f>(C364-E364-F364)+(G364-P364)</x:f>
        <x:v>0</x:v>
      </x:c>
    </x:row>
    <x:row r="365">
      <x:c r="A365" s="41" t="n">
        <x:f>IF(B365=1,A364+1,A364)</x:f>
        <x:v>2040</x:v>
      </x:c>
      <x:c r="B365" s="41" t="n">
        <x:f>IF(B364=26,1,B364+1)</x:f>
        <x:v>26</x:v>
      </x:c>
      <x:c r="C365" s="48" t="n">
        <x:f>Inputs!$F$16</x:f>
        <x:v>600</x:v>
      </x:c>
      <x:c r="D365" s="50" t="n">
        <x:f>IF(B365=1,0,D364+E364)</x:f>
        <x:v>8000</x:v>
      </x:c>
      <x:c r="E365" s="50" t="n">
        <x:f>MIN(C365,MAX(0,Inputs!$B$7-D365))</x:f>
        <x:v>0</x:v>
      </x:c>
      <x:c r="F365" s="50" t="n">
        <x:f>MIN(C365-E365,MAX(0,Inputs!$B$20-O365))</x:f>
        <x:v>600</x:v>
      </x:c>
      <x:c r="G365" s="50" t="n">
        <x:f>0</x:f>
        <x:v>0</x:v>
      </x:c>
      <x:c r="H365" s="41" t="n">
        <x:f>IF(A365=Inputs!$B$8,1,0)</x:f>
        <x:v>0</x:v>
      </x:c>
      <x:c r="I365" s="50" t="n">
        <x:f>(I364*(1+Inputs!$B$12))+E365</x:f>
        <x:v>231868.78392780738</x:v>
      </x:c>
      <x:c r="J365" s="50" t="n">
        <x:f>(J364*(1+Inputs!$B$12))+F365+P365</x:f>
        <x:v>263369.8314047175</x:v>
      </x:c>
      <x:c r="K365" s="50" t="n">
        <x:f>(K364*(1+Inputs!$B$12))*(1-H365)</x:f>
        <x:v>0</x:v>
      </x:c>
      <x:c r="L365" s="50" t="n">
        <x:f>L364*(1+Inputs!$B$13)+Q365</x:f>
        <x:v>25796.6897330302</x:v>
      </x:c>
      <x:c r="M365" s="50" t="n">
        <x:f>I365+J365+L365</x:f>
        <x:v>521035.3050655551</x:v>
      </x:c>
      <x:c r="N365" s="50" t="n">
        <x:f>F365+P365</x:f>
        <x:v>600</x:v>
      </x:c>
      <x:c r="O365" s="50" t="n">
        <x:f>IF(B365=1,0,O364+F364+P364)</x:f>
        <x:v>10257.14488168</x:v>
      </x:c>
      <x:c r="P365" s="50" t="n">
        <x:f>MIN(G365,MAX(0,Inputs!$B$20-O365-F365))</x:f>
        <x:v>0</x:v>
      </x:c>
      <x:c r="Q365" s="50" t="n">
        <x:f>(C365-E365-F365)+(G365-P365)</x:f>
        <x:v>0</x:v>
      </x:c>
    </x:row>
    <x:row r="366">
      <x:c r="A366" s="41" t="n">
        <x:f>IF(B366=1,A365+1,A365)</x:f>
        <x:v>2041</x:v>
      </x:c>
      <x:c r="B366" s="41" t="n">
        <x:f>IF(B365=26,1,B365+1)</x:f>
        <x:v>1</x:v>
      </x:c>
      <x:c r="C366" s="48" t="n">
        <x:f>Inputs!$F$17</x:f>
        <x:v>600</x:v>
      </x:c>
      <x:c r="D366" s="50" t="n">
        <x:f>IF(B366=1,0,D365+E365)</x:f>
        <x:v>0</x:v>
      </x:c>
      <x:c r="E366" s="50" t="n">
        <x:f>MIN(C366,MAX(0,Inputs!$B$7-D366))</x:f>
        <x:v>600</x:v>
      </x:c>
      <x:c r="F366" s="50" t="n">
        <x:f>MIN(C366-E366,MAX(0,Inputs!$B$20-O366))</x:f>
        <x:v>0</x:v>
      </x:c>
      <x:c r="G366" s="50" t="n">
        <x:f>0</x:f>
        <x:v>0</x:v>
      </x:c>
      <x:c r="H366" s="41" t="n">
        <x:f>0</x:f>
        <x:v>0</x:v>
      </x:c>
      <x:c r="I366" s="50" t="n">
        <x:f>(I365*(1+Inputs!$B$12))+E366</x:f>
        <x:v>232904.30459215541</x:v>
      </x:c>
      <x:c r="J366" s="50" t="n">
        <x:f>(J365*(1+Inputs!$B$12))+F366+P366</x:f>
        <x:v>263864.52069406287</x:v>
      </x:c>
      <x:c r="K366" s="50" t="n">
        <x:f>(K365*(1+Inputs!$B$12))*(1-H366)</x:f>
        <x:v>0</x:v>
      </x:c>
      <x:c r="L366" s="50" t="n">
        <x:f>L365*(1+Inputs!$B$13)+Q366</x:f>
        <x:v>25841.825023654692</x:v>
      </x:c>
      <x:c r="M366" s="50" t="n">
        <x:f>I366+J366+L366</x:f>
        <x:v>522610.650309873</x:v>
      </x:c>
      <x:c r="N366" s="50" t="n">
        <x:f>F366+P366</x:f>
        <x:v>0</x:v>
      </x:c>
      <x:c r="O366" s="50" t="n">
        <x:f>IF(B366=1,0,O365+F365+P365)</x:f>
        <x:v>0</x:v>
      </x:c>
      <x:c r="P366" s="50" t="n">
        <x:f>MIN(G366,MAX(0,Inputs!$B$20-O366-F366))</x:f>
        <x:v>0</x:v>
      </x:c>
      <x:c r="Q366" s="50" t="n">
        <x:f>(C366-E366-F366)+(G366-P366)</x:f>
        <x:v>0</x:v>
      </x:c>
    </x:row>
    <x:row r="367">
      <x:c r="A367" s="41" t="n">
        <x:f>IF(B367=1,A366+1,A366)</x:f>
        <x:v>2041</x:v>
      </x:c>
      <x:c r="B367" s="41" t="n">
        <x:f>IF(B366=26,1,B366+1)</x:f>
        <x:v>2</x:v>
      </x:c>
      <x:c r="C367" s="48" t="n">
        <x:f>Inputs!$F$17</x:f>
        <x:v>600</x:v>
      </x:c>
      <x:c r="D367" s="50" t="n">
        <x:f>IF(B367=1,0,D366+E366)</x:f>
        <x:v>600</x:v>
      </x:c>
      <x:c r="E367" s="50" t="n">
        <x:f>MIN(C367,MAX(0,Inputs!$B$7-D367))</x:f>
        <x:v>600</x:v>
      </x:c>
      <x:c r="F367" s="50" t="n">
        <x:f>MIN(C367-E367,MAX(0,Inputs!$B$20-O367))</x:f>
        <x:v>0</x:v>
      </x:c>
      <x:c r="G367" s="50" t="n">
        <x:f>0</x:f>
        <x:v>0</x:v>
      </x:c>
      <x:c r="H367" s="41" t="n">
        <x:f>0</x:f>
        <x:v>0</x:v>
      </x:c>
      <x:c r="I367" s="50" t="n">
        <x:f>(I366*(1+Inputs!$B$12))+E367</x:f>
        <x:v>233941.77028178907</x:v>
      </x:c>
      <x:c r="J367" s="50" t="n">
        <x:f>(J366*(1+Inputs!$B$12))+F367+P367</x:f>
        <x:v>264360.1391615593</x:v>
      </x:c>
      <x:c r="K367" s="50" t="n">
        <x:f>(K366*(1+Inputs!$B$12))*(1-H367)</x:f>
        <x:v>0</x:v>
      </x:c>
      <x:c r="L367" s="50" t="n">
        <x:f>L366*(1+Inputs!$B$13)+Q367</x:f>
        <x:v>25887.039285437142</x:v>
      </x:c>
      <x:c r="M367" s="50" t="n">
        <x:f>I367+J367+L367</x:f>
        <x:v>524188.9487287855</x:v>
      </x:c>
      <x:c r="N367" s="50" t="n">
        <x:f>F367+P367</x:f>
        <x:v>0</x:v>
      </x:c>
      <x:c r="O367" s="50" t="n">
        <x:f>IF(B367=1,0,O366+F366+P366)</x:f>
        <x:v>0</x:v>
      </x:c>
      <x:c r="P367" s="50" t="n">
        <x:f>MIN(G367,MAX(0,Inputs!$B$20-O367-F367))</x:f>
        <x:v>0</x:v>
      </x:c>
      <x:c r="Q367" s="50" t="n">
        <x:f>(C367-E367-F367)+(G367-P367)</x:f>
        <x:v>0</x:v>
      </x:c>
    </x:row>
    <x:row r="368">
      <x:c r="A368" s="41" t="n">
        <x:f>IF(B368=1,A367+1,A367)</x:f>
        <x:v>2041</x:v>
      </x:c>
      <x:c r="B368" s="41" t="n">
        <x:f>IF(B367=26,1,B367+1)</x:f>
        <x:v>3</x:v>
      </x:c>
      <x:c r="C368" s="48" t="n">
        <x:f>Inputs!$F$17</x:f>
        <x:v>600</x:v>
      </x:c>
      <x:c r="D368" s="50" t="n">
        <x:f>IF(B368=1,0,D367+E367)</x:f>
        <x:v>1200</x:v>
      </x:c>
      <x:c r="E368" s="50" t="n">
        <x:f>MIN(C368,MAX(0,Inputs!$B$7-D368))</x:f>
        <x:v>600</x:v>
      </x:c>
      <x:c r="F368" s="50" t="n">
        <x:f>MIN(C368-E368,MAX(0,Inputs!$B$20-O368))</x:f>
        <x:v>0</x:v>
      </x:c>
      <x:c r="G368" s="50" t="n">
        <x:f>0</x:f>
        <x:v>0</x:v>
      </x:c>
      <x:c r="H368" s="41" t="n">
        <x:f>0</x:f>
        <x:v>0</x:v>
      </x:c>
      <x:c r="I368" s="50" t="n">
        <x:f>(I367*(1+Inputs!$B$12))+E368</x:f>
        <x:v>234981.18465006215</x:v>
      </x:c>
      <x:c r="J368" s="50" t="n">
        <x:f>(J367*(1+Inputs!$B$12))+F368+P368</x:f>
        <x:v>264856.6885524882</x:v>
      </x:c>
      <x:c r="K368" s="50" t="n">
        <x:f>(K367*(1+Inputs!$B$12))*(1-H368)</x:f>
        <x:v>0</x:v>
      </x:c>
      <x:c r="L368" s="50" t="n">
        <x:f>L367*(1+Inputs!$B$13)+Q368</x:f>
        <x:v>25932.33265654978</x:v>
      </x:c>
      <x:c r="M368" s="50" t="n">
        <x:f>I368+J368+L368</x:f>
        <x:v>525770.2058591001</x:v>
      </x:c>
      <x:c r="N368" s="50" t="n">
        <x:f>F368+P368</x:f>
        <x:v>0</x:v>
      </x:c>
      <x:c r="O368" s="50" t="n">
        <x:f>IF(B368=1,0,O367+F367+P367)</x:f>
        <x:v>0</x:v>
      </x:c>
      <x:c r="P368" s="50" t="n">
        <x:f>MIN(G368,MAX(0,Inputs!$B$20-O368-F368))</x:f>
        <x:v>0</x:v>
      </x:c>
      <x:c r="Q368" s="50" t="n">
        <x:f>(C368-E368-F368)+(G368-P368)</x:f>
        <x:v>0</x:v>
      </x:c>
    </x:row>
    <x:row r="369">
      <x:c r="A369" s="41" t="n">
        <x:f>IF(B369=1,A368+1,A368)</x:f>
        <x:v>2041</x:v>
      </x:c>
      <x:c r="B369" s="41" t="n">
        <x:f>IF(B368=26,1,B368+1)</x:f>
        <x:v>4</x:v>
      </x:c>
      <x:c r="C369" s="48" t="n">
        <x:f>Inputs!$F$17</x:f>
        <x:v>600</x:v>
      </x:c>
      <x:c r="D369" s="50" t="n">
        <x:f>IF(B369=1,0,D368+E368)</x:f>
        <x:v>1800</x:v>
      </x:c>
      <x:c r="E369" s="50" t="n">
        <x:f>MIN(C369,MAX(0,Inputs!$B$7-D369))</x:f>
        <x:v>600</x:v>
      </x:c>
      <x:c r="F369" s="50" t="n">
        <x:f>MIN(C369-E369,MAX(0,Inputs!$B$20-O369))</x:f>
        <x:v>0</x:v>
      </x:c>
      <x:c r="G369" s="50" t="n">
        <x:f>0</x:f>
        <x:v>0</x:v>
      </x:c>
      <x:c r="H369" s="41" t="n">
        <x:f>0</x:f>
        <x:v>0</x:v>
      </x:c>
      <x:c r="I369" s="50" t="n">
        <x:f>(I368*(1+Inputs!$B$12))+E369</x:f>
        <x:v>236022.55135719056</x:v>
      </x:c>
      <x:c r="J369" s="50" t="n">
        <x:f>(J368*(1+Inputs!$B$12))+F369+P369</x:f>
        <x:v>265354.17061540927</x:v>
      </x:c>
      <x:c r="K369" s="50" t="n">
        <x:f>(K368*(1+Inputs!$B$12))*(1-H369)</x:f>
        <x:v>0</x:v>
      </x:c>
      <x:c r="L369" s="50" t="n">
        <x:f>L368*(1+Inputs!$B$13)+Q369</x:f>
        <x:v>25977.705275406595</x:v>
      </x:c>
      <x:c r="M369" s="50" t="n">
        <x:f>I369+J369+L369</x:f>
        <x:v>527354.4272480065</x:v>
      </x:c>
      <x:c r="N369" s="50" t="n">
        <x:f>F369+P369</x:f>
        <x:v>0</x:v>
      </x:c>
      <x:c r="O369" s="50" t="n">
        <x:f>IF(B369=1,0,O368+F368+P368)</x:f>
        <x:v>0</x:v>
      </x:c>
      <x:c r="P369" s="50" t="n">
        <x:f>MIN(G369,MAX(0,Inputs!$B$20-O369-F369))</x:f>
        <x:v>0</x:v>
      </x:c>
      <x:c r="Q369" s="50" t="n">
        <x:f>(C369-E369-F369)+(G369-P369)</x:f>
        <x:v>0</x:v>
      </x:c>
    </x:row>
    <x:row r="370">
      <x:c r="A370" s="41" t="n">
        <x:f>IF(B370=1,A369+1,A369)</x:f>
        <x:v>2041</x:v>
      </x:c>
      <x:c r="B370" s="41" t="n">
        <x:f>IF(B369=26,1,B369+1)</x:f>
        <x:v>5</x:v>
      </x:c>
      <x:c r="C370" s="48" t="n">
        <x:f>Inputs!$F$17</x:f>
        <x:v>600</x:v>
      </x:c>
      <x:c r="D370" s="50" t="n">
        <x:f>IF(B370=1,0,D369+E369)</x:f>
        <x:v>2400</x:v>
      </x:c>
      <x:c r="E370" s="50" t="n">
        <x:f>MIN(C370,MAX(0,Inputs!$B$7-D370))</x:f>
        <x:v>600</x:v>
      </x:c>
      <x:c r="F370" s="50" t="n">
        <x:f>MIN(C370-E370,MAX(0,Inputs!$B$20-O370))</x:f>
        <x:v>0</x:v>
      </x:c>
      <x:c r="G370" s="50" t="n">
        <x:f>0</x:f>
        <x:v>0</x:v>
      </x:c>
      <x:c r="H370" s="41" t="n">
        <x:f>0</x:f>
        <x:v>0</x:v>
      </x:c>
      <x:c r="I370" s="50" t="n">
        <x:f>(I369*(1+Inputs!$B$12))+E370</x:f>
        <x:v>237065.87407026524</x:v>
      </x:c>
      <x:c r="J370" s="50" t="n">
        <x:f>(J369*(1+Inputs!$B$12))+F370+P370</x:f>
        <x:v>265852.5871021664</x:v>
      </x:c>
      <x:c r="K370" s="50" t="n">
        <x:f>(K369*(1+Inputs!$B$12))*(1-H370)</x:f>
        <x:v>0</x:v>
      </x:c>
      <x:c r="L370" s="50" t="n">
        <x:f>L369*(1+Inputs!$B$13)+Q370</x:f>
        <x:v>26023.157280663745</x:v>
      </x:c>
      <x:c r="M370" s="50" t="n">
        <x:f>I370+J370+L370</x:f>
        <x:v>528941.6184530953</x:v>
      </x:c>
      <x:c r="N370" s="50" t="n">
        <x:f>F370+P370</x:f>
        <x:v>0</x:v>
      </x:c>
      <x:c r="O370" s="50" t="n">
        <x:f>IF(B370=1,0,O369+F369+P369)</x:f>
        <x:v>0</x:v>
      </x:c>
      <x:c r="P370" s="50" t="n">
        <x:f>MIN(G370,MAX(0,Inputs!$B$20-O370-F370))</x:f>
        <x:v>0</x:v>
      </x:c>
      <x:c r="Q370" s="50" t="n">
        <x:f>(C370-E370-F370)+(G370-P370)</x:f>
        <x:v>0</x:v>
      </x:c>
    </x:row>
    <x:row r="371">
      <x:c r="A371" s="41" t="n">
        <x:f>IF(B371=1,A370+1,A370)</x:f>
        <x:v>2041</x:v>
      </x:c>
      <x:c r="B371" s="41" t="n">
        <x:f>IF(B370=26,1,B370+1)</x:f>
        <x:v>6</x:v>
      </x:c>
      <x:c r="C371" s="48" t="n">
        <x:f>Inputs!$F$17</x:f>
        <x:v>600</x:v>
      </x:c>
      <x:c r="D371" s="50" t="n">
        <x:f>IF(B371=1,0,D370+E370)</x:f>
        <x:v>3000</x:v>
      </x:c>
      <x:c r="E371" s="50" t="n">
        <x:f>MIN(C371,MAX(0,Inputs!$B$7-D371))</x:f>
        <x:v>600</x:v>
      </x:c>
      <x:c r="F371" s="50" t="n">
        <x:f>MIN(C371-E371,MAX(0,Inputs!$B$20-O371))</x:f>
        <x:v>0</x:v>
      </x:c>
      <x:c r="G371" s="50" t="n">
        <x:f>0</x:f>
        <x:v>0</x:v>
      </x:c>
      <x:c r="H371" s="41" t="n">
        <x:f>0</x:f>
        <x:v>0</x:v>
      </x:c>
      <x:c r="I371" s="50" t="n">
        <x:f>(I370*(1+Inputs!$B$12))+E371</x:f>
        <x:v>238111.15646326507</x:v>
      </x:c>
      <x:c r="J371" s="50" t="n">
        <x:f>(J370*(1+Inputs!$B$12))+F371+P371</x:f>
        <x:v>266351.93976789404</x:v>
      </x:c>
      <x:c r="K371" s="50" t="n">
        <x:f>(K370*(1+Inputs!$B$12))*(1-H371)</x:f>
        <x:v>0</x:v>
      </x:c>
      <x:c r="L371" s="50" t="n">
        <x:f>L370*(1+Inputs!$B$13)+Q371</x:f>
        <x:v>26068.688811219992</x:v>
      </x:c>
      <x:c r="M371" s="50" t="n">
        <x:f>I371+J371+L371</x:f>
        <x:v>530531.785042379</x:v>
      </x:c>
      <x:c r="N371" s="50" t="n">
        <x:f>F371+P371</x:f>
        <x:v>0</x:v>
      </x:c>
      <x:c r="O371" s="50" t="n">
        <x:f>IF(B371=1,0,O370+F370+P370)</x:f>
        <x:v>0</x:v>
      </x:c>
      <x:c r="P371" s="50" t="n">
        <x:f>MIN(G371,MAX(0,Inputs!$B$20-O371-F371))</x:f>
        <x:v>0</x:v>
      </x:c>
      <x:c r="Q371" s="50" t="n">
        <x:f>(C371-E371-F371)+(G371-P371)</x:f>
        <x:v>0</x:v>
      </x:c>
    </x:row>
    <x:row r="372">
      <x:c r="A372" s="41" t="n">
        <x:f>IF(B372=1,A371+1,A371)</x:f>
        <x:v>2041</x:v>
      </x:c>
      <x:c r="B372" s="41" t="n">
        <x:f>IF(B371=26,1,B371+1)</x:f>
        <x:v>7</x:v>
      </x:c>
      <x:c r="C372" s="48" t="n">
        <x:f>Inputs!$F$17</x:f>
        <x:v>600</x:v>
      </x:c>
      <x:c r="D372" s="50" t="n">
        <x:f>IF(B372=1,0,D371+E371)</x:f>
        <x:v>3600</x:v>
      </x:c>
      <x:c r="E372" s="50" t="n">
        <x:f>MIN(C372,MAX(0,Inputs!$B$7-D372))</x:f>
        <x:v>600</x:v>
      </x:c>
      <x:c r="F372" s="50" t="n">
        <x:f>MIN(C372-E372,MAX(0,Inputs!$B$20-O372))</x:f>
        <x:v>0</x:v>
      </x:c>
      <x:c r="G372" s="50" t="n">
        <x:f>0</x:f>
        <x:v>0</x:v>
      </x:c>
      <x:c r="H372" s="41" t="n">
        <x:f>0</x:f>
        <x:v>0</x:v>
      </x:c>
      <x:c r="I372" s="50" t="n">
        <x:f>(I371*(1+Inputs!$B$12))+E372</x:f>
        <x:v>239158.40221706973</x:v>
      </x:c>
      <x:c r="J372" s="50" t="n">
        <x:f>(J371*(1+Inputs!$B$12))+F372+P372</x:f>
        <x:v>266852.23037102335</x:v>
      </x:c>
      <x:c r="K372" s="50" t="n">
        <x:f>(K371*(1+Inputs!$B$12))*(1-H372)</x:f>
        <x:v>0</x:v>
      </x:c>
      <x:c r="L372" s="50" t="n">
        <x:f>L371*(1+Inputs!$B$13)+Q372</x:f>
        <x:v>26114.300006217123</x:v>
      </x:c>
      <x:c r="M372" s="50" t="n">
        <x:f>I372+J372+L372</x:f>
        <x:v>532124.9325943101</x:v>
      </x:c>
      <x:c r="N372" s="50" t="n">
        <x:f>F372+P372</x:f>
        <x:v>0</x:v>
      </x:c>
      <x:c r="O372" s="50" t="n">
        <x:f>IF(B372=1,0,O371+F371+P371)</x:f>
        <x:v>0</x:v>
      </x:c>
      <x:c r="P372" s="50" t="n">
        <x:f>MIN(G372,MAX(0,Inputs!$B$20-O372-F372))</x:f>
        <x:v>0</x:v>
      </x:c>
      <x:c r="Q372" s="50" t="n">
        <x:f>(C372-E372-F372)+(G372-P372)</x:f>
        <x:v>0</x:v>
      </x:c>
    </x:row>
    <x:row r="373">
      <x:c r="A373" s="41" t="n">
        <x:f>IF(B373=1,A372+1,A372)</x:f>
        <x:v>2041</x:v>
      </x:c>
      <x:c r="B373" s="41" t="n">
        <x:f>IF(B372=26,1,B372+1)</x:f>
        <x:v>8</x:v>
      </x:c>
      <x:c r="C373" s="48" t="n">
        <x:f>Inputs!$F$17</x:f>
        <x:v>600</x:v>
      </x:c>
      <x:c r="D373" s="50" t="n">
        <x:f>IF(B373=1,0,D372+E372)</x:f>
        <x:v>4200</x:v>
      </x:c>
      <x:c r="E373" s="50" t="n">
        <x:f>MIN(C373,MAX(0,Inputs!$B$7-D373))</x:f>
        <x:v>600</x:v>
      </x:c>
      <x:c r="F373" s="50" t="n">
        <x:f>MIN(C373-E373,MAX(0,Inputs!$B$20-O373))</x:f>
        <x:v>0</x:v>
      </x:c>
      <x:c r="G373" s="50" t="n">
        <x:f>0</x:f>
        <x:v>0</x:v>
      </x:c>
      <x:c r="H373" s="41" t="n">
        <x:f>0</x:f>
        <x:v>0</x:v>
      </x:c>
      <x:c r="I373" s="50" t="n">
        <x:f>(I372*(1+Inputs!$B$12))+E373</x:f>
        <x:v>240207.61501947275</x:v>
      </x:c>
      <x:c r="J373" s="50" t="n">
        <x:f>(J372*(1+Inputs!$B$12))+F373+P373</x:f>
        <x:v>267353.4606732883</x:v>
      </x:c>
      <x:c r="K373" s="50" t="n">
        <x:f>(K372*(1+Inputs!$B$12))*(1-H373)</x:f>
        <x:v>0</x:v>
      </x:c>
      <x:c r="L373" s="50" t="n">
        <x:f>L372*(1+Inputs!$B$13)+Q373</x:f>
        <x:v>26159.991005040374</x:v>
      </x:c>
      <x:c r="M373" s="50" t="n">
        <x:f>I373+J373+L373</x:f>
        <x:v>533721.0666978015</x:v>
      </x:c>
      <x:c r="N373" s="50" t="n">
        <x:f>F373+P373</x:f>
        <x:v>0</x:v>
      </x:c>
      <x:c r="O373" s="50" t="n">
        <x:f>IF(B373=1,0,O372+F372+P372)</x:f>
        <x:v>0</x:v>
      </x:c>
      <x:c r="P373" s="50" t="n">
        <x:f>MIN(G373,MAX(0,Inputs!$B$20-O373-F373))</x:f>
        <x:v>0</x:v>
      </x:c>
      <x:c r="Q373" s="50" t="n">
        <x:f>(C373-E373-F373)+(G373-P373)</x:f>
        <x:v>0</x:v>
      </x:c>
    </x:row>
    <x:row r="374">
      <x:c r="A374" s="41" t="n">
        <x:f>IF(B374=1,A373+1,A373)</x:f>
        <x:v>2041</x:v>
      </x:c>
      <x:c r="B374" s="41" t="n">
        <x:f>IF(B373=26,1,B373+1)</x:f>
        <x:v>9</x:v>
      </x:c>
      <x:c r="C374" s="48" t="n">
        <x:f>Inputs!$F$17</x:f>
        <x:v>600</x:v>
      </x:c>
      <x:c r="D374" s="50" t="n">
        <x:f>IF(B374=1,0,D373+E373)</x:f>
        <x:v>4800</x:v>
      </x:c>
      <x:c r="E374" s="50" t="n">
        <x:f>MIN(C374,MAX(0,Inputs!$B$7-D374))</x:f>
        <x:v>600</x:v>
      </x:c>
      <x:c r="F374" s="50" t="n">
        <x:f>MIN(C374-E374,MAX(0,Inputs!$B$20-O374))</x:f>
        <x:v>0</x:v>
      </x:c>
      <x:c r="G374" s="50" t="n">
        <x:f>SUM(N340:N365)*Inputs!$B$6</x:f>
        <x:v>3257.143464504</x:v>
      </x:c>
      <x:c r="H374" s="41" t="n">
        <x:f>0</x:f>
        <x:v>0</x:v>
      </x:c>
      <x:c r="I374" s="50" t="n">
        <x:f>(I373*(1+Inputs!$B$12))+E374</x:f>
        <x:v>241258.7985651945</x:v>
      </x:c>
      <x:c r="J374" s="50" t="n">
        <x:f>(J373*(1+Inputs!$B$12))+F374+P374</x:f>
        <x:v>271112.775904236</x:v>
      </x:c>
      <x:c r="K374" s="50" t="n">
        <x:f>(K373*(1+Inputs!$B$12))*(1-H374)</x:f>
        <x:v>0</x:v>
      </x:c>
      <x:c r="L374" s="50" t="n">
        <x:f>L373*(1+Inputs!$B$13)+Q374</x:f>
        <x:v>26205.761947318857</x:v>
      </x:c>
      <x:c r="M374" s="50" t="n">
        <x:f>I374+J374+L374</x:f>
        <x:v>538577.3364167494</x:v>
      </x:c>
      <x:c r="N374" s="50" t="n">
        <x:f>F374+P374</x:f>
        <x:v>3257.143464504</x:v>
      </x:c>
      <x:c r="O374" s="50" t="n">
        <x:f>IF(B374=1,0,O373+F373+P373)</x:f>
        <x:v>0</x:v>
      </x:c>
      <x:c r="P374" s="50" t="n">
        <x:f>MIN(G374,MAX(0,Inputs!$B$20-O374-F374))</x:f>
        <x:v>3257.143464504</x:v>
      </x:c>
      <x:c r="Q374" s="50" t="n">
        <x:f>(C374-E374-F374)+(G374-P374)</x:f>
        <x:v>0</x:v>
      </x:c>
    </x:row>
    <x:row r="375">
      <x:c r="A375" s="41" t="n">
        <x:f>IF(B375=1,A374+1,A374)</x:f>
        <x:v>2041</x:v>
      </x:c>
      <x:c r="B375" s="41" t="n">
        <x:f>IF(B374=26,1,B374+1)</x:f>
        <x:v>10</x:v>
      </x:c>
      <x:c r="C375" s="48" t="n">
        <x:f>Inputs!$F$17</x:f>
        <x:v>600</x:v>
      </x:c>
      <x:c r="D375" s="50" t="n">
        <x:f>IF(B375=1,0,D374+E374)</x:f>
        <x:v>5400</x:v>
      </x:c>
      <x:c r="E375" s="50" t="n">
        <x:f>MIN(C375,MAX(0,Inputs!$B$7-D375))</x:f>
        <x:v>600</x:v>
      </x:c>
      <x:c r="F375" s="50" t="n">
        <x:f>MIN(C375-E375,MAX(0,Inputs!$B$20-O375))</x:f>
        <x:v>0</x:v>
      </x:c>
      <x:c r="G375" s="50" t="n">
        <x:f>0</x:f>
        <x:v>0</x:v>
      </x:c>
      <x:c r="H375" s="41" t="n">
        <x:f>0</x:f>
        <x:v>0</x:v>
      </x:c>
      <x:c r="I375" s="50" t="n">
        <x:f>(I374*(1+Inputs!$B$12))+E375</x:f>
        <x:v>242311.95655589513</x:v>
      </x:c>
      <x:c r="J375" s="50" t="n">
        <x:f>(J374*(1+Inputs!$B$12))+F375+P375</x:f>
        <x:v>271622.00881724345</x:v>
      </x:c>
      <x:c r="K375" s="50" t="n">
        <x:f>(K374*(1+Inputs!$B$12))*(1-H375)</x:f>
        <x:v>0</x:v>
      </x:c>
      <x:c r="L375" s="50" t="n">
        <x:f>L374*(1+Inputs!$B$13)+Q375</x:f>
        <x:v>26251.61297292599</x:v>
      </x:c>
      <x:c r="M375" s="50" t="n">
        <x:f>I375+J375+L375</x:f>
        <x:v>540185.5783460645</x:v>
      </x:c>
      <x:c r="N375" s="50" t="n">
        <x:f>F375+P375</x:f>
        <x:v>0</x:v>
      </x:c>
      <x:c r="O375" s="50" t="n">
        <x:f>IF(B375=1,0,O374+F374+P374)</x:f>
        <x:v>3257.143464504</x:v>
      </x:c>
      <x:c r="P375" s="50" t="n">
        <x:f>MIN(G375,MAX(0,Inputs!$B$20-O375-F375))</x:f>
        <x:v>0</x:v>
      </x:c>
      <x:c r="Q375" s="50" t="n">
        <x:f>(C375-E375-F375)+(G375-P375)</x:f>
        <x:v>0</x:v>
      </x:c>
    </x:row>
    <x:row r="376">
      <x:c r="A376" s="41" t="n">
        <x:f>IF(B376=1,A375+1,A375)</x:f>
        <x:v>2041</x:v>
      </x:c>
      <x:c r="B376" s="41" t="n">
        <x:f>IF(B375=26,1,B375+1)</x:f>
        <x:v>11</x:v>
      </x:c>
      <x:c r="C376" s="48" t="n">
        <x:f>Inputs!$F$17</x:f>
        <x:v>600</x:v>
      </x:c>
      <x:c r="D376" s="50" t="n">
        <x:f>IF(B376=1,0,D375+E375)</x:f>
        <x:v>6000</x:v>
      </x:c>
      <x:c r="E376" s="50" t="n">
        <x:f>MIN(C376,MAX(0,Inputs!$B$7-D376))</x:f>
        <x:v>600</x:v>
      </x:c>
      <x:c r="F376" s="50" t="n">
        <x:f>MIN(C376-E376,MAX(0,Inputs!$B$20-O376))</x:f>
        <x:v>0</x:v>
      </x:c>
      <x:c r="G376" s="50" t="n">
        <x:f>0</x:f>
        <x:v>0</x:v>
      </x:c>
      <x:c r="H376" s="41" t="n">
        <x:f>0</x:f>
        <x:v>0</x:v>
      </x:c>
      <x:c r="I376" s="50" t="n">
        <x:f>(I375*(1+Inputs!$B$12))+E376</x:f>
        <x:v>243367.09270018764</x:v>
      </x:c>
      <x:c r="J376" s="50" t="n">
        <x:f>(J375*(1+Inputs!$B$12))+F376+P376</x:f>
        <x:v>272132.1982257861</x:v>
      </x:c>
      <x:c r="K376" s="50" t="n">
        <x:f>(K375*(1+Inputs!$B$12))*(1-H376)</x:f>
        <x:v>0</x:v>
      </x:c>
      <x:c r="L376" s="50" t="n">
        <x:f>L375*(1+Inputs!$B$13)+Q376</x:f>
        <x:v>26297.54422197991</x:v>
      </x:c>
      <x:c r="M376" s="50" t="n">
        <x:f>I376+J376+L376</x:f>
        <x:v>541796.8351479536</x:v>
      </x:c>
      <x:c r="N376" s="50" t="n">
        <x:f>F376+P376</x:f>
        <x:v>0</x:v>
      </x:c>
      <x:c r="O376" s="50" t="n">
        <x:f>IF(B376=1,0,O375+F375+P375)</x:f>
        <x:v>3257.143464504</x:v>
      </x:c>
      <x:c r="P376" s="50" t="n">
        <x:f>MIN(G376,MAX(0,Inputs!$B$20-O376-F376))</x:f>
        <x:v>0</x:v>
      </x:c>
      <x:c r="Q376" s="50" t="n">
        <x:f>(C376-E376-F376)+(G376-P376)</x:f>
        <x:v>0</x:v>
      </x:c>
    </x:row>
    <x:row r="377">
      <x:c r="A377" s="41" t="n">
        <x:f>IF(B377=1,A376+1,A376)</x:f>
        <x:v>2041</x:v>
      </x:c>
      <x:c r="B377" s="41" t="n">
        <x:f>IF(B376=26,1,B376+1)</x:f>
        <x:v>12</x:v>
      </x:c>
      <x:c r="C377" s="48" t="n">
        <x:f>Inputs!$F$17</x:f>
        <x:v>600</x:v>
      </x:c>
      <x:c r="D377" s="50" t="n">
        <x:f>IF(B377=1,0,D376+E376)</x:f>
        <x:v>6600</x:v>
      </x:c>
      <x:c r="E377" s="50" t="n">
        <x:f>MIN(C377,MAX(0,Inputs!$B$7-D377))</x:f>
        <x:v>600</x:v>
      </x:c>
      <x:c r="F377" s="50" t="n">
        <x:f>MIN(C377-E377,MAX(0,Inputs!$B$20-O377))</x:f>
        <x:v>0</x:v>
      </x:c>
      <x:c r="G377" s="50" t="n">
        <x:f>0</x:f>
        <x:v>0</x:v>
      </x:c>
      <x:c r="H377" s="41" t="n">
        <x:f>0</x:f>
        <x:v>0</x:v>
      </x:c>
      <x:c r="I377" s="50" t="n">
        <x:f>(I376*(1+Inputs!$B$12))+E377</x:f>
        <x:v>244424.21071365097</x:v>
      </x:c>
      <x:c r="J377" s="50" t="n">
        <x:f>(J376*(1+Inputs!$B$12))+F377+P377</x:f>
        <x:v>272643.34592645586</x:v>
      </x:c>
      <x:c r="K377" s="50" t="n">
        <x:f>(K376*(1+Inputs!$B$12))*(1-H377)</x:f>
        <x:v>0</x:v>
      </x:c>
      <x:c r="L377" s="50" t="n">
        <x:f>L376*(1+Inputs!$B$13)+Q377</x:f>
        <x:v>26343.55583484393</x:v>
      </x:c>
      <x:c r="M377" s="50" t="n">
        <x:f>I377+J377+L377</x:f>
        <x:v>543411.1124749507</x:v>
      </x:c>
      <x:c r="N377" s="50" t="n">
        <x:f>F377+P377</x:f>
        <x:v>0</x:v>
      </x:c>
      <x:c r="O377" s="50" t="n">
        <x:f>IF(B377=1,0,O376+F376+P376)</x:f>
        <x:v>3257.143464504</x:v>
      </x:c>
      <x:c r="P377" s="50" t="n">
        <x:f>MIN(G377,MAX(0,Inputs!$B$20-O377-F377))</x:f>
        <x:v>0</x:v>
      </x:c>
      <x:c r="Q377" s="50" t="n">
        <x:f>(C377-E377-F377)+(G377-P377)</x:f>
        <x:v>0</x:v>
      </x:c>
    </x:row>
    <x:row r="378">
      <x:c r="A378" s="41" t="n">
        <x:f>IF(B378=1,A377+1,A377)</x:f>
        <x:v>2041</x:v>
      </x:c>
      <x:c r="B378" s="41" t="n">
        <x:f>IF(B377=26,1,B377+1)</x:f>
        <x:v>13</x:v>
      </x:c>
      <x:c r="C378" s="48" t="n">
        <x:f>Inputs!$F$17</x:f>
        <x:v>600</x:v>
      </x:c>
      <x:c r="D378" s="50" t="n">
        <x:f>IF(B378=1,0,D377+E377)</x:f>
        <x:v>7200</x:v>
      </x:c>
      <x:c r="E378" s="50" t="n">
        <x:f>MIN(C378,MAX(0,Inputs!$B$7-D378))</x:f>
        <x:v>600</x:v>
      </x:c>
      <x:c r="F378" s="50" t="n">
        <x:f>MIN(C378-E378,MAX(0,Inputs!$B$20-O378))</x:f>
        <x:v>0</x:v>
      </x:c>
      <x:c r="G378" s="50" t="n">
        <x:f>0</x:f>
        <x:v>0</x:v>
      </x:c>
      <x:c r="H378" s="41" t="n">
        <x:f>0</x:f>
        <x:v>0</x:v>
      </x:c>
      <x:c r="I378" s="50" t="n">
        <x:f>(I377*(1+Inputs!$B$12))+E378</x:f>
        <x:v>245483.31431884304</x:v>
      </x:c>
      <x:c r="J378" s="50" t="n">
        <x:f>(J377*(1+Inputs!$B$12))+F378+P378</x:f>
        <x:v>273155.4537192191</x:v>
      </x:c>
      <x:c r="K378" s="50" t="n">
        <x:f>(K377*(1+Inputs!$B$12))*(1-H378)</x:f>
        <x:v>0</x:v>
      </x:c>
      <x:c r="L378" s="50" t="n">
        <x:f>L377*(1+Inputs!$B$13)+Q378</x:f>
        <x:v>26389.647952126936</x:v>
      </x:c>
      <x:c r="M378" s="50" t="n">
        <x:f>I378+J378+L378</x:f>
        <x:v>545028.4159901891</x:v>
      </x:c>
      <x:c r="N378" s="50" t="n">
        <x:f>F378+P378</x:f>
        <x:v>0</x:v>
      </x:c>
      <x:c r="O378" s="50" t="n">
        <x:f>IF(B378=1,0,O377+F377+P377)</x:f>
        <x:v>3257.143464504</x:v>
      </x:c>
      <x:c r="P378" s="50" t="n">
        <x:f>MIN(G378,MAX(0,Inputs!$B$20-O378-F378))</x:f>
        <x:v>0</x:v>
      </x:c>
      <x:c r="Q378" s="50" t="n">
        <x:f>(C378-E378-F378)+(G378-P378)</x:f>
        <x:v>0</x:v>
      </x:c>
    </x:row>
    <x:row r="379">
      <x:c r="A379" s="41" t="n">
        <x:f>IF(B379=1,A378+1,A378)</x:f>
        <x:v>2041</x:v>
      </x:c>
      <x:c r="B379" s="41" t="n">
        <x:f>IF(B378=26,1,B378+1)</x:f>
        <x:v>14</x:v>
      </x:c>
      <x:c r="C379" s="48" t="n">
        <x:f>Inputs!$F$17</x:f>
        <x:v>600</x:v>
      </x:c>
      <x:c r="D379" s="50" t="n">
        <x:f>IF(B379=1,0,D378+E378)</x:f>
        <x:v>7800</x:v>
      </x:c>
      <x:c r="E379" s="50" t="n">
        <x:f>MIN(C379,MAX(0,Inputs!$B$7-D379))</x:f>
        <x:v>200</x:v>
      </x:c>
      <x:c r="F379" s="50" t="n">
        <x:f>MIN(C379-E379,MAX(0,Inputs!$B$20-O379))</x:f>
        <x:v>400</x:v>
      </x:c>
      <x:c r="G379" s="50" t="n">
        <x:f>0</x:f>
        <x:v>0</x:v>
      </x:c>
      <x:c r="H379" s="41" t="n">
        <x:f>0</x:f>
        <x:v>0</x:v>
      </x:c>
      <x:c r="I379" s="50" t="n">
        <x:f>(I378*(1+Inputs!$B$12))+E379</x:f>
        <x:v>246144.40724531387</x:v>
      </x:c>
      <x:c r="J379" s="50" t="n">
        <x:f>(J378*(1+Inputs!$B$12))+F379+P379</x:f>
        <x:v>274068.5234074231</x:v>
      </x:c>
      <x:c r="K379" s="50" t="n">
        <x:f>(K378*(1+Inputs!$B$12))*(1-H379)</x:f>
        <x:v>0</x:v>
      </x:c>
      <x:c r="L379" s="50" t="n">
        <x:f>L378*(1+Inputs!$B$13)+Q379</x:f>
        <x:v>26435.820714683836</x:v>
      </x:c>
      <x:c r="M379" s="50" t="n">
        <x:f>I379+J379+L379</x:f>
        <x:v>546648.7513674208</x:v>
      </x:c>
      <x:c r="N379" s="50" t="n">
        <x:f>F379+P379</x:f>
        <x:v>400</x:v>
      </x:c>
      <x:c r="O379" s="50" t="n">
        <x:f>IF(B379=1,0,O378+F378+P378)</x:f>
        <x:v>3257.143464504</x:v>
      </x:c>
      <x:c r="P379" s="50" t="n">
        <x:f>MIN(G379,MAX(0,Inputs!$B$20-O379-F379))</x:f>
        <x:v>0</x:v>
      </x:c>
      <x:c r="Q379" s="50" t="n">
        <x:f>(C379-E379-F379)+(G379-P379)</x:f>
        <x:v>0</x:v>
      </x:c>
    </x:row>
    <x:row r="380">
      <x:c r="A380" s="41" t="n">
        <x:f>IF(B380=1,A379+1,A379)</x:f>
        <x:v>2041</x:v>
      </x:c>
      <x:c r="B380" s="41" t="n">
        <x:f>IF(B379=26,1,B379+1)</x:f>
        <x:v>15</x:v>
      </x:c>
      <x:c r="C380" s="48" t="n">
        <x:f>Inputs!$F$17</x:f>
        <x:v>600</x:v>
      </x:c>
      <x:c r="D380" s="50" t="n">
        <x:f>IF(B380=1,0,D379+E379)</x:f>
        <x:v>8000</x:v>
      </x:c>
      <x:c r="E380" s="50" t="n">
        <x:f>MIN(C380,MAX(0,Inputs!$B$7-D380))</x:f>
        <x:v>0</x:v>
      </x:c>
      <x:c r="F380" s="50" t="n">
        <x:f>MIN(C380-E380,MAX(0,Inputs!$B$20-O380))</x:f>
        <x:v>600</x:v>
      </x:c>
      <x:c r="G380" s="50" t="n">
        <x:f>0</x:f>
        <x:v>0</x:v>
      </x:c>
      <x:c r="H380" s="41" t="n">
        <x:f>0</x:f>
        <x:v>0</x:v>
      </x:c>
      <x:c r="I380" s="50" t="n">
        <x:f>(I379*(1+Inputs!$B$12))+E380</x:f>
        <x:v>246606.7419069836</x:v>
      </x:c>
      <x:c r="J380" s="50" t="n">
        <x:f>(J379*(1+Inputs!$B$12))+F380+P380</x:f>
        <x:v>275183.30812043755</x:v>
      </x:c>
      <x:c r="K380" s="50" t="n">
        <x:f>(K379*(1+Inputs!$B$12))*(1-H380)</x:f>
        <x:v>0</x:v>
      </x:c>
      <x:c r="L380" s="50" t="n">
        <x:f>L379*(1+Inputs!$B$13)+Q380</x:f>
        <x:v>26482.07426361598</x:v>
      </x:c>
      <x:c r="M380" s="50" t="n">
        <x:f>I380+J380+L380</x:f>
        <x:v>548272.1242910371</x:v>
      </x:c>
      <x:c r="N380" s="50" t="n">
        <x:f>F380+P380</x:f>
        <x:v>600</x:v>
      </x:c>
      <x:c r="O380" s="50" t="n">
        <x:f>IF(B380=1,0,O379+F379+P379)</x:f>
        <x:v>3657.143464504</x:v>
      </x:c>
      <x:c r="P380" s="50" t="n">
        <x:f>MIN(G380,MAX(0,Inputs!$B$20-O380-F380))</x:f>
        <x:v>0</x:v>
      </x:c>
      <x:c r="Q380" s="50" t="n">
        <x:f>(C380-E380-F380)+(G380-P380)</x:f>
        <x:v>0</x:v>
      </x:c>
    </x:row>
    <x:row r="381">
      <x:c r="A381" s="41" t="n">
        <x:f>IF(B381=1,A380+1,A380)</x:f>
        <x:v>2041</x:v>
      </x:c>
      <x:c r="B381" s="41" t="n">
        <x:f>IF(B380=26,1,B380+1)</x:f>
        <x:v>16</x:v>
      </x:c>
      <x:c r="C381" s="48" t="n">
        <x:f>Inputs!$F$17</x:f>
        <x:v>600</x:v>
      </x:c>
      <x:c r="D381" s="50" t="n">
        <x:f>IF(B381=1,0,D380+E380)</x:f>
        <x:v>8000</x:v>
      </x:c>
      <x:c r="E381" s="50" t="n">
        <x:f>MIN(C381,MAX(0,Inputs!$B$7-D381))</x:f>
        <x:v>0</x:v>
      </x:c>
      <x:c r="F381" s="50" t="n">
        <x:f>MIN(C381-E381,MAX(0,Inputs!$B$20-O381))</x:f>
        <x:v>600</x:v>
      </x:c>
      <x:c r="G381" s="50" t="n">
        <x:f>0</x:f>
        <x:v>0</x:v>
      </x:c>
      <x:c r="H381" s="41" t="n">
        <x:f>0</x:f>
        <x:v>0</x:v>
      </x:c>
      <x:c r="I381" s="50" t="n">
        <x:f>(I380*(1+Inputs!$B$12))+E381</x:f>
        <x:v>247069.94497489408</x:v>
      </x:c>
      <x:c r="J381" s="50" t="n">
        <x:f>(J380*(1+Inputs!$B$12))+F381+P381</x:f>
        <x:v>276300.1867409224</x:v>
      </x:c>
      <x:c r="K381" s="50" t="n">
        <x:f>(K380*(1+Inputs!$B$12))*(1-H381)</x:f>
        <x:v>0</x:v>
      </x:c>
      <x:c r="L381" s="50" t="n">
        <x:f>L380*(1+Inputs!$B$13)+Q381</x:f>
        <x:v>26528.40874027161</x:v>
      </x:c>
      <x:c r="M381" s="50" t="n">
        <x:f>I381+J381+L381</x:f>
        <x:v>549898.540456088</x:v>
      </x:c>
      <x:c r="N381" s="50" t="n">
        <x:f>F381+P381</x:f>
        <x:v>600</x:v>
      </x:c>
      <x:c r="O381" s="50" t="n">
        <x:f>IF(B381=1,0,O380+F380+P380)</x:f>
        <x:v>4257.143464504</x:v>
      </x:c>
      <x:c r="P381" s="50" t="n">
        <x:f>MIN(G381,MAX(0,Inputs!$B$20-O381-F381))</x:f>
        <x:v>0</x:v>
      </x:c>
      <x:c r="Q381" s="50" t="n">
        <x:f>(C381-E381-F381)+(G381-P381)</x:f>
        <x:v>0</x:v>
      </x:c>
    </x:row>
    <x:row r="382">
      <x:c r="A382" s="41" t="n">
        <x:f>IF(B382=1,A381+1,A381)</x:f>
        <x:v>2041</x:v>
      </x:c>
      <x:c r="B382" s="41" t="n">
        <x:f>IF(B381=26,1,B381+1)</x:f>
        <x:v>17</x:v>
      </x:c>
      <x:c r="C382" s="48" t="n">
        <x:f>Inputs!$F$17</x:f>
        <x:v>600</x:v>
      </x:c>
      <x:c r="D382" s="50" t="n">
        <x:f>IF(B382=1,0,D381+E381)</x:f>
        <x:v>8000</x:v>
      </x:c>
      <x:c r="E382" s="50" t="n">
        <x:f>MIN(C382,MAX(0,Inputs!$B$7-D382))</x:f>
        <x:v>0</x:v>
      </x:c>
      <x:c r="F382" s="50" t="n">
        <x:f>MIN(C382-E382,MAX(0,Inputs!$B$20-O382))</x:f>
        <x:v>600</x:v>
      </x:c>
      <x:c r="G382" s="50" t="n">
        <x:f>0</x:f>
        <x:v>0</x:v>
      </x:c>
      <x:c r="H382" s="41" t="n">
        <x:f>0</x:f>
        <x:v>0</x:v>
      </x:c>
      <x:c r="I382" s="50" t="n">
        <x:f>(I381*(1+Inputs!$B$12))+E382</x:f>
        <x:v>247534.0180801785</x:v>
      </x:c>
      <x:c r="J382" s="50" t="n">
        <x:f>(J381*(1+Inputs!$B$12))+F382+P382</x:f>
        <x:v>277419.16320187785</x:v>
      </x:c>
      <x:c r="K382" s="50" t="n">
        <x:f>(K381*(1+Inputs!$B$12))*(1-H382)</x:f>
        <x:v>0</x:v>
      </x:c>
      <x:c r="L382" s="50" t="n">
        <x:f>L381*(1+Inputs!$B$13)+Q382</x:f>
        <x:v>26574.824286246265</x:v>
      </x:c>
      <x:c r="M382" s="50" t="n">
        <x:f>I382+J382+L382</x:f>
        <x:v>551528.0055683027</x:v>
      </x:c>
      <x:c r="N382" s="50" t="n">
        <x:f>F382+P382</x:f>
        <x:v>600</x:v>
      </x:c>
      <x:c r="O382" s="50" t="n">
        <x:f>IF(B382=1,0,O381+F381+P381)</x:f>
        <x:v>4857.143464504</x:v>
      </x:c>
      <x:c r="P382" s="50" t="n">
        <x:f>MIN(G382,MAX(0,Inputs!$B$20-O382-F382))</x:f>
        <x:v>0</x:v>
      </x:c>
      <x:c r="Q382" s="50" t="n">
        <x:f>(C382-E382-F382)+(G382-P382)</x:f>
        <x:v>0</x:v>
      </x:c>
    </x:row>
    <x:row r="383">
      <x:c r="A383" s="41" t="n">
        <x:f>IF(B383=1,A382+1,A382)</x:f>
        <x:v>2041</x:v>
      </x:c>
      <x:c r="B383" s="41" t="n">
        <x:f>IF(B382=26,1,B382+1)</x:f>
        <x:v>18</x:v>
      </x:c>
      <x:c r="C383" s="48" t="n">
        <x:f>Inputs!$F$17</x:f>
        <x:v>600</x:v>
      </x:c>
      <x:c r="D383" s="50" t="n">
        <x:f>IF(B383=1,0,D382+E382)</x:f>
        <x:v>8000</x:v>
      </x:c>
      <x:c r="E383" s="50" t="n">
        <x:f>MIN(C383,MAX(0,Inputs!$B$7-D383))</x:f>
        <x:v>0</x:v>
      </x:c>
      <x:c r="F383" s="50" t="n">
        <x:f>MIN(C383-E383,MAX(0,Inputs!$B$20-O383))</x:f>
        <x:v>600</x:v>
      </x:c>
      <x:c r="G383" s="50" t="n">
        <x:f>0</x:f>
        <x:v>0</x:v>
      </x:c>
      <x:c r="H383" s="41" t="n">
        <x:f>0</x:f>
        <x:v>0</x:v>
      </x:c>
      <x:c r="I383" s="50" t="n">
        <x:f>(I382*(1+Inputs!$B$12))+E383</x:f>
        <x:v>247998.9628570338</x:v>
      </x:c>
      <x:c r="J383" s="50" t="n">
        <x:f>(J382*(1+Inputs!$B$12))+F383+P383</x:f>
        <x:v>278540.2414436914</x:v>
      </x:c>
      <x:c r="K383" s="50" t="n">
        <x:f>(K382*(1+Inputs!$B$12))*(1-H383)</x:f>
        <x:v>0</x:v>
      </x:c>
      <x:c r="L383" s="50" t="n">
        <x:f>L382*(1+Inputs!$B$13)+Q383</x:f>
        <x:v>26621.321043383232</x:v>
      </x:c>
      <x:c r="M383" s="50" t="n">
        <x:f>I383+J383+L383</x:f>
        <x:v>553160.5253441085</x:v>
      </x:c>
      <x:c r="N383" s="50" t="n">
        <x:f>F383+P383</x:f>
        <x:v>600</x:v>
      </x:c>
      <x:c r="O383" s="50" t="n">
        <x:f>IF(B383=1,0,O382+F382+P382)</x:f>
        <x:v>5457.143464504</x:v>
      </x:c>
      <x:c r="P383" s="50" t="n">
        <x:f>MIN(G383,MAX(0,Inputs!$B$20-O383-F383))</x:f>
        <x:v>0</x:v>
      </x:c>
      <x:c r="Q383" s="50" t="n">
        <x:f>(C383-E383-F383)+(G383-P383)</x:f>
        <x:v>0</x:v>
      </x:c>
    </x:row>
    <x:row r="384">
      <x:c r="A384" s="41" t="n">
        <x:f>IF(B384=1,A383+1,A383)</x:f>
        <x:v>2041</x:v>
      </x:c>
      <x:c r="B384" s="41" t="n">
        <x:f>IF(B383=26,1,B383+1)</x:f>
        <x:v>19</x:v>
      </x:c>
      <x:c r="C384" s="48" t="n">
        <x:f>Inputs!$F$17</x:f>
        <x:v>600</x:v>
      </x:c>
      <x:c r="D384" s="50" t="n">
        <x:f>IF(B384=1,0,D383+E383)</x:f>
        <x:v>8000</x:v>
      </x:c>
      <x:c r="E384" s="50" t="n">
        <x:f>MIN(C384,MAX(0,Inputs!$B$7-D384))</x:f>
        <x:v>0</x:v>
      </x:c>
      <x:c r="F384" s="50" t="n">
        <x:f>MIN(C384-E384,MAX(0,Inputs!$B$20-O384))</x:f>
        <x:v>600</x:v>
      </x:c>
      <x:c r="G384" s="50" t="n">
        <x:f>0</x:f>
        <x:v>0</x:v>
      </x:c>
      <x:c r="H384" s="41" t="n">
        <x:f>0</x:f>
        <x:v>0</x:v>
      </x:c>
      <x:c r="I384" s="50" t="n">
        <x:f>(I383*(1+Inputs!$B$12))+E384</x:f>
        <x:v>248464.7809427264</x:v>
      </x:c>
      <x:c r="J384" s="50" t="n">
        <x:f>(J383*(1+Inputs!$B$12))+F384+P384</x:f>
        <x:v>279663.42541415204</x:v>
      </x:c>
      <x:c r="K384" s="50" t="n">
        <x:f>(K383*(1+Inputs!$B$12))*(1-H384)</x:f>
        <x:v>0</x:v>
      </x:c>
      <x:c r="L384" s="50" t="n">
        <x:f>L383*(1+Inputs!$B$13)+Q384</x:f>
        <x:v>26667.89915377398</x:v>
      </x:c>
      <x:c r="M384" s="50" t="n">
        <x:f>I384+J384+L384</x:f>
        <x:v>554796.1055106524</x:v>
      </x:c>
      <x:c r="N384" s="50" t="n">
        <x:f>F384+P384</x:f>
        <x:v>600</x:v>
      </x:c>
      <x:c r="O384" s="50" t="n">
        <x:f>IF(B384=1,0,O383+F383+P383)</x:f>
        <x:v>6057.143464504</x:v>
      </x:c>
      <x:c r="P384" s="50" t="n">
        <x:f>MIN(G384,MAX(0,Inputs!$B$20-O384-F384))</x:f>
        <x:v>0</x:v>
      </x:c>
      <x:c r="Q384" s="50" t="n">
        <x:f>(C384-E384-F384)+(G384-P384)</x:f>
        <x:v>0</x:v>
      </x:c>
    </x:row>
    <x:row r="385">
      <x:c r="A385" s="41" t="n">
        <x:f>IF(B385=1,A384+1,A384)</x:f>
        <x:v>2041</x:v>
      </x:c>
      <x:c r="B385" s="41" t="n">
        <x:f>IF(B384=26,1,B384+1)</x:f>
        <x:v>20</x:v>
      </x:c>
      <x:c r="C385" s="48" t="n">
        <x:f>Inputs!$F$17</x:f>
        <x:v>600</x:v>
      </x:c>
      <x:c r="D385" s="50" t="n">
        <x:f>IF(B385=1,0,D384+E384)</x:f>
        <x:v>8000</x:v>
      </x:c>
      <x:c r="E385" s="50" t="n">
        <x:f>MIN(C385,MAX(0,Inputs!$B$7-D385))</x:f>
        <x:v>0</x:v>
      </x:c>
      <x:c r="F385" s="50" t="n">
        <x:f>MIN(C385-E385,MAX(0,Inputs!$B$20-O385))</x:f>
        <x:v>600</x:v>
      </x:c>
      <x:c r="G385" s="50" t="n">
        <x:f>0</x:f>
        <x:v>0</x:v>
      </x:c>
      <x:c r="H385" s="41" t="n">
        <x:f>0</x:f>
        <x:v>0</x:v>
      </x:c>
      <x:c r="I385" s="50" t="n">
        <x:f>(I384*(1+Inputs!$B$12))+E385</x:f>
        <x:v>248931.47397759804</x:v>
      </x:c>
      <x:c r="J385" s="50" t="n">
        <x:f>(J384*(1+Inputs!$B$12))+F385+P385</x:f>
        <x:v>280788.7190684636</x:v>
      </x:c>
      <x:c r="K385" s="50" t="n">
        <x:f>(K384*(1+Inputs!$B$12))*(1-H385)</x:f>
        <x:v>0</x:v>
      </x:c>
      <x:c r="L385" s="50" t="n">
        <x:f>L384*(1+Inputs!$B$13)+Q385</x:f>
        <x:v>26714.558759758576</x:v>
      </x:c>
      <x:c r="M385" s="50" t="n">
        <x:f>I385+J385+L385</x:f>
        <x:v>556434.7518058203</x:v>
      </x:c>
      <x:c r="N385" s="50" t="n">
        <x:f>F385+P385</x:f>
        <x:v>600</x:v>
      </x:c>
      <x:c r="O385" s="50" t="n">
        <x:f>IF(B385=1,0,O384+F384+P384)</x:f>
        <x:v>6657.143464504</x:v>
      </x:c>
      <x:c r="P385" s="50" t="n">
        <x:f>MIN(G385,MAX(0,Inputs!$B$20-O385-F385))</x:f>
        <x:v>0</x:v>
      </x:c>
      <x:c r="Q385" s="50" t="n">
        <x:f>(C385-E385-F385)+(G385-P385)</x:f>
        <x:v>0</x:v>
      </x:c>
    </x:row>
    <x:row r="386">
      <x:c r="A386" s="41" t="n">
        <x:f>IF(B386=1,A385+1,A385)</x:f>
        <x:v>2041</x:v>
      </x:c>
      <x:c r="B386" s="41" t="n">
        <x:f>IF(B385=26,1,B385+1)</x:f>
        <x:v>21</x:v>
      </x:c>
      <x:c r="C386" s="48" t="n">
        <x:f>Inputs!$F$17</x:f>
        <x:v>600</x:v>
      </x:c>
      <x:c r="D386" s="50" t="n">
        <x:f>IF(B386=1,0,D385+E385)</x:f>
        <x:v>8000</x:v>
      </x:c>
      <x:c r="E386" s="50" t="n">
        <x:f>MIN(C386,MAX(0,Inputs!$B$7-D386))</x:f>
        <x:v>0</x:v>
      </x:c>
      <x:c r="F386" s="50" t="n">
        <x:f>MIN(C386-E386,MAX(0,Inputs!$B$20-O386))</x:f>
        <x:v>600</x:v>
      </x:c>
      <x:c r="G386" s="50" t="n">
        <x:f>0</x:f>
        <x:v>0</x:v>
      </x:c>
      <x:c r="H386" s="41" t="n">
        <x:f>0</x:f>
        <x:v>0</x:v>
      </x:c>
      <x:c r="I386" s="50" t="n">
        <x:f>(I385*(1+Inputs!$B$12))+E386</x:f>
        <x:v>249399.04360507155</x:v>
      </x:c>
      <x:c r="J386" s="50" t="n">
        <x:f>(J385*(1+Inputs!$B$12))+F386+P386</x:f>
        <x:v>281916.12636925926</x:v>
      </x:c>
      <x:c r="K386" s="50" t="n">
        <x:f>(K385*(1+Inputs!$B$12))*(1-H386)</x:f>
        <x:v>0</x:v>
      </x:c>
      <x:c r="L386" s="50" t="n">
        <x:f>L385*(1+Inputs!$B$13)+Q386</x:f>
        <x:v>26761.30000392615</x:v>
      </x:c>
      <x:c r="M386" s="50" t="n">
        <x:f>I386+J386+L386</x:f>
        <x:v>558076.469978257</x:v>
      </x:c>
      <x:c r="N386" s="50" t="n">
        <x:f>F386+P386</x:f>
        <x:v>600</x:v>
      </x:c>
      <x:c r="O386" s="50" t="n">
        <x:f>IF(B386=1,0,O385+F385+P385)</x:f>
        <x:v>7257.143464504</x:v>
      </x:c>
      <x:c r="P386" s="50" t="n">
        <x:f>MIN(G386,MAX(0,Inputs!$B$20-O386-F386))</x:f>
        <x:v>0</x:v>
      </x:c>
      <x:c r="Q386" s="50" t="n">
        <x:f>(C386-E386-F386)+(G386-P386)</x:f>
        <x:v>0</x:v>
      </x:c>
    </x:row>
    <x:row r="387">
      <x:c r="A387" s="41" t="n">
        <x:f>IF(B387=1,A386+1,A386)</x:f>
        <x:v>2041</x:v>
      </x:c>
      <x:c r="B387" s="41" t="n">
        <x:f>IF(B386=26,1,B386+1)</x:f>
        <x:v>22</x:v>
      </x:c>
      <x:c r="C387" s="48" t="n">
        <x:f>Inputs!$F$17</x:f>
        <x:v>600</x:v>
      </x:c>
      <x:c r="D387" s="50" t="n">
        <x:f>IF(B387=1,0,D386+E386)</x:f>
        <x:v>8000</x:v>
      </x:c>
      <x:c r="E387" s="50" t="n">
        <x:f>MIN(C387,MAX(0,Inputs!$B$7-D387))</x:f>
        <x:v>0</x:v>
      </x:c>
      <x:c r="F387" s="50" t="n">
        <x:f>MIN(C387-E387,MAX(0,Inputs!$B$20-O387))</x:f>
        <x:v>600</x:v>
      </x:c>
      <x:c r="G387" s="50" t="n">
        <x:f>0</x:f>
        <x:v>0</x:v>
      </x:c>
      <x:c r="H387" s="41" t="n">
        <x:f>0</x:f>
        <x:v>0</x:v>
      </x:c>
      <x:c r="I387" s="50" t="n">
        <x:f>(I386*(1+Inputs!$B$12))+E387</x:f>
        <x:v>249867.49147165657</x:v>
      </x:c>
      <x:c r="J387" s="50" t="n">
        <x:f>(J386*(1+Inputs!$B$12))+F387+P387</x:f>
        <x:v>283045.65128661506</x:v>
      </x:c>
      <x:c r="K387" s="50" t="n">
        <x:f>(K386*(1+Inputs!$B$12))*(1-H387)</x:f>
        <x:v>0</x:v>
      </x:c>
      <x:c r="L387" s="50" t="n">
        <x:f>L386*(1+Inputs!$B$13)+Q387</x:f>
        <x:v>26808.123029115297</x:v>
      </x:c>
      <x:c r="M387" s="50" t="n">
        <x:f>I387+J387+L387</x:f>
        <x:v>559721.2657873869</x:v>
      </x:c>
      <x:c r="N387" s="50" t="n">
        <x:f>F387+P387</x:f>
        <x:v>600</x:v>
      </x:c>
      <x:c r="O387" s="50" t="n">
        <x:f>IF(B387=1,0,O386+F386+P386)</x:f>
        <x:v>7857.143464504</x:v>
      </x:c>
      <x:c r="P387" s="50" t="n">
        <x:f>MIN(G387,MAX(0,Inputs!$B$20-O387-F387))</x:f>
        <x:v>0</x:v>
      </x:c>
      <x:c r="Q387" s="50" t="n">
        <x:f>(C387-E387-F387)+(G387-P387)</x:f>
        <x:v>0</x:v>
      </x:c>
    </x:row>
    <x:row r="388">
      <x:c r="A388" s="41" t="n">
        <x:f>IF(B388=1,A387+1,A387)</x:f>
        <x:v>2041</x:v>
      </x:c>
      <x:c r="B388" s="41" t="n">
        <x:f>IF(B387=26,1,B387+1)</x:f>
        <x:v>23</x:v>
      </x:c>
      <x:c r="C388" s="48" t="n">
        <x:f>Inputs!$F$17</x:f>
        <x:v>600</x:v>
      </x:c>
      <x:c r="D388" s="50" t="n">
        <x:f>IF(B388=1,0,D387+E387)</x:f>
        <x:v>8000</x:v>
      </x:c>
      <x:c r="E388" s="50" t="n">
        <x:f>MIN(C388,MAX(0,Inputs!$B$7-D388))</x:f>
        <x:v>0</x:v>
      </x:c>
      <x:c r="F388" s="50" t="n">
        <x:f>MIN(C388-E388,MAX(0,Inputs!$B$20-O388))</x:f>
        <x:v>600</x:v>
      </x:c>
      <x:c r="G388" s="50" t="n">
        <x:f>0</x:f>
        <x:v>0</x:v>
      </x:c>
      <x:c r="H388" s="41" t="n">
        <x:f>0</x:f>
        <x:v>0</x:v>
      </x:c>
      <x:c r="I388" s="50" t="n">
        <x:f>(I387*(1+Inputs!$B$12))+E388</x:f>
        <x:v>250336.81922695544</x:v>
      </x:c>
      <x:c r="J388" s="50" t="n">
        <x:f>(J387*(1+Inputs!$B$12))+F388+P388</x:f>
        <x:v>284177.2977980642</x:v>
      </x:c>
      <x:c r="K388" s="50" t="n">
        <x:f>(K387*(1+Inputs!$B$12))*(1-H388)</x:f>
        <x:v>0</x:v>
      </x:c>
      <x:c r="L388" s="50" t="n">
        <x:f>L387*(1+Inputs!$B$13)+Q388</x:f>
        <x:v>26855.027978414542</x:v>
      </x:c>
      <x:c r="M388" s="50" t="n">
        <x:f>I388+J388+L388</x:f>
        <x:v>561369.1450034342</x:v>
      </x:c>
      <x:c r="N388" s="50" t="n">
        <x:f>F388+P388</x:f>
        <x:v>600</x:v>
      </x:c>
      <x:c r="O388" s="50" t="n">
        <x:f>IF(B388=1,0,O387+F387+P387)</x:f>
        <x:v>8457.143464503999</x:v>
      </x:c>
      <x:c r="P388" s="50" t="n">
        <x:f>MIN(G388,MAX(0,Inputs!$B$20-O388-F388))</x:f>
        <x:v>0</x:v>
      </x:c>
      <x:c r="Q388" s="50" t="n">
        <x:f>(C388-E388-F388)+(G388-P388)</x:f>
        <x:v>0</x:v>
      </x:c>
    </x:row>
    <x:row r="389">
      <x:c r="A389" s="41" t="n">
        <x:f>IF(B389=1,A388+1,A388)</x:f>
        <x:v>2041</x:v>
      </x:c>
      <x:c r="B389" s="41" t="n">
        <x:f>IF(B388=26,1,B388+1)</x:f>
        <x:v>24</x:v>
      </x:c>
      <x:c r="C389" s="48" t="n">
        <x:f>Inputs!$F$17</x:f>
        <x:v>600</x:v>
      </x:c>
      <x:c r="D389" s="50" t="n">
        <x:f>IF(B389=1,0,D388+E388)</x:f>
        <x:v>8000</x:v>
      </x:c>
      <x:c r="E389" s="50" t="n">
        <x:f>MIN(C389,MAX(0,Inputs!$B$7-D389))</x:f>
        <x:v>0</x:v>
      </x:c>
      <x:c r="F389" s="50" t="n">
        <x:f>MIN(C389-E389,MAX(0,Inputs!$B$20-O389))</x:f>
        <x:v>600</x:v>
      </x:c>
      <x:c r="G389" s="50" t="n">
        <x:f>0</x:f>
        <x:v>0</x:v>
      </x:c>
      <x:c r="H389" s="41" t="n">
        <x:f>0</x:f>
        <x:v>0</x:v>
      </x:c>
      <x:c r="I389" s="50" t="n">
        <x:f>(I388*(1+Inputs!$B$12))+E389</x:f>
        <x:v>250807.0285236689</x:v>
      </x:c>
      <x:c r="J389" s="50" t="n">
        <x:f>(J388*(1+Inputs!$B$12))+F389+P389</x:f>
        <x:v>285311.0698886108</x:v>
      </x:c>
      <x:c r="K389" s="50" t="n">
        <x:f>(K388*(1+Inputs!$B$12))*(1-H389)</x:f>
        <x:v>0</x:v>
      </x:c>
      <x:c r="L389" s="50" t="n">
        <x:f>L388*(1+Inputs!$B$13)+Q389</x:f>
        <x:v>26902.01499516276</x:v>
      </x:c>
      <x:c r="M389" s="50" t="n">
        <x:f>I389+J389+L389</x:f>
        <x:v>563020.1134074425</x:v>
      </x:c>
      <x:c r="N389" s="50" t="n">
        <x:f>F389+P389</x:f>
        <x:v>600</x:v>
      </x:c>
      <x:c r="O389" s="50" t="n">
        <x:f>IF(B389=1,0,O388+F388+P388)</x:f>
        <x:v>9057.143464503999</x:v>
      </x:c>
      <x:c r="P389" s="50" t="n">
        <x:f>MIN(G389,MAX(0,Inputs!$B$20-O389-F389))</x:f>
        <x:v>0</x:v>
      </x:c>
      <x:c r="Q389" s="50" t="n">
        <x:f>(C389-E389-F389)+(G389-P389)</x:f>
        <x:v>0</x:v>
      </x:c>
    </x:row>
    <x:row r="390">
      <x:c r="A390" s="41" t="n">
        <x:f>IF(B390=1,A389+1,A389)</x:f>
        <x:v>2041</x:v>
      </x:c>
      <x:c r="B390" s="41" t="n">
        <x:f>IF(B389=26,1,B389+1)</x:f>
        <x:v>25</x:v>
      </x:c>
      <x:c r="C390" s="48" t="n">
        <x:f>Inputs!$F$17</x:f>
        <x:v>600</x:v>
      </x:c>
      <x:c r="D390" s="50" t="n">
        <x:f>IF(B390=1,0,D389+E389)</x:f>
        <x:v>8000</x:v>
      </x:c>
      <x:c r="E390" s="50" t="n">
        <x:f>MIN(C390,MAX(0,Inputs!$B$7-D390))</x:f>
        <x:v>0</x:v>
      </x:c>
      <x:c r="F390" s="50" t="n">
        <x:f>MIN(C390-E390,MAX(0,Inputs!$B$20-O390))</x:f>
        <x:v>600</x:v>
      </x:c>
      <x:c r="G390" s="50" t="n">
        <x:f>0</x:f>
        <x:v>0</x:v>
      </x:c>
      <x:c r="H390" s="41" t="n">
        <x:f>0</x:f>
        <x:v>0</x:v>
      </x:c>
      <x:c r="I390" s="50" t="n">
        <x:f>(I389*(1+Inputs!$B$12))+E390</x:f>
        <x:v>251278.121017602</x:v>
      </x:c>
      <x:c r="J390" s="50" t="n">
        <x:f>(J389*(1+Inputs!$B$12))+F390+P390</x:f>
        <x:v>286446.9715507441</x:v>
      </x:c>
      <x:c r="K390" s="50" t="n">
        <x:f>(K389*(1+Inputs!$B$12))*(1-H390)</x:f>
        <x:v>0</x:v>
      </x:c>
      <x:c r="L390" s="50" t="n">
        <x:f>L389*(1+Inputs!$B$13)+Q390</x:f>
        <x:v>26949.084222949623</x:v>
      </x:c>
      <x:c r="M390" s="50" t="n">
        <x:f>I390+J390+L390</x:f>
        <x:v>564674.1767912956</x:v>
      </x:c>
      <x:c r="N390" s="50" t="n">
        <x:f>F390+P390</x:f>
        <x:v>600</x:v>
      </x:c>
      <x:c r="O390" s="50" t="n">
        <x:f>IF(B390=1,0,O389+F389+P389)</x:f>
        <x:v>9657.143464503999</x:v>
      </x:c>
      <x:c r="P390" s="50" t="n">
        <x:f>MIN(G390,MAX(0,Inputs!$B$20-O390-F390))</x:f>
        <x:v>0</x:v>
      </x:c>
      <x:c r="Q390" s="50" t="n">
        <x:f>(C390-E390-F390)+(G390-P390)</x:f>
        <x:v>0</x:v>
      </x:c>
    </x:row>
    <x:row r="391">
      <x:c r="A391" s="41" t="n">
        <x:f>IF(B391=1,A390+1,A390)</x:f>
        <x:v>2041</x:v>
      </x:c>
      <x:c r="B391" s="41" t="n">
        <x:f>IF(B390=26,1,B390+1)</x:f>
        <x:v>26</x:v>
      </x:c>
      <x:c r="C391" s="48" t="n">
        <x:f>Inputs!$F$17</x:f>
        <x:v>600</x:v>
      </x:c>
      <x:c r="D391" s="50" t="n">
        <x:f>IF(B391=1,0,D390+E390)</x:f>
        <x:v>8000</x:v>
      </x:c>
      <x:c r="E391" s="50" t="n">
        <x:f>MIN(C391,MAX(0,Inputs!$B$7-D391))</x:f>
        <x:v>0</x:v>
      </x:c>
      <x:c r="F391" s="50" t="n">
        <x:f>MIN(C391-E391,MAX(0,Inputs!$B$20-O391))</x:f>
        <x:v>600</x:v>
      </x:c>
      <x:c r="G391" s="50" t="n">
        <x:f>0</x:f>
        <x:v>0</x:v>
      </x:c>
      <x:c r="H391" s="41" t="n">
        <x:f>IF(A391=Inputs!$B$8,1,0)</x:f>
        <x:v>0</x:v>
      </x:c>
      <x:c r="I391" s="50" t="n">
        <x:f>(I390*(1+Inputs!$B$12))+E391</x:f>
        <x:v>251750.0983676699</x:v>
      </x:c>
      <x:c r="J391" s="50" t="n">
        <x:f>(J390*(1+Inputs!$B$12))+F391+P391</x:f>
        <x:v>287585.0067844524</x:v>
      </x:c>
      <x:c r="K391" s="50" t="n">
        <x:f>(K390*(1+Inputs!$B$12))*(1-H391)</x:f>
        <x:v>0</x:v>
      </x:c>
      <x:c r="L391" s="50" t="n">
        <x:f>L390*(1+Inputs!$B$13)+Q391</x:f>
        <x:v>26996.23580561603</x:v>
      </x:c>
      <x:c r="M391" s="50" t="n">
        <x:f>I391+J391+L391</x:f>
        <x:v>566331.3409577383</x:v>
      </x:c>
      <x:c r="N391" s="50" t="n">
        <x:f>F391+P391</x:f>
        <x:v>600</x:v>
      </x:c>
      <x:c r="O391" s="50" t="n">
        <x:f>IF(B391=1,0,O390+F390+P390)</x:f>
        <x:v>10257.143464503999</x:v>
      </x:c>
      <x:c r="P391" s="50" t="n">
        <x:f>MIN(G391,MAX(0,Inputs!$B$20-O391-F391))</x:f>
        <x:v>0</x:v>
      </x:c>
      <x:c r="Q391" s="50" t="n">
        <x:f>(C391-E391-F391)+(G391-P391)</x:f>
        <x:v>0</x:v>
      </x:c>
    </x:row>
    <x:row r="392">
      <x:c r="A392" s="41" t="n">
        <x:f>IF(B392=1,A391+1,A391)</x:f>
        <x:v>2042</x:v>
      </x:c>
      <x:c r="B392" s="41" t="n">
        <x:f>IF(B391=26,1,B391+1)</x:f>
        <x:v>1</x:v>
      </x:c>
      <x:c r="C392" s="48" t="n">
        <x:f>Inputs!$F$18</x:f>
        <x:v>600</x:v>
      </x:c>
      <x:c r="D392" s="50" t="n">
        <x:f>IF(B392=1,0,D391+E391)</x:f>
        <x:v>0</x:v>
      </x:c>
      <x:c r="E392" s="50" t="n">
        <x:f>MIN(C392,MAX(0,Inputs!$B$7-D392))</x:f>
        <x:v>600</x:v>
      </x:c>
      <x:c r="F392" s="50" t="n">
        <x:f>MIN(C392-E392,MAX(0,Inputs!$B$20-O392))</x:f>
        <x:v>0</x:v>
      </x:c>
      <x:c r="G392" s="50" t="n">
        <x:f>0</x:f>
        <x:v>0</x:v>
      </x:c>
      <x:c r="H392" s="41" t="n">
        <x:f>0</x:f>
        <x:v>0</x:v>
      </x:c>
      <x:c r="I392" s="50" t="n">
        <x:f>(I391*(1+Inputs!$B$12))+E392</x:f>
        <x:v>252822.96223590372</x:v>
      </x:c>
      <x:c r="J392" s="50" t="n">
        <x:f>(J391*(1+Inputs!$B$12))+F392+P392</x:f>
        <x:v>288125.1795972373</x:v>
      </x:c>
      <x:c r="K392" s="50" t="n">
        <x:f>(K391*(1+Inputs!$B$12))*(1-H392)</x:f>
        <x:v>0</x:v>
      </x:c>
      <x:c r="L392" s="50" t="n">
        <x:f>L391*(1+Inputs!$B$13)+Q392</x:f>
        <x:v>27043.469887254556</x:v>
      </x:c>
      <x:c r="M392" s="50" t="n">
        <x:f>I392+J392+L392</x:f>
        <x:v>567991.6117203955</x:v>
      </x:c>
      <x:c r="N392" s="50" t="n">
        <x:f>F392+P392</x:f>
        <x:v>0</x:v>
      </x:c>
      <x:c r="O392" s="50" t="n">
        <x:f>IF(B392=1,0,O391+F391+P391)</x:f>
        <x:v>0</x:v>
      </x:c>
      <x:c r="P392" s="50" t="n">
        <x:f>MIN(G392,MAX(0,Inputs!$B$20-O392-F392))</x:f>
        <x:v>0</x:v>
      </x:c>
      <x:c r="Q392" s="50" t="n">
        <x:f>(C392-E392-F392)+(G392-P392)</x:f>
        <x:v>0</x:v>
      </x:c>
    </x:row>
    <x:row r="393">
      <x:c r="A393" s="41" t="n">
        <x:f>IF(B393=1,A392+1,A392)</x:f>
        <x:v>2042</x:v>
      </x:c>
      <x:c r="B393" s="41" t="n">
        <x:f>IF(B392=26,1,B392+1)</x:f>
        <x:v>2</x:v>
      </x:c>
      <x:c r="C393" s="48" t="n">
        <x:f>Inputs!$F$18</x:f>
        <x:v>600</x:v>
      </x:c>
      <x:c r="D393" s="50" t="n">
        <x:f>IF(B393=1,0,D392+E392)</x:f>
        <x:v>600</x:v>
      </x:c>
      <x:c r="E393" s="50" t="n">
        <x:f>MIN(C393,MAX(0,Inputs!$B$7-D393))</x:f>
        <x:v>600</x:v>
      </x:c>
      <x:c r="F393" s="50" t="n">
        <x:f>MIN(C393-E393,MAX(0,Inputs!$B$20-O393))</x:f>
        <x:v>0</x:v>
      </x:c>
      <x:c r="G393" s="50" t="n">
        <x:f>0</x:f>
        <x:v>0</x:v>
      </x:c>
      <x:c r="H393" s="41" t="n">
        <x:f>0</x:f>
        <x:v>0</x:v>
      </x:c>
      <x:c r="I393" s="50" t="n">
        <x:f>(I392*(1+Inputs!$B$12))+E393</x:f>
        <x:v>253897.841271409</x:v>
      </x:c>
      <x:c r="J393" s="50" t="n">
        <x:f>(J392*(1+Inputs!$B$12))+F393+P393</x:f>
        <x:v>288666.36702017504</x:v>
      </x:c>
      <x:c r="K393" s="50" t="n">
        <x:f>(K392*(1+Inputs!$B$12))*(1-H393)</x:f>
        <x:v>0</x:v>
      </x:c>
      <x:c r="L393" s="50" t="n">
        <x:f>L392*(1+Inputs!$B$13)+Q393</x:f>
        <x:v>27090.78661220989</x:v>
      </x:c>
      <x:c r="M393" s="50" t="n">
        <x:f>I393+J393+L393</x:f>
        <x:v>569654.9949037939</x:v>
      </x:c>
      <x:c r="N393" s="50" t="n">
        <x:f>F393+P393</x:f>
        <x:v>0</x:v>
      </x:c>
      <x:c r="O393" s="50" t="n">
        <x:f>IF(B393=1,0,O392+F392+P392)</x:f>
        <x:v>0</x:v>
      </x:c>
      <x:c r="P393" s="50" t="n">
        <x:f>MIN(G393,MAX(0,Inputs!$B$20-O393-F393))</x:f>
        <x:v>0</x:v>
      </x:c>
      <x:c r="Q393" s="50" t="n">
        <x:f>(C393-E393-F393)+(G393-P393)</x:f>
        <x:v>0</x:v>
      </x:c>
    </x:row>
    <x:row r="394">
      <x:c r="A394" s="41" t="n">
        <x:f>IF(B394=1,A393+1,A393)</x:f>
        <x:v>2042</x:v>
      </x:c>
      <x:c r="B394" s="41" t="n">
        <x:f>IF(B393=26,1,B393+1)</x:f>
        <x:v>3</x:v>
      </x:c>
      <x:c r="C394" s="48" t="n">
        <x:f>Inputs!$F$18</x:f>
        <x:v>600</x:v>
      </x:c>
      <x:c r="D394" s="50" t="n">
        <x:f>IF(B394=1,0,D393+E393)</x:f>
        <x:v>1200</x:v>
      </x:c>
      <x:c r="E394" s="50" t="n">
        <x:f>MIN(C394,MAX(0,Inputs!$B$7-D394))</x:f>
        <x:v>600</x:v>
      </x:c>
      <x:c r="F394" s="50" t="n">
        <x:f>MIN(C394-E394,MAX(0,Inputs!$B$20-O394))</x:f>
        <x:v>0</x:v>
      </x:c>
      <x:c r="G394" s="50" t="n">
        <x:f>0</x:f>
        <x:v>0</x:v>
      </x:c>
      <x:c r="H394" s="41" t="n">
        <x:f>0</x:f>
        <x:v>0</x:v>
      </x:c>
      <x:c r="I394" s="50" t="n">
        <x:f>(I393*(1+Inputs!$B$12))+E394</x:f>
        <x:v>254974.73925928774</x:v>
      </x:c>
      <x:c r="J394" s="50" t="n">
        <x:f>(J393*(1+Inputs!$B$12))+F394+P394</x:f>
        <x:v>289208.57095901447</x:v>
      </x:c>
      <x:c r="K394" s="50" t="n">
        <x:f>(K393*(1+Inputs!$B$12))*(1-H394)</x:f>
        <x:v>0</x:v>
      </x:c>
      <x:c r="L394" s="50" t="n">
        <x:f>L393*(1+Inputs!$B$13)+Q394</x:f>
        <x:v>27138.186125079268</x:v>
      </x:c>
      <x:c r="M394" s="50" t="n">
        <x:f>I394+J394+L394</x:f>
        <x:v>571321.4963433815</x:v>
      </x:c>
      <x:c r="N394" s="50" t="n">
        <x:f>F394+P394</x:f>
        <x:v>0</x:v>
      </x:c>
      <x:c r="O394" s="50" t="n">
        <x:f>IF(B394=1,0,O393+F393+P393)</x:f>
        <x:v>0</x:v>
      </x:c>
      <x:c r="P394" s="50" t="n">
        <x:f>MIN(G394,MAX(0,Inputs!$B$20-O394-F394))</x:f>
        <x:v>0</x:v>
      </x:c>
      <x:c r="Q394" s="50" t="n">
        <x:f>(C394-E394-F394)+(G394-P394)</x:f>
        <x:v>0</x:v>
      </x:c>
    </x:row>
    <x:row r="395">
      <x:c r="A395" s="41" t="n">
        <x:f>IF(B395=1,A394+1,A394)</x:f>
        <x:v>2042</x:v>
      </x:c>
      <x:c r="B395" s="41" t="n">
        <x:f>IF(B394=26,1,B394+1)</x:f>
        <x:v>4</x:v>
      </x:c>
      <x:c r="C395" s="48" t="n">
        <x:f>Inputs!$F$18</x:f>
        <x:v>600</x:v>
      </x:c>
      <x:c r="D395" s="50" t="n">
        <x:f>IF(B395=1,0,D394+E394)</x:f>
        <x:v>1800</x:v>
      </x:c>
      <x:c r="E395" s="50" t="n">
        <x:f>MIN(C395,MAX(0,Inputs!$B$7-D395))</x:f>
        <x:v>600</x:v>
      </x:c>
      <x:c r="F395" s="50" t="n">
        <x:f>MIN(C395-E395,MAX(0,Inputs!$B$20-O395))</x:f>
        <x:v>0</x:v>
      </x:c>
      <x:c r="G395" s="50" t="n">
        <x:f>0</x:f>
        <x:v>0</x:v>
      </x:c>
      <x:c r="H395" s="41" t="n">
        <x:f>0</x:f>
        <x:v>0</x:v>
      </x:c>
      <x:c r="I395" s="50" t="n">
        <x:f>(I394*(1+Inputs!$B$12))+E395</x:f>
        <x:v>256053.65999175145</x:v>
      </x:c>
      <x:c r="J395" s="50" t="n">
        <x:f>(J394*(1+Inputs!$B$12))+F395+P395</x:f>
        <x:v>289751.79332308413</x:v>
      </x:c>
      <x:c r="K395" s="50" t="n">
        <x:f>(K394*(1+Inputs!$B$12))*(1-H395)</x:f>
        <x:v>0</x:v>
      </x:c>
      <x:c r="L395" s="50" t="n">
        <x:f>L394*(1+Inputs!$B$13)+Q395</x:f>
        <x:v>27185.668570712925</x:v>
      </x:c>
      <x:c r="M395" s="50" t="n">
        <x:f>I395+J395+L395</x:f>
        <x:v>572991.1218855485</x:v>
      </x:c>
      <x:c r="N395" s="50" t="n">
        <x:f>F395+P395</x:f>
        <x:v>0</x:v>
      </x:c>
      <x:c r="O395" s="50" t="n">
        <x:f>IF(B395=1,0,O394+F394+P394)</x:f>
        <x:v>0</x:v>
      </x:c>
      <x:c r="P395" s="50" t="n">
        <x:f>MIN(G395,MAX(0,Inputs!$B$20-O395-F395))</x:f>
        <x:v>0</x:v>
      </x:c>
      <x:c r="Q395" s="50" t="n">
        <x:f>(C395-E395-F395)+(G395-P395)</x:f>
        <x:v>0</x:v>
      </x:c>
    </x:row>
    <x:row r="396">
      <x:c r="A396" s="41" t="n">
        <x:f>IF(B396=1,A395+1,A395)</x:f>
        <x:v>2042</x:v>
      </x:c>
      <x:c r="B396" s="41" t="n">
        <x:f>IF(B395=26,1,B395+1)</x:f>
        <x:v>5</x:v>
      </x:c>
      <x:c r="C396" s="48" t="n">
        <x:f>Inputs!$F$18</x:f>
        <x:v>600</x:v>
      </x:c>
      <x:c r="D396" s="50" t="n">
        <x:f>IF(B396=1,0,D395+E395)</x:f>
        <x:v>2400</x:v>
      </x:c>
      <x:c r="E396" s="50" t="n">
        <x:f>MIN(C396,MAX(0,Inputs!$B$7-D396))</x:f>
        <x:v>600</x:v>
      </x:c>
      <x:c r="F396" s="50" t="n">
        <x:f>MIN(C396-E396,MAX(0,Inputs!$B$20-O396))</x:f>
        <x:v>0</x:v>
      </x:c>
      <x:c r="G396" s="50" t="n">
        <x:f>0</x:f>
        <x:v>0</x:v>
      </x:c>
      <x:c r="H396" s="41" t="n">
        <x:f>0</x:f>
        <x:v>0</x:v>
      </x:c>
      <x:c r="I396" s="50" t="n">
        <x:f>(I395*(1+Inputs!$B$12))+E396</x:f>
        <x:v>257134.60726813463</x:v>
      </x:c>
      <x:c r="J396" s="50" t="n">
        <x:f>(J395*(1+Inputs!$B$12))+F396+P396</x:f>
        <x:v>290296.0360252988</x:v>
      </x:c>
      <x:c r="K396" s="50" t="n">
        <x:f>(K395*(1+Inputs!$B$12))*(1-H396)</x:f>
        <x:v>0</x:v>
      </x:c>
      <x:c r="L396" s="50" t="n">
        <x:f>L395*(1+Inputs!$B$13)+Q396</x:f>
        <x:v>27233.234094214535</x:v>
      </x:c>
      <x:c r="M396" s="50" t="n">
        <x:f>I396+J396+L396</x:f>
        <x:v>574663.877387648</x:v>
      </x:c>
      <x:c r="N396" s="50" t="n">
        <x:f>F396+P396</x:f>
        <x:v>0</x:v>
      </x:c>
      <x:c r="O396" s="50" t="n">
        <x:f>IF(B396=1,0,O395+F395+P395)</x:f>
        <x:v>0</x:v>
      </x:c>
      <x:c r="P396" s="50" t="n">
        <x:f>MIN(G396,MAX(0,Inputs!$B$20-O396-F396))</x:f>
        <x:v>0</x:v>
      </x:c>
      <x:c r="Q396" s="50" t="n">
        <x:f>(C396-E396-F396)+(G396-P396)</x:f>
        <x:v>0</x:v>
      </x:c>
    </x:row>
    <x:row r="397">
      <x:c r="A397" s="41" t="n">
        <x:f>IF(B397=1,A396+1,A396)</x:f>
        <x:v>2042</x:v>
      </x:c>
      <x:c r="B397" s="41" t="n">
        <x:f>IF(B396=26,1,B396+1)</x:f>
        <x:v>6</x:v>
      </x:c>
      <x:c r="C397" s="48" t="n">
        <x:f>Inputs!$F$18</x:f>
        <x:v>600</x:v>
      </x:c>
      <x:c r="D397" s="50" t="n">
        <x:f>IF(B397=1,0,D396+E396)</x:f>
        <x:v>3000</x:v>
      </x:c>
      <x:c r="E397" s="50" t="n">
        <x:f>MIN(C397,MAX(0,Inputs!$B$7-D397))</x:f>
        <x:v>600</x:v>
      </x:c>
      <x:c r="F397" s="50" t="n">
        <x:f>MIN(C397-E397,MAX(0,Inputs!$B$20-O397))</x:f>
        <x:v>0</x:v>
      </x:c>
      <x:c r="G397" s="50" t="n">
        <x:f>0</x:f>
        <x:v>0</x:v>
      </x:c>
      <x:c r="H397" s="41" t="n">
        <x:f>0</x:f>
        <x:v>0</x:v>
      </x:c>
      <x:c r="I397" s="50" t="n">
        <x:f>(I396*(1+Inputs!$B$12))+E397</x:f>
        <x:v>258217.58489490804</x:v>
      </x:c>
      <x:c r="J397" s="50" t="n">
        <x:f>(J396*(1+Inputs!$B$12))+F397+P397</x:f>
        <x:v>290841.30098216643</x:v>
      </x:c>
      <x:c r="K397" s="50" t="n">
        <x:f>(K396*(1+Inputs!$B$12))*(1-H397)</x:f>
        <x:v>0</x:v>
      </x:c>
      <x:c r="L397" s="50" t="n">
        <x:f>L396*(1+Inputs!$B$13)+Q397</x:f>
        <x:v>27280.88284094165</x:v>
      </x:c>
      <x:c r="M397" s="50" t="n">
        <x:f>I397+J397+L397</x:f>
        <x:v>576339.7687180161</x:v>
      </x:c>
      <x:c r="N397" s="50" t="n">
        <x:f>F397+P397</x:f>
        <x:v>0</x:v>
      </x:c>
      <x:c r="O397" s="50" t="n">
        <x:f>IF(B397=1,0,O396+F396+P396)</x:f>
        <x:v>0</x:v>
      </x:c>
      <x:c r="P397" s="50" t="n">
        <x:f>MIN(G397,MAX(0,Inputs!$B$20-O397-F397))</x:f>
        <x:v>0</x:v>
      </x:c>
      <x:c r="Q397" s="50" t="n">
        <x:f>(C397-E397-F397)+(G397-P397)</x:f>
        <x:v>0</x:v>
      </x:c>
    </x:row>
    <x:row r="398">
      <x:c r="A398" s="41" t="n">
        <x:f>IF(B398=1,A397+1,A397)</x:f>
        <x:v>2042</x:v>
      </x:c>
      <x:c r="B398" s="41" t="n">
        <x:f>IF(B397=26,1,B397+1)</x:f>
        <x:v>7</x:v>
      </x:c>
      <x:c r="C398" s="48" t="n">
        <x:f>Inputs!$F$18</x:f>
        <x:v>600</x:v>
      </x:c>
      <x:c r="D398" s="50" t="n">
        <x:f>IF(B398=1,0,D397+E397)</x:f>
        <x:v>3600</x:v>
      </x:c>
      <x:c r="E398" s="50" t="n">
        <x:f>MIN(C398,MAX(0,Inputs!$B$7-D398))</x:f>
        <x:v>600</x:v>
      </x:c>
      <x:c r="F398" s="50" t="n">
        <x:f>MIN(C398-E398,MAX(0,Inputs!$B$20-O398))</x:f>
        <x:v>0</x:v>
      </x:c>
      <x:c r="G398" s="50" t="n">
        <x:f>0</x:f>
        <x:v>0</x:v>
      </x:c>
      <x:c r="H398" s="41" t="n">
        <x:f>0</x:f>
        <x:v>0</x:v>
      </x:c>
      <x:c r="I398" s="50" t="n">
        <x:f>(I397*(1+Inputs!$B$12))+E398</x:f>
        <x:v>259302.59668569223</x:v>
      </x:c>
      <x:c r="J398" s="50" t="n">
        <x:f>(J397*(1+Inputs!$B$12))+F398+P398</x:f>
        <x:v>291387.5901137946</x:v>
      </x:c>
      <x:c r="K398" s="50" t="n">
        <x:f>(K397*(1+Inputs!$B$12))*(1-H398)</x:f>
        <x:v>0</x:v>
      </x:c>
      <x:c r="L398" s="50" t="n">
        <x:f>L397*(1+Inputs!$B$13)+Q398</x:f>
        <x:v>27328.61495650615</x:v>
      </x:c>
      <x:c r="M398" s="50" t="n">
        <x:f>I398+J398+L398</x:f>
        <x:v>578018.801755993</x:v>
      </x:c>
      <x:c r="N398" s="50" t="n">
        <x:f>F398+P398</x:f>
        <x:v>0</x:v>
      </x:c>
      <x:c r="O398" s="50" t="n">
        <x:f>IF(B398=1,0,O397+F397+P397)</x:f>
        <x:v>0</x:v>
      </x:c>
      <x:c r="P398" s="50" t="n">
        <x:f>MIN(G398,MAX(0,Inputs!$B$20-O398-F398))</x:f>
        <x:v>0</x:v>
      </x:c>
      <x:c r="Q398" s="50" t="n">
        <x:f>(C398-E398-F398)+(G398-P398)</x:f>
        <x:v>0</x:v>
      </x:c>
    </x:row>
    <x:row r="399">
      <x:c r="A399" s="41" t="n">
        <x:f>IF(B399=1,A398+1,A398)</x:f>
        <x:v>2042</x:v>
      </x:c>
      <x:c r="B399" s="41" t="n">
        <x:f>IF(B398=26,1,B398+1)</x:f>
        <x:v>8</x:v>
      </x:c>
      <x:c r="C399" s="48" t="n">
        <x:f>Inputs!$F$18</x:f>
        <x:v>600</x:v>
      </x:c>
      <x:c r="D399" s="50" t="n">
        <x:f>IF(B399=1,0,D398+E398)</x:f>
        <x:v>4200</x:v>
      </x:c>
      <x:c r="E399" s="50" t="n">
        <x:f>MIN(C399,MAX(0,Inputs!$B$7-D399))</x:f>
        <x:v>600</x:v>
      </x:c>
      <x:c r="F399" s="50" t="n">
        <x:f>MIN(C399-E399,MAX(0,Inputs!$B$20-O399))</x:f>
        <x:v>0</x:v>
      </x:c>
      <x:c r="G399" s="50" t="n">
        <x:f>0</x:f>
        <x:v>0</x:v>
      </x:c>
      <x:c r="H399" s="41" t="n">
        <x:f>0</x:f>
        <x:v>0</x:v>
      </x:c>
      <x:c r="I399" s="50" t="n">
        <x:f>(I398*(1+Inputs!$B$12))+E399</x:f>
        <x:v>260389.64646127084</x:v>
      </x:c>
      <x:c r="J399" s="50" t="n">
        <x:f>(J398*(1+Inputs!$B$12))+F399+P399</x:f>
        <x:v>291934.9053438975</x:v>
      </x:c>
      <x:c r="K399" s="50" t="n">
        <x:f>(K398*(1+Inputs!$B$12))*(1-H399)</x:f>
        <x:v>0</x:v>
      </x:c>
      <x:c r="L399" s="50" t="n">
        <x:f>L398*(1+Inputs!$B$13)+Q399</x:f>
        <x:v>27376.430586774684</x:v>
      </x:c>
      <x:c r="M399" s="50" t="n">
        <x:f>I399+J399+L399</x:f>
        <x:v>579700.9823919431</x:v>
      </x:c>
      <x:c r="N399" s="50" t="n">
        <x:f>F399+P399</x:f>
        <x:v>0</x:v>
      </x:c>
      <x:c r="O399" s="50" t="n">
        <x:f>IF(B399=1,0,O398+F398+P398)</x:f>
        <x:v>0</x:v>
      </x:c>
      <x:c r="P399" s="50" t="n">
        <x:f>MIN(G399,MAX(0,Inputs!$B$20-O399-F399))</x:f>
        <x:v>0</x:v>
      </x:c>
      <x:c r="Q399" s="50" t="n">
        <x:f>(C399-E399-F399)+(G399-P399)</x:f>
        <x:v>0</x:v>
      </x:c>
    </x:row>
    <x:row r="400">
      <x:c r="A400" s="41" t="n">
        <x:f>IF(B400=1,A399+1,A399)</x:f>
        <x:v>2042</x:v>
      </x:c>
      <x:c r="B400" s="41" t="n">
        <x:f>IF(B399=26,1,B399+1)</x:f>
        <x:v>9</x:v>
      </x:c>
      <x:c r="C400" s="48" t="n">
        <x:f>Inputs!$F$18</x:f>
        <x:v>600</x:v>
      </x:c>
      <x:c r="D400" s="50" t="n">
        <x:f>IF(B400=1,0,D399+E399)</x:f>
        <x:v>4800</x:v>
      </x:c>
      <x:c r="E400" s="50" t="n">
        <x:f>MIN(C400,MAX(0,Inputs!$B$7-D400))</x:f>
        <x:v>600</x:v>
      </x:c>
      <x:c r="F400" s="50" t="n">
        <x:f>MIN(C400-E400,MAX(0,Inputs!$B$20-O400))</x:f>
        <x:v>0</x:v>
      </x:c>
      <x:c r="G400" s="50" t="n">
        <x:f>SUM(N366:N391)*Inputs!$B$6</x:f>
        <x:v>3257.1430393511996</x:v>
      </x:c>
      <x:c r="H400" s="41" t="n">
        <x:f>0</x:f>
        <x:v>0</x:v>
      </x:c>
      <x:c r="I400" s="50" t="n">
        <x:f>(I399*(1+Inputs!$B$12))+E400</x:f>
        <x:v>261478.73804960414</x:v>
      </x:c>
      <x:c r="J400" s="50" t="n">
        <x:f>(J399*(1+Inputs!$B$12))+F400+P400</x:f>
        <x:v>295740.39163915394</x:v>
      </x:c>
      <x:c r="K400" s="50" t="n">
        <x:f>(K399*(1+Inputs!$B$12))*(1-H400)</x:f>
        <x:v>0</x:v>
      </x:c>
      <x:c r="L400" s="50" t="n">
        <x:f>L399*(1+Inputs!$B$13)+Q400</x:f>
        <x:v>27424.329877869117</x:v>
      </x:c>
      <x:c r="M400" s="50" t="n">
        <x:f>I400+J400+L400</x:f>
        <x:v>584643.4595666272</x:v>
      </x:c>
      <x:c r="N400" s="50" t="n">
        <x:f>F400+P400</x:f>
        <x:v>3257.1430393511996</x:v>
      </x:c>
      <x:c r="O400" s="50" t="n">
        <x:f>IF(B400=1,0,O399+F399+P399)</x:f>
        <x:v>0</x:v>
      </x:c>
      <x:c r="P400" s="50" t="n">
        <x:f>MIN(G400,MAX(0,Inputs!$B$20-O400-F400))</x:f>
        <x:v>3257.1430393511996</x:v>
      </x:c>
      <x:c r="Q400" s="50" t="n">
        <x:f>(C400-E400-F400)+(G400-P400)</x:f>
        <x:v>0</x:v>
      </x:c>
    </x:row>
    <x:row r="401">
      <x:c r="A401" s="41" t="n">
        <x:f>IF(B401=1,A400+1,A400)</x:f>
        <x:v>2042</x:v>
      </x:c>
      <x:c r="B401" s="41" t="n">
        <x:f>IF(B400=26,1,B400+1)</x:f>
        <x:v>10</x:v>
      </x:c>
      <x:c r="C401" s="48" t="n">
        <x:f>Inputs!$F$18</x:f>
        <x:v>600</x:v>
      </x:c>
      <x:c r="D401" s="50" t="n">
        <x:f>IF(B401=1,0,D400+E400)</x:f>
        <x:v>5400</x:v>
      </x:c>
      <x:c r="E401" s="50" t="n">
        <x:f>MIN(C401,MAX(0,Inputs!$B$7-D401))</x:f>
        <x:v>600</x:v>
      </x:c>
      <x:c r="F401" s="50" t="n">
        <x:f>MIN(C401-E401,MAX(0,Inputs!$B$20-O401))</x:f>
        <x:v>0</x:v>
      </x:c>
      <x:c r="G401" s="50" t="n">
        <x:f>0</x:f>
        <x:v>0</x:v>
      </x:c>
      <x:c r="H401" s="41" t="n">
        <x:f>0</x:f>
        <x:v>0</x:v>
      </x:c>
      <x:c r="I401" s="50" t="n">
        <x:f>(I400*(1+Inputs!$B$12))+E401</x:f>
        <x:v>262569.87528584246</x:v>
      </x:c>
      <x:c r="J401" s="50" t="n">
        <x:f>(J400*(1+Inputs!$B$12))+F401+P401</x:f>
        <x:v>296295.8827650372</x:v>
      </x:c>
      <x:c r="K401" s="50" t="n">
        <x:f>(K400*(1+Inputs!$B$12))*(1-H401)</x:f>
        <x:v>0</x:v>
      </x:c>
      <x:c r="L401" s="50" t="n">
        <x:f>L400*(1+Inputs!$B$13)+Q401</x:f>
        <x:v>27472.31297616698</x:v>
      </x:c>
      <x:c r="M401" s="50" t="n">
        <x:f>I401+J401+L401</x:f>
        <x:v>586338.0710270467</x:v>
      </x:c>
      <x:c r="N401" s="50" t="n">
        <x:f>F401+P401</x:f>
        <x:v>0</x:v>
      </x:c>
      <x:c r="O401" s="50" t="n">
        <x:f>IF(B401=1,0,O400+F400+P400)</x:f>
        <x:v>3257.1430393511996</x:v>
      </x:c>
      <x:c r="P401" s="50" t="n">
        <x:f>MIN(G401,MAX(0,Inputs!$B$20-O401-F401))</x:f>
        <x:v>0</x:v>
      </x:c>
      <x:c r="Q401" s="50" t="n">
        <x:f>(C401-E401-F401)+(G401-P401)</x:f>
        <x:v>0</x:v>
      </x:c>
    </x:row>
    <x:row r="402">
      <x:c r="A402" s="41" t="n">
        <x:f>IF(B402=1,A401+1,A401)</x:f>
        <x:v>2042</x:v>
      </x:c>
      <x:c r="B402" s="41" t="n">
        <x:f>IF(B401=26,1,B401+1)</x:f>
        <x:v>11</x:v>
      </x:c>
      <x:c r="C402" s="48" t="n">
        <x:f>Inputs!$F$18</x:f>
        <x:v>600</x:v>
      </x:c>
      <x:c r="D402" s="50" t="n">
        <x:f>IF(B402=1,0,D401+E401)</x:f>
        <x:v>6000</x:v>
      </x:c>
      <x:c r="E402" s="50" t="n">
        <x:f>MIN(C402,MAX(0,Inputs!$B$7-D402))</x:f>
        <x:v>600</x:v>
      </x:c>
      <x:c r="F402" s="50" t="n">
        <x:f>MIN(C402-E402,MAX(0,Inputs!$B$20-O402))</x:f>
        <x:v>0</x:v>
      </x:c>
      <x:c r="G402" s="50" t="n">
        <x:f>0</x:f>
        <x:v>0</x:v>
      </x:c>
      <x:c r="H402" s="41" t="n">
        <x:f>0</x:f>
        <x:v>0</x:v>
      </x:c>
      <x:c r="I402" s="50" t="n">
        <x:f>(I401*(1+Inputs!$B$12))+E402</x:f>
        <x:v>263663.06201233977</x:v>
      </x:c>
      <x:c r="J402" s="50" t="n">
        <x:f>(J401*(1+Inputs!$B$12))+F402+P402</x:f>
        <x:v>296852.4172735616</x:v>
      </x:c>
      <x:c r="K402" s="50" t="n">
        <x:f>(K401*(1+Inputs!$B$12))*(1-H402)</x:f>
        <x:v>0</x:v>
      </x:c>
      <x:c r="L402" s="50" t="n">
        <x:f>L401*(1+Inputs!$B$13)+Q402</x:f>
        <x:v>27520.38002830191</x:v>
      </x:c>
      <x:c r="M402" s="50" t="n">
        <x:f>I402+J402+L402</x:f>
        <x:v>588035.8593142034</x:v>
      </x:c>
      <x:c r="N402" s="50" t="n">
        <x:f>F402+P402</x:f>
        <x:v>0</x:v>
      </x:c>
      <x:c r="O402" s="50" t="n">
        <x:f>IF(B402=1,0,O401+F401+P401)</x:f>
        <x:v>3257.1430393511996</x:v>
      </x:c>
      <x:c r="P402" s="50" t="n">
        <x:f>MIN(G402,MAX(0,Inputs!$B$20-O402-F402))</x:f>
        <x:v>0</x:v>
      </x:c>
      <x:c r="Q402" s="50" t="n">
        <x:f>(C402-E402-F402)+(G402-P402)</x:f>
        <x:v>0</x:v>
      </x:c>
    </x:row>
    <x:row r="403">
      <x:c r="A403" s="41" t="n">
        <x:f>IF(B403=1,A402+1,A402)</x:f>
        <x:v>2042</x:v>
      </x:c>
      <x:c r="B403" s="41" t="n">
        <x:f>IF(B402=26,1,B402+1)</x:f>
        <x:v>12</x:v>
      </x:c>
      <x:c r="C403" s="48" t="n">
        <x:f>Inputs!$F$18</x:f>
        <x:v>600</x:v>
      </x:c>
      <x:c r="D403" s="50" t="n">
        <x:f>IF(B403=1,0,D402+E402)</x:f>
        <x:v>6600</x:v>
      </x:c>
      <x:c r="E403" s="50" t="n">
        <x:f>MIN(C403,MAX(0,Inputs!$B$7-D403))</x:f>
        <x:v>600</x:v>
      </x:c>
      <x:c r="F403" s="50" t="n">
        <x:f>MIN(C403-E403,MAX(0,Inputs!$B$20-O403))</x:f>
        <x:v>0</x:v>
      </x:c>
      <x:c r="G403" s="50" t="n">
        <x:f>0</x:f>
        <x:v>0</x:v>
      </x:c>
      <x:c r="H403" s="41" t="n">
        <x:f>0</x:f>
        <x:v>0</x:v>
      </x:c>
      <x:c r="I403" s="50" t="n">
        <x:f>(I402*(1+Inputs!$B$12))+E403</x:f>
        <x:v>264758.30207866716</x:v>
      </x:c>
      <x:c r="J403" s="50" t="n">
        <x:f>(J402*(1+Inputs!$B$12))+F403+P403</x:f>
        <x:v>297409.99712451966</x:v>
      </x:c>
      <x:c r="K403" s="50" t="n">
        <x:f>(K402*(1+Inputs!$B$12))*(1-H403)</x:f>
        <x:v>0</x:v>
      </x:c>
      <x:c r="L403" s="50" t="n">
        <x:f>L402*(1+Inputs!$B$13)+Q403</x:f>
        <x:v>27568.531181164108</x:v>
      </x:c>
      <x:c r="M403" s="50" t="n">
        <x:f>I403+J403+L403</x:f>
        <x:v>589736.8303843508</x:v>
      </x:c>
      <x:c r="N403" s="50" t="n">
        <x:f>F403+P403</x:f>
        <x:v>0</x:v>
      </x:c>
      <x:c r="O403" s="50" t="n">
        <x:f>IF(B403=1,0,O402+F402+P402)</x:f>
        <x:v>3257.1430393511996</x:v>
      </x:c>
      <x:c r="P403" s="50" t="n">
        <x:f>MIN(G403,MAX(0,Inputs!$B$20-O403-F403))</x:f>
        <x:v>0</x:v>
      </x:c>
      <x:c r="Q403" s="50" t="n">
        <x:f>(C403-E403-F403)+(G403-P403)</x:f>
        <x:v>0</x:v>
      </x:c>
    </x:row>
    <x:row r="404">
      <x:c r="A404" s="41" t="n">
        <x:f>IF(B404=1,A403+1,A403)</x:f>
        <x:v>2042</x:v>
      </x:c>
      <x:c r="B404" s="41" t="n">
        <x:f>IF(B403=26,1,B403+1)</x:f>
        <x:v>13</x:v>
      </x:c>
      <x:c r="C404" s="48" t="n">
        <x:f>Inputs!$F$18</x:f>
        <x:v>600</x:v>
      </x:c>
      <x:c r="D404" s="50" t="n">
        <x:f>IF(B404=1,0,D403+E403)</x:f>
        <x:v>7200</x:v>
      </x:c>
      <x:c r="E404" s="50" t="n">
        <x:f>MIN(C404,MAX(0,Inputs!$B$7-D404))</x:f>
        <x:v>600</x:v>
      </x:c>
      <x:c r="F404" s="50" t="n">
        <x:f>MIN(C404-E404,MAX(0,Inputs!$B$20-O404))</x:f>
        <x:v>0</x:v>
      </x:c>
      <x:c r="G404" s="50" t="n">
        <x:f>0</x:f>
        <x:v>0</x:v>
      </x:c>
      <x:c r="H404" s="41" t="n">
        <x:f>0</x:f>
        <x:v>0</x:v>
      </x:c>
      <x:c r="I404" s="50" t="n">
        <x:f>(I403*(1+Inputs!$B$12))+E404</x:f>
        <x:v>265855.5993416263</x:v>
      </x:c>
      <x:c r="J404" s="50" t="n">
        <x:f>(J403*(1+Inputs!$B$12))+F404+P404</x:f>
        <x:v>297968.62428138504</x:v>
      </x:c>
      <x:c r="K404" s="50" t="n">
        <x:f>(K403*(1+Inputs!$B$12))*(1-H404)</x:f>
        <x:v>0</x:v>
      </x:c>
      <x:c r="L404" s="50" t="n">
        <x:f>L403*(1+Inputs!$B$13)+Q404</x:f>
        <x:v>27616.76658190077</x:v>
      </x:c>
      <x:c r="M404" s="50" t="n">
        <x:f>I404+J404+L404</x:f>
        <x:v>591440.990204912</x:v>
      </x:c>
      <x:c r="N404" s="50" t="n">
        <x:f>F404+P404</x:f>
        <x:v>0</x:v>
      </x:c>
      <x:c r="O404" s="50" t="n">
        <x:f>IF(B404=1,0,O403+F403+P403)</x:f>
        <x:v>3257.1430393511996</x:v>
      </x:c>
      <x:c r="P404" s="50" t="n">
        <x:f>MIN(G404,MAX(0,Inputs!$B$20-O404-F404))</x:f>
        <x:v>0</x:v>
      </x:c>
      <x:c r="Q404" s="50" t="n">
        <x:f>(C404-E404-F404)+(G404-P404)</x:f>
        <x:v>0</x:v>
      </x:c>
    </x:row>
    <x:row r="405">
      <x:c r="A405" s="41" t="n">
        <x:f>IF(B405=1,A404+1,A404)</x:f>
        <x:v>2042</x:v>
      </x:c>
      <x:c r="B405" s="41" t="n">
        <x:f>IF(B404=26,1,B404+1)</x:f>
        <x:v>14</x:v>
      </x:c>
      <x:c r="C405" s="48" t="n">
        <x:f>Inputs!$F$18</x:f>
        <x:v>600</x:v>
      </x:c>
      <x:c r="D405" s="50" t="n">
        <x:f>IF(B405=1,0,D404+E404)</x:f>
        <x:v>7800</x:v>
      </x:c>
      <x:c r="E405" s="50" t="n">
        <x:f>MIN(C405,MAX(0,Inputs!$B$7-D405))</x:f>
        <x:v>200</x:v>
      </x:c>
      <x:c r="F405" s="50" t="n">
        <x:f>MIN(C405-E405,MAX(0,Inputs!$B$20-O405))</x:f>
        <x:v>400</x:v>
      </x:c>
      <x:c r="G405" s="50" t="n">
        <x:f>0</x:f>
        <x:v>0</x:v>
      </x:c>
      <x:c r="H405" s="41" t="n">
        <x:f>0</x:f>
        <x:v>0</x:v>
      </x:c>
      <x:c r="I405" s="50" t="n">
        <x:f>(I404*(1+Inputs!$B$12))+E405</x:f>
        <x:v>266554.95766526315</x:v>
      </x:c>
      <x:c r="J405" s="50" t="n">
        <x:f>(J404*(1+Inputs!$B$12))+F405+P405</x:f>
        <x:v>298928.30071131926</x:v>
      </x:c>
      <x:c r="K405" s="50" t="n">
        <x:f>(K404*(1+Inputs!$B$12))*(1-H405)</x:f>
        <x:v>0</x:v>
      </x:c>
      <x:c r="L405" s="50" t="n">
        <x:f>L404*(1+Inputs!$B$13)+Q405</x:f>
        <x:v>27665.086377916567</x:v>
      </x:c>
      <x:c r="M405" s="50" t="n">
        <x:f>I405+J405+L405</x:f>
        <x:v>593148.3447544989</x:v>
      </x:c>
      <x:c r="N405" s="50" t="n">
        <x:f>F405+P405</x:f>
        <x:v>400</x:v>
      </x:c>
      <x:c r="O405" s="50" t="n">
        <x:f>IF(B405=1,0,O404+F404+P404)</x:f>
        <x:v>3257.1430393511996</x:v>
      </x:c>
      <x:c r="P405" s="50" t="n">
        <x:f>MIN(G405,MAX(0,Inputs!$B$20-O405-F405))</x:f>
        <x:v>0</x:v>
      </x:c>
      <x:c r="Q405" s="50" t="n">
        <x:f>(C405-E405-F405)+(G405-P405)</x:f>
        <x:v>0</x:v>
      </x:c>
    </x:row>
    <x:row r="406">
      <x:c r="A406" s="41" t="n">
        <x:f>IF(B406=1,A405+1,A405)</x:f>
        <x:v>2042</x:v>
      </x:c>
      <x:c r="B406" s="41" t="n">
        <x:f>IF(B405=26,1,B405+1)</x:f>
        <x:v>15</x:v>
      </x:c>
      <x:c r="C406" s="48" t="n">
        <x:f>Inputs!$F$18</x:f>
        <x:v>600</x:v>
      </x:c>
      <x:c r="D406" s="50" t="n">
        <x:f>IF(B406=1,0,D405+E405)</x:f>
        <x:v>8000</x:v>
      </x:c>
      <x:c r="E406" s="50" t="n">
        <x:f>MIN(C406,MAX(0,Inputs!$B$7-D406))</x:f>
        <x:v>0</x:v>
      </x:c>
      <x:c r="F406" s="50" t="n">
        <x:f>MIN(C406-E406,MAX(0,Inputs!$B$20-O406))</x:f>
        <x:v>600</x:v>
      </x:c>
      <x:c r="G406" s="50" t="n">
        <x:f>0</x:f>
        <x:v>0</x:v>
      </x:c>
      <x:c r="H406" s="41" t="n">
        <x:f>0</x:f>
        <x:v>0</x:v>
      </x:c>
      <x:c r="I406" s="50" t="n">
        <x:f>(I405*(1+Inputs!$B$12))+E406</x:f>
        <x:v>267055.62959824654</x:v>
      </x:c>
      <x:c r="J406" s="50" t="n">
        <x:f>(J405*(1+Inputs!$B$12))+F406+P406</x:f>
        <x:v>300089.7797078139</x:v>
      </x:c>
      <x:c r="K406" s="50" t="n">
        <x:f>(K405*(1+Inputs!$B$12))*(1-H406)</x:f>
        <x:v>0</x:v>
      </x:c>
      <x:c r="L406" s="50" t="n">
        <x:f>L405*(1+Inputs!$B$13)+Q406</x:f>
        <x:v>27713.490716874057</x:v>
      </x:c>
      <x:c r="M406" s="50" t="n">
        <x:f>I406+J406+L406</x:f>
        <x:v>594858.9000229345</x:v>
      </x:c>
      <x:c r="N406" s="50" t="n">
        <x:f>F406+P406</x:f>
        <x:v>600</x:v>
      </x:c>
      <x:c r="O406" s="50" t="n">
        <x:f>IF(B406=1,0,O405+F405+P405)</x:f>
        <x:v>3657.1430393511996</x:v>
      </x:c>
      <x:c r="P406" s="50" t="n">
        <x:f>MIN(G406,MAX(0,Inputs!$B$20-O406-F406))</x:f>
        <x:v>0</x:v>
      </x:c>
      <x:c r="Q406" s="50" t="n">
        <x:f>(C406-E406-F406)+(G406-P406)</x:f>
        <x:v>0</x:v>
      </x:c>
    </x:row>
    <x:row r="407">
      <x:c r="A407" s="41" t="n">
        <x:f>IF(B407=1,A406+1,A406)</x:f>
        <x:v>2042</x:v>
      </x:c>
      <x:c r="B407" s="41" t="n">
        <x:f>IF(B406=26,1,B406+1)</x:f>
        <x:v>16</x:v>
      </x:c>
      <x:c r="C407" s="48" t="n">
        <x:f>Inputs!$F$18</x:f>
        <x:v>600</x:v>
      </x:c>
      <x:c r="D407" s="50" t="n">
        <x:f>IF(B407=1,0,D406+E406)</x:f>
        <x:v>8000</x:v>
      </x:c>
      <x:c r="E407" s="50" t="n">
        <x:f>MIN(C407,MAX(0,Inputs!$B$7-D407))</x:f>
        <x:v>0</x:v>
      </x:c>
      <x:c r="F407" s="50" t="n">
        <x:f>MIN(C407-E407,MAX(0,Inputs!$B$20-O407))</x:f>
        <x:v>600</x:v>
      </x:c>
      <x:c r="G407" s="50" t="n">
        <x:f>0</x:f>
        <x:v>0</x:v>
      </x:c>
      <x:c r="H407" s="41" t="n">
        <x:f>0</x:f>
        <x:v>0</x:v>
      </x:c>
      <x:c r="I407" s="50" t="n">
        <x:f>(I406*(1+Inputs!$B$12))+E407</x:f>
        <x:v>267557.24194661994</x:v>
      </x:c>
      <x:c r="J407" s="50" t="n">
        <x:f>(J406*(1+Inputs!$B$12))+F407+P407</x:f>
        <x:v>301253.44031795923</x:v>
      </x:c>
      <x:c r="K407" s="50" t="n">
        <x:f>(K406*(1+Inputs!$B$12))*(1-H407)</x:f>
        <x:v>0</x:v>
      </x:c>
      <x:c r="L407" s="50" t="n">
        <x:f>L406*(1+Inputs!$B$13)+Q407</x:f>
        <x:v>27761.979746694175</x:v>
      </x:c>
      <x:c r="M407" s="50" t="n">
        <x:f>I407+J407+L407</x:f>
        <x:v>596572.6620112734</x:v>
      </x:c>
      <x:c r="N407" s="50" t="n">
        <x:f>F407+P407</x:f>
        <x:v>600</x:v>
      </x:c>
      <x:c r="O407" s="50" t="n">
        <x:f>IF(B407=1,0,O406+F406+P406)</x:f>
        <x:v>4257.1430393512</x:v>
      </x:c>
      <x:c r="P407" s="50" t="n">
        <x:f>MIN(G407,MAX(0,Inputs!$B$20-O407-F407))</x:f>
        <x:v>0</x:v>
      </x:c>
      <x:c r="Q407" s="50" t="n">
        <x:f>(C407-E407-F407)+(G407-P407)</x:f>
        <x:v>0</x:v>
      </x:c>
    </x:row>
    <x:row r="408">
      <x:c r="A408" s="41" t="n">
        <x:f>IF(B408=1,A407+1,A407)</x:f>
        <x:v>2042</x:v>
      </x:c>
      <x:c r="B408" s="41" t="n">
        <x:f>IF(B407=26,1,B407+1)</x:f>
        <x:v>17</x:v>
      </x:c>
      <x:c r="C408" s="48" t="n">
        <x:f>Inputs!$F$18</x:f>
        <x:v>600</x:v>
      </x:c>
      <x:c r="D408" s="50" t="n">
        <x:f>IF(B408=1,0,D407+E407)</x:f>
        <x:v>8000</x:v>
      </x:c>
      <x:c r="E408" s="50" t="n">
        <x:f>MIN(C408,MAX(0,Inputs!$B$7-D408))</x:f>
        <x:v>0</x:v>
      </x:c>
      <x:c r="F408" s="50" t="n">
        <x:f>MIN(C408-E408,MAX(0,Inputs!$B$20-O408))</x:f>
        <x:v>600</x:v>
      </x:c>
      <x:c r="G408" s="50" t="n">
        <x:f>0</x:f>
        <x:v>0</x:v>
      </x:c>
      <x:c r="H408" s="41" t="n">
        <x:f>0</x:f>
        <x:v>0</x:v>
      </x:c>
      <x:c r="I408" s="50" t="n">
        <x:f>(I407*(1+Inputs!$B$12))+E408</x:f>
        <x:v>268059.79647677176</x:v>
      </x:c>
      <x:c r="J408" s="50" t="n">
        <x:f>(J407*(1+Inputs!$B$12))+F408+P408</x:f>
        <x:v>302419.28663949453</x:v>
      </x:c>
      <x:c r="K408" s="50" t="n">
        <x:f>(K407*(1+Inputs!$B$12))*(1-H408)</x:f>
        <x:v>0</x:v>
      </x:c>
      <x:c r="L408" s="50" t="n">
        <x:f>L407*(1+Inputs!$B$13)+Q408</x:f>
        <x:v>27810.55361555665</x:v>
      </x:c>
      <x:c r="M408" s="50" t="n">
        <x:f>I408+J408+L408</x:f>
        <x:v>598289.636731823</x:v>
      </x:c>
      <x:c r="N408" s="50" t="n">
        <x:f>F408+P408</x:f>
        <x:v>600</x:v>
      </x:c>
      <x:c r="O408" s="50" t="n">
        <x:f>IF(B408=1,0,O407+F407+P407)</x:f>
        <x:v>4857.1430393512</x:v>
      </x:c>
      <x:c r="P408" s="50" t="n">
        <x:f>MIN(G408,MAX(0,Inputs!$B$20-O408-F408))</x:f>
        <x:v>0</x:v>
      </x:c>
      <x:c r="Q408" s="50" t="n">
        <x:f>(C408-E408-F408)+(G408-P408)</x:f>
        <x:v>0</x:v>
      </x:c>
    </x:row>
    <x:row r="409">
      <x:c r="A409" s="41" t="n">
        <x:f>IF(B409=1,A408+1,A408)</x:f>
        <x:v>2042</x:v>
      </x:c>
      <x:c r="B409" s="41" t="n">
        <x:f>IF(B408=26,1,B408+1)</x:f>
        <x:v>18</x:v>
      </x:c>
      <x:c r="C409" s="48" t="n">
        <x:f>Inputs!$F$18</x:f>
        <x:v>600</x:v>
      </x:c>
      <x:c r="D409" s="50" t="n">
        <x:f>IF(B409=1,0,D408+E408)</x:f>
        <x:v>8000</x:v>
      </x:c>
      <x:c r="E409" s="50" t="n">
        <x:f>MIN(C409,MAX(0,Inputs!$B$7-D409))</x:f>
        <x:v>0</x:v>
      </x:c>
      <x:c r="F409" s="50" t="n">
        <x:f>MIN(C409-E409,MAX(0,Inputs!$B$20-O409))</x:f>
        <x:v>600</x:v>
      </x:c>
      <x:c r="G409" s="50" t="n">
        <x:f>0</x:f>
        <x:v>0</x:v>
      </x:c>
      <x:c r="H409" s="41" t="n">
        <x:f>0</x:f>
        <x:v>0</x:v>
      </x:c>
      <x:c r="I409" s="50" t="n">
        <x:f>(I408*(1+Inputs!$B$12))+E409</x:f>
        <x:v>268563.29495840834</x:v>
      </x:c>
      <x:c r="J409" s="50" t="n">
        <x:f>(J408*(1+Inputs!$B$12))+F409+P409</x:f>
        <x:v>303587.32277785585</x:v>
      </x:c>
      <x:c r="K409" s="50" t="n">
        <x:f>(K408*(1+Inputs!$B$12))*(1-H409)</x:f>
        <x:v>0</x:v>
      </x:c>
      <x:c r="L409" s="50" t="n">
        <x:f>L408*(1+Inputs!$B$13)+Q409</x:f>
        <x:v>27859.21247190049</x:v>
      </x:c>
      <x:c r="M409" s="50" t="n">
        <x:f>I409+J409+L409</x:f>
        <x:v>600009.8302081646</x:v>
      </x:c>
      <x:c r="N409" s="50" t="n">
        <x:f>F409+P409</x:f>
        <x:v>600</x:v>
      </x:c>
      <x:c r="O409" s="50" t="n">
        <x:f>IF(B409=1,0,O408+F408+P408)</x:f>
        <x:v>5457.1430393512</x:v>
      </x:c>
      <x:c r="P409" s="50" t="n">
        <x:f>MIN(G409,MAX(0,Inputs!$B$20-O409-F409))</x:f>
        <x:v>0</x:v>
      </x:c>
      <x:c r="Q409" s="50" t="n">
        <x:f>(C409-E409-F409)+(G409-P409)</x:f>
        <x:v>0</x:v>
      </x:c>
    </x:row>
    <x:row r="410">
      <x:c r="A410" s="41" t="n">
        <x:f>IF(B410=1,A409+1,A409)</x:f>
        <x:v>2042</x:v>
      </x:c>
      <x:c r="B410" s="41" t="n">
        <x:f>IF(B409=26,1,B409+1)</x:f>
        <x:v>19</x:v>
      </x:c>
      <x:c r="C410" s="48" t="n">
        <x:f>Inputs!$F$18</x:f>
        <x:v>600</x:v>
      </x:c>
      <x:c r="D410" s="50" t="n">
        <x:f>IF(B410=1,0,D409+E409)</x:f>
        <x:v>8000</x:v>
      </x:c>
      <x:c r="E410" s="50" t="n">
        <x:f>MIN(C410,MAX(0,Inputs!$B$7-D410))</x:f>
        <x:v>0</x:v>
      </x:c>
      <x:c r="F410" s="50" t="n">
        <x:f>MIN(C410-E410,MAX(0,Inputs!$B$20-O410))</x:f>
        <x:v>600</x:v>
      </x:c>
      <x:c r="G410" s="50" t="n">
        <x:f>0</x:f>
        <x:v>0</x:v>
      </x:c>
      <x:c r="H410" s="41" t="n">
        <x:f>0</x:f>
        <x:v>0</x:v>
      </x:c>
      <x:c r="I410" s="50" t="n">
        <x:f>(I409*(1+Inputs!$B$12))+E410</x:f>
        <x:v>269067.73916455987</x:v>
      </x:c>
      <x:c r="J410" s="50" t="n">
        <x:f>(J409*(1+Inputs!$B$12))+F410+P410</x:f>
        <x:v>304757.55284619064</x:v>
      </x:c>
      <x:c r="K410" s="50" t="n">
        <x:f>(K409*(1+Inputs!$B$12))*(1-H410)</x:f>
        <x:v>0</x:v>
      </x:c>
      <x:c r="L410" s="50" t="n">
        <x:f>L409*(1+Inputs!$B$13)+Q410</x:f>
        <x:v>27907.956464424406</x:v>
      </x:c>
      <x:c r="M410" s="50" t="n">
        <x:f>I410+J410+L410</x:f>
        <x:v>601733.2484751749</x:v>
      </x:c>
      <x:c r="N410" s="50" t="n">
        <x:f>F410+P410</x:f>
        <x:v>600</x:v>
      </x:c>
      <x:c r="O410" s="50" t="n">
        <x:f>IF(B410=1,0,O409+F409+P409)</x:f>
        <x:v>6057.1430393512</x:v>
      </x:c>
      <x:c r="P410" s="50" t="n">
        <x:f>MIN(G410,MAX(0,Inputs!$B$20-O410-F410))</x:f>
        <x:v>0</x:v>
      </x:c>
      <x:c r="Q410" s="50" t="n">
        <x:f>(C410-E410-F410)+(G410-P410)</x:f>
        <x:v>0</x:v>
      </x:c>
    </x:row>
    <x:row r="411">
      <x:c r="A411" s="41" t="n">
        <x:f>IF(B411=1,A410+1,A410)</x:f>
        <x:v>2042</x:v>
      </x:c>
      <x:c r="B411" s="41" t="n">
        <x:f>IF(B410=26,1,B410+1)</x:f>
        <x:v>20</x:v>
      </x:c>
      <x:c r="C411" s="48" t="n">
        <x:f>Inputs!$F$18</x:f>
        <x:v>600</x:v>
      </x:c>
      <x:c r="D411" s="50" t="n">
        <x:f>IF(B411=1,0,D410+E410)</x:f>
        <x:v>8000</x:v>
      </x:c>
      <x:c r="E411" s="50" t="n">
        <x:f>MIN(C411,MAX(0,Inputs!$B$7-D411))</x:f>
        <x:v>0</x:v>
      </x:c>
      <x:c r="F411" s="50" t="n">
        <x:f>MIN(C411-E411,MAX(0,Inputs!$B$20-O411))</x:f>
        <x:v>600</x:v>
      </x:c>
      <x:c r="G411" s="50" t="n">
        <x:f>0</x:f>
        <x:v>0</x:v>
      </x:c>
      <x:c r="H411" s="41" t="n">
        <x:f>0</x:f>
        <x:v>0</x:v>
      </x:c>
      <x:c r="I411" s="50" t="n">
        <x:f>(I410*(1+Inputs!$B$12))+E411</x:f>
        <x:v>269573.13087158697</x:v>
      </x:c>
      <x:c r="J411" s="50" t="n">
        <x:f>(J410*(1+Inputs!$B$12))+F411+P411</x:f>
        <x:v>305929.98096537194</x:v>
      </x:c>
      <x:c r="K411" s="50" t="n">
        <x:f>(K410*(1+Inputs!$B$12))*(1-H411)</x:f>
        <x:v>0</x:v>
      </x:c>
      <x:c r="L411" s="50" t="n">
        <x:f>L410*(1+Inputs!$B$13)+Q411</x:f>
        <x:v>27956.78574208729</x:v>
      </x:c>
      <x:c r="M411" s="50" t="n">
        <x:f>I411+J411+L411</x:f>
        <x:v>603459.8975790462</x:v>
      </x:c>
      <x:c r="N411" s="50" t="n">
        <x:f>F411+P411</x:f>
        <x:v>600</x:v>
      </x:c>
      <x:c r="O411" s="50" t="n">
        <x:f>IF(B411=1,0,O410+F410+P410)</x:f>
        <x:v>6657.1430393512</x:v>
      </x:c>
      <x:c r="P411" s="50" t="n">
        <x:f>MIN(G411,MAX(0,Inputs!$B$20-O411-F411))</x:f>
        <x:v>0</x:v>
      </x:c>
      <x:c r="Q411" s="50" t="n">
        <x:f>(C411-E411-F411)+(G411-P411)</x:f>
        <x:v>0</x:v>
      </x:c>
    </x:row>
    <x:row r="412">
      <x:c r="A412" s="41" t="n">
        <x:f>IF(B412=1,A411+1,A411)</x:f>
        <x:v>2042</x:v>
      </x:c>
      <x:c r="B412" s="41" t="n">
        <x:f>IF(B411=26,1,B411+1)</x:f>
        <x:v>21</x:v>
      </x:c>
      <x:c r="C412" s="48" t="n">
        <x:f>Inputs!$F$18</x:f>
        <x:v>600</x:v>
      </x:c>
      <x:c r="D412" s="50" t="n">
        <x:f>IF(B412=1,0,D411+E411)</x:f>
        <x:v>8000</x:v>
      </x:c>
      <x:c r="E412" s="50" t="n">
        <x:f>MIN(C412,MAX(0,Inputs!$B$7-D412))</x:f>
        <x:v>0</x:v>
      </x:c>
      <x:c r="F412" s="50" t="n">
        <x:f>MIN(C412-E412,MAX(0,Inputs!$B$20-O412))</x:f>
        <x:v>600</x:v>
      </x:c>
      <x:c r="G412" s="50" t="n">
        <x:f>0</x:f>
        <x:v>0</x:v>
      </x:c>
      <x:c r="H412" s="41" t="n">
        <x:f>0</x:f>
        <x:v>0</x:v>
      </x:c>
      <x:c r="I412" s="50" t="n">
        <x:f>(I411*(1+Inputs!$B$12))+E412</x:f>
        <x:v>270079.4718591868</x:v>
      </x:c>
      <x:c r="J412" s="50" t="n">
        <x:f>(J411*(1+Inputs!$B$12))+F412+P412</x:f>
        <x:v>307104.6112640132</x:v>
      </x:c>
      <x:c r="K412" s="50" t="n">
        <x:f>(K411*(1+Inputs!$B$12))*(1-H412)</x:f>
        <x:v>0</x:v>
      </x:c>
      <x:c r="L412" s="50" t="n">
        <x:f>L411*(1+Inputs!$B$13)+Q412</x:f>
        <x:v>28005.700454108654</x:v>
      </x:c>
      <x:c r="M412" s="50" t="n">
        <x:f>I412+J412+L412</x:f>
        <x:v>605189.7835773086</x:v>
      </x:c>
      <x:c r="N412" s="50" t="n">
        <x:f>F412+P412</x:f>
        <x:v>600</x:v>
      </x:c>
      <x:c r="O412" s="50" t="n">
        <x:f>IF(B412=1,0,O411+F411+P411)</x:f>
        <x:v>7257.1430393512</x:v>
      </x:c>
      <x:c r="P412" s="50" t="n">
        <x:f>MIN(G412,MAX(0,Inputs!$B$20-O412-F412))</x:f>
        <x:v>0</x:v>
      </x:c>
      <x:c r="Q412" s="50" t="n">
        <x:f>(C412-E412-F412)+(G412-P412)</x:f>
        <x:v>0</x:v>
      </x:c>
    </x:row>
    <x:row r="413">
      <x:c r="A413" s="41" t="n">
        <x:f>IF(B413=1,A412+1,A412)</x:f>
        <x:v>2042</x:v>
      </x:c>
      <x:c r="B413" s="41" t="n">
        <x:f>IF(B412=26,1,B412+1)</x:f>
        <x:v>22</x:v>
      </x:c>
      <x:c r="C413" s="48" t="n">
        <x:f>Inputs!$F$18</x:f>
        <x:v>600</x:v>
      </x:c>
      <x:c r="D413" s="50" t="n">
        <x:f>IF(B413=1,0,D412+E412)</x:f>
        <x:v>8000</x:v>
      </x:c>
      <x:c r="E413" s="50" t="n">
        <x:f>MIN(C413,MAX(0,Inputs!$B$7-D413))</x:f>
        <x:v>0</x:v>
      </x:c>
      <x:c r="F413" s="50" t="n">
        <x:f>MIN(C413-E413,MAX(0,Inputs!$B$20-O413))</x:f>
        <x:v>600</x:v>
      </x:c>
      <x:c r="G413" s="50" t="n">
        <x:f>0</x:f>
        <x:v>0</x:v>
      </x:c>
      <x:c r="H413" s="41" t="n">
        <x:f>0</x:f>
        <x:v>0</x:v>
      </x:c>
      <x:c r="I413" s="50" t="n">
        <x:f>(I412*(1+Inputs!$B$12))+E413</x:f>
        <x:v>270586.7639103992</x:v>
      </x:c>
      <x:c r="J413" s="50" t="n">
        <x:f>(J412*(1+Inputs!$B$12))+F413+P413</x:f>
        <x:v>308281.44787848264</x:v>
      </x:c>
      <x:c r="K413" s="50" t="n">
        <x:f>(K412*(1+Inputs!$B$12))*(1-H413)</x:f>
        <x:v>0</x:v>
      </x:c>
      <x:c r="L413" s="50" t="n">
        <x:f>L412*(1+Inputs!$B$13)+Q413</x:f>
        <x:v>28054.7007499691</x:v>
      </x:c>
      <x:c r="M413" s="50" t="n">
        <x:f>I413+J413+L413</x:f>
        <x:v>606922.9125388509</x:v>
      </x:c>
      <x:c r="N413" s="50" t="n">
        <x:f>F413+P413</x:f>
        <x:v>600</x:v>
      </x:c>
      <x:c r="O413" s="50" t="n">
        <x:f>IF(B413=1,0,O412+F412+P412)</x:f>
        <x:v>7857.1430393512</x:v>
      </x:c>
      <x:c r="P413" s="50" t="n">
        <x:f>MIN(G413,MAX(0,Inputs!$B$20-O413-F413))</x:f>
        <x:v>0</x:v>
      </x:c>
      <x:c r="Q413" s="50" t="n">
        <x:f>(C413-E413-F413)+(G413-P413)</x:f>
        <x:v>0</x:v>
      </x:c>
    </x:row>
    <x:row r="414">
      <x:c r="A414" s="41" t="n">
        <x:f>IF(B414=1,A413+1,A413)</x:f>
        <x:v>2042</x:v>
      </x:c>
      <x:c r="B414" s="41" t="n">
        <x:f>IF(B413=26,1,B413+1)</x:f>
        <x:v>23</x:v>
      </x:c>
      <x:c r="C414" s="48" t="n">
        <x:f>Inputs!$F$18</x:f>
        <x:v>600</x:v>
      </x:c>
      <x:c r="D414" s="50" t="n">
        <x:f>IF(B414=1,0,D413+E413)</x:f>
        <x:v>8000</x:v>
      </x:c>
      <x:c r="E414" s="50" t="n">
        <x:f>MIN(C414,MAX(0,Inputs!$B$7-D414))</x:f>
        <x:v>0</x:v>
      </x:c>
      <x:c r="F414" s="50" t="n">
        <x:f>MIN(C414-E414,MAX(0,Inputs!$B$20-O414))</x:f>
        <x:v>600</x:v>
      </x:c>
      <x:c r="G414" s="50" t="n">
        <x:f>0</x:f>
        <x:v>0</x:v>
      </x:c>
      <x:c r="H414" s="41" t="n">
        <x:f>0</x:f>
        <x:v>0</x:v>
      </x:c>
      <x:c r="I414" s="50" t="n">
        <x:f>(I413*(1+Inputs!$B$12))+E414</x:f>
        <x:v>271095.0088116134</x:v>
      </x:c>
      <x:c r="J414" s="50" t="n">
        <x:f>(J413*(1+Inputs!$B$12))+F414+P414</x:f>
        <x:v>309460.4949529177</x:v>
      </x:c>
      <x:c r="K414" s="50" t="n">
        <x:f>(K413*(1+Inputs!$B$12))*(1-H414)</x:f>
        <x:v>0</x:v>
      </x:c>
      <x:c r="L414" s="50" t="n">
        <x:f>L413*(1+Inputs!$B$13)+Q414</x:f>
        <x:v>28103.78677941076</x:v>
      </x:c>
      <x:c r="M414" s="50" t="n">
        <x:f>I414+J414+L414</x:f>
        <x:v>608659.2905439419</x:v>
      </x:c>
      <x:c r="N414" s="50" t="n">
        <x:f>F414+P414</x:f>
        <x:v>600</x:v>
      </x:c>
      <x:c r="O414" s="50" t="n">
        <x:f>IF(B414=1,0,O413+F413+P413)</x:f>
        <x:v>8457.1430393512</x:v>
      </x:c>
      <x:c r="P414" s="50" t="n">
        <x:f>MIN(G414,MAX(0,Inputs!$B$20-O414-F414))</x:f>
        <x:v>0</x:v>
      </x:c>
      <x:c r="Q414" s="50" t="n">
        <x:f>(C414-E414-F414)+(G414-P414)</x:f>
        <x:v>0</x:v>
      </x:c>
    </x:row>
    <x:row r="415">
      <x:c r="A415" s="41" t="n">
        <x:f>IF(B415=1,A414+1,A414)</x:f>
        <x:v>2042</x:v>
      </x:c>
      <x:c r="B415" s="41" t="n">
        <x:f>IF(B414=26,1,B414+1)</x:f>
        <x:v>24</x:v>
      </x:c>
      <x:c r="C415" s="48" t="n">
        <x:f>Inputs!$F$18</x:f>
        <x:v>600</x:v>
      </x:c>
      <x:c r="D415" s="50" t="n">
        <x:f>IF(B415=1,0,D414+E414)</x:f>
        <x:v>8000</x:v>
      </x:c>
      <x:c r="E415" s="50" t="n">
        <x:f>MIN(C415,MAX(0,Inputs!$B$7-D415))</x:f>
        <x:v>0</x:v>
      </x:c>
      <x:c r="F415" s="50" t="n">
        <x:f>MIN(C415-E415,MAX(0,Inputs!$B$20-O415))</x:f>
        <x:v>600</x:v>
      </x:c>
      <x:c r="G415" s="50" t="n">
        <x:f>0</x:f>
        <x:v>0</x:v>
      </x:c>
      <x:c r="H415" s="41" t="n">
        <x:f>0</x:f>
        <x:v>0</x:v>
      </x:c>
      <x:c r="I415" s="50" t="n">
        <x:f>(I414*(1+Inputs!$B$12))+E415</x:f>
        <x:v>271604.2083525738</x:v>
      </x:c>
      <x:c r="J415" s="50" t="n">
        <x:f>(J414*(1+Inputs!$B$12))+F415+P415</x:f>
        <x:v>310641.75663923996</x:v>
      </x:c>
      <x:c r="K415" s="50" t="n">
        <x:f>(K414*(1+Inputs!$B$12))*(1-H415)</x:f>
        <x:v>0</x:v>
      </x:c>
      <x:c r="L415" s="50" t="n">
        <x:f>L414*(1+Inputs!$B$13)+Q415</x:f>
        <x:v>28152.95869243777</x:v>
      </x:c>
      <x:c r="M415" s="50" t="n">
        <x:f>I415+J415+L415</x:f>
        <x:v>610398.9236842515</x:v>
      </x:c>
      <x:c r="N415" s="50" t="n">
        <x:f>F415+P415</x:f>
        <x:v>600</x:v>
      </x:c>
      <x:c r="O415" s="50" t="n">
        <x:f>IF(B415=1,0,O414+F414+P414)</x:f>
        <x:v>9057.1430393512</x:v>
      </x:c>
      <x:c r="P415" s="50" t="n">
        <x:f>MIN(G415,MAX(0,Inputs!$B$20-O415-F415))</x:f>
        <x:v>0</x:v>
      </x:c>
      <x:c r="Q415" s="50" t="n">
        <x:f>(C415-E415-F415)+(G415-P415)</x:f>
        <x:v>0</x:v>
      </x:c>
    </x:row>
    <x:row r="416">
      <x:c r="A416" s="41" t="n">
        <x:f>IF(B416=1,A415+1,A415)</x:f>
        <x:v>2042</x:v>
      </x:c>
      <x:c r="B416" s="41" t="n">
        <x:f>IF(B415=26,1,B415+1)</x:f>
        <x:v>25</x:v>
      </x:c>
      <x:c r="C416" s="48" t="n">
        <x:f>Inputs!$F$18</x:f>
        <x:v>600</x:v>
      </x:c>
      <x:c r="D416" s="50" t="n">
        <x:f>IF(B416=1,0,D415+E415)</x:f>
        <x:v>8000</x:v>
      </x:c>
      <x:c r="E416" s="50" t="n">
        <x:f>MIN(C416,MAX(0,Inputs!$B$7-D416))</x:f>
        <x:v>0</x:v>
      </x:c>
      <x:c r="F416" s="50" t="n">
        <x:f>MIN(C416-E416,MAX(0,Inputs!$B$20-O416))</x:f>
        <x:v>600</x:v>
      </x:c>
      <x:c r="G416" s="50" t="n">
        <x:f>0</x:f>
        <x:v>0</x:v>
      </x:c>
      <x:c r="H416" s="41" t="n">
        <x:f>0</x:f>
        <x:v>0</x:v>
      </x:c>
      <x:c r="I416" s="50" t="n">
        <x:f>(I415*(1+Inputs!$B$12))+E416</x:f>
        <x:v>272114.3643263864</x:v>
      </x:c>
      <x:c r="J416" s="50" t="n">
        <x:f>(J415*(1+Inputs!$B$12))+F416+P416</x:f>
        <x:v>311825.2370971695</x:v>
      </x:c>
      <x:c r="K416" s="50" t="n">
        <x:f>(K415*(1+Inputs!$B$12))*(1-H416)</x:f>
        <x:v>0</x:v>
      </x:c>
      <x:c r="L416" s="50" t="n">
        <x:f>L415*(1+Inputs!$B$13)+Q416</x:f>
        <x:v>28202.21663931672</x:v>
      </x:c>
      <x:c r="M416" s="50" t="n">
        <x:f>I416+J416+L416</x:f>
        <x:v>612141.8180628727</x:v>
      </x:c>
      <x:c r="N416" s="50" t="n">
        <x:f>F416+P416</x:f>
        <x:v>600</x:v>
      </x:c>
      <x:c r="O416" s="50" t="n">
        <x:f>IF(B416=1,0,O415+F415+P415)</x:f>
        <x:v>9657.1430393512</x:v>
      </x:c>
      <x:c r="P416" s="50" t="n">
        <x:f>MIN(G416,MAX(0,Inputs!$B$20-O416-F416))</x:f>
        <x:v>0</x:v>
      </x:c>
      <x:c r="Q416" s="50" t="n">
        <x:f>(C416-E416-F416)+(G416-P416)</x:f>
        <x:v>0</x:v>
      </x:c>
    </x:row>
    <x:row r="417">
      <x:c r="A417" s="41" t="n">
        <x:f>IF(B417=1,A416+1,A416)</x:f>
        <x:v>2042</x:v>
      </x:c>
      <x:c r="B417" s="41" t="n">
        <x:f>IF(B416=26,1,B416+1)</x:f>
        <x:v>26</x:v>
      </x:c>
      <x:c r="C417" s="48" t="n">
        <x:f>Inputs!$F$18</x:f>
        <x:v>600</x:v>
      </x:c>
      <x:c r="D417" s="50" t="n">
        <x:f>IF(B417=1,0,D416+E416)</x:f>
        <x:v>8000</x:v>
      </x:c>
      <x:c r="E417" s="50" t="n">
        <x:f>MIN(C417,MAX(0,Inputs!$B$7-D417))</x:f>
        <x:v>0</x:v>
      </x:c>
      <x:c r="F417" s="50" t="n">
        <x:f>MIN(C417-E417,MAX(0,Inputs!$B$20-O417))</x:f>
        <x:v>600</x:v>
      </x:c>
      <x:c r="G417" s="50" t="n">
        <x:f>0</x:f>
        <x:v>0</x:v>
      </x:c>
      <x:c r="H417" s="41" t="n">
        <x:f>IF(A417=Inputs!$B$8,1,0)</x:f>
        <x:v>0</x:v>
      </x:c>
      <x:c r="I417" s="50" t="n">
        <x:f>(I416*(1+Inputs!$B$12))+E417</x:f>
        <x:v>272625.47852952546</x:v>
      </x:c>
      <x:c r="J417" s="50" t="n">
        <x:f>(J416*(1+Inputs!$B$12))+F417+P417</x:f>
        <x:v>313010.9404942397</x:v>
      </x:c>
      <x:c r="K417" s="50" t="n">
        <x:f>(K416*(1+Inputs!$B$12))*(1-H417)</x:f>
        <x:v>0</x:v>
      </x:c>
      <x:c r="L417" s="50" t="n">
        <x:f>L416*(1+Inputs!$B$13)+Q417</x:f>
        <x:v>28251.560770577118</x:v>
      </x:c>
      <x:c r="M417" s="50" t="n">
        <x:f>I417+J417+L417</x:f>
        <x:v>613887.9797943423</x:v>
      </x:c>
      <x:c r="N417" s="50" t="n">
        <x:f>F417+P417</x:f>
        <x:v>600</x:v>
      </x:c>
      <x:c r="O417" s="50" t="n">
        <x:f>IF(B417=1,0,O416+F416+P416)</x:f>
        <x:v>10257.1430393512</x:v>
      </x:c>
      <x:c r="P417" s="50" t="n">
        <x:f>MIN(G417,MAX(0,Inputs!$B$20-O417-F417))</x:f>
        <x:v>0</x:v>
      </x:c>
      <x:c r="Q417" s="50" t="n">
        <x:f>(C417-E417-F417)+(G417-P417)</x:f>
        <x:v>0</x:v>
      </x:c>
    </x:row>
    <x:row r="418">
      <x:c r="A418" s="41" t="n">
        <x:f>IF(B418=1,A417+1,A417)</x:f>
        <x:v>2043</x:v>
      </x:c>
      <x:c r="B418" s="41" t="n">
        <x:f>IF(B417=26,1,B417+1)</x:f>
        <x:v>1</x:v>
      </x:c>
      <x:c r="C418" s="48" t="n">
        <x:f>Inputs!$F$19</x:f>
        <x:v>600</x:v>
      </x:c>
      <x:c r="D418" s="50" t="n">
        <x:f>IF(B418=1,0,D417+E417)</x:f>
        <x:v>0</x:v>
      </x:c>
      <x:c r="E418" s="50" t="n">
        <x:f>MIN(C418,MAX(0,Inputs!$B$7-D418))</x:f>
        <x:v>600</x:v>
      </x:c>
      <x:c r="F418" s="50" t="n">
        <x:f>MIN(C418-E418,MAX(0,Inputs!$B$20-O418))</x:f>
        <x:v>0</x:v>
      </x:c>
      <x:c r="G418" s="50" t="n">
        <x:f>0</x:f>
        <x:v>0</x:v>
      </x:c>
      <x:c r="H418" s="41" t="n">
        <x:f>0</x:f>
        <x:v>0</x:v>
      </x:c>
      <x:c r="I418" s="50" t="n">
        <x:f>(I417*(1+Inputs!$B$12))+E418</x:f>
        <x:v>273737.5527618393</x:v>
      </x:c>
      <x:c r="J418" s="50" t="n">
        <x:f>(J417*(1+Inputs!$B$12))+F418+P418</x:f>
        <x:v>313598.87100581167</x:v>
      </x:c>
      <x:c r="K418" s="50" t="n">
        <x:f>(K417*(1+Inputs!$B$12))*(1-H418)</x:f>
        <x:v>0</x:v>
      </x:c>
      <x:c r="L418" s="50" t="n">
        <x:f>L417*(1+Inputs!$B$13)+Q418</x:f>
        <x:v>28300.991237011836</x:v>
      </x:c>
      <x:c r="M418" s="50" t="n">
        <x:f>I418+J418+L418</x:f>
        <x:v>615637.4150046628</x:v>
      </x:c>
      <x:c r="N418" s="50" t="n">
        <x:f>F418+P418</x:f>
        <x:v>0</x:v>
      </x:c>
      <x:c r="O418" s="50" t="n">
        <x:f>IF(B418=1,0,O417+F417+P417)</x:f>
        <x:v>0</x:v>
      </x:c>
      <x:c r="P418" s="50" t="n">
        <x:f>MIN(G418,MAX(0,Inputs!$B$20-O418-F418))</x:f>
        <x:v>0</x:v>
      </x:c>
      <x:c r="Q418" s="50" t="n">
        <x:f>(C418-E418-F418)+(G418-P418)</x:f>
        <x:v>0</x:v>
      </x:c>
    </x:row>
    <x:row r="419">
      <x:c r="A419" s="41" t="n">
        <x:f>IF(B419=1,A418+1,A418)</x:f>
        <x:v>2043</x:v>
      </x:c>
      <x:c r="B419" s="41" t="n">
        <x:f>IF(B418=26,1,B418+1)</x:f>
        <x:v>2</x:v>
      </x:c>
      <x:c r="C419" s="48" t="n">
        <x:f>Inputs!$F$19</x:f>
        <x:v>600</x:v>
      </x:c>
      <x:c r="D419" s="50" t="n">
        <x:f>IF(B419=1,0,D418+E418)</x:f>
        <x:v>600</x:v>
      </x:c>
      <x:c r="E419" s="50" t="n">
        <x:f>MIN(C419,MAX(0,Inputs!$B$7-D419))</x:f>
        <x:v>600</x:v>
      </x:c>
      <x:c r="F419" s="50" t="n">
        <x:f>MIN(C419-E419,MAX(0,Inputs!$B$20-O419))</x:f>
        <x:v>0</x:v>
      </x:c>
      <x:c r="G419" s="50" t="n">
        <x:f>0</x:f>
        <x:v>0</x:v>
      </x:c>
      <x:c r="H419" s="41" t="n">
        <x:f>0</x:f>
        <x:v>0</x:v>
      </x:c>
      <x:c r="I419" s="50" t="n">
        <x:f>(I418*(1+Inputs!$B$12))+E419</x:f>
        <x:v>274851.7158105098</x:v>
      </x:c>
      <x:c r="J419" s="50" t="n">
        <x:f>(J418*(1+Inputs!$B$12))+F419+P419</x:f>
        <x:v>314187.90583113674</x:v>
      </x:c>
      <x:c r="K419" s="50" t="n">
        <x:f>(K418*(1+Inputs!$B$12))*(1-H419)</x:f>
        <x:v>0</x:v>
      </x:c>
      <x:c r="L419" s="50" t="n">
        <x:f>L418*(1+Inputs!$B$13)+Q419</x:f>
        <x:v>28350.508189677592</x:v>
      </x:c>
      <x:c r="M419" s="50" t="n">
        <x:f>I419+J419+L419</x:f>
        <x:v>617390.1298313242</x:v>
      </x:c>
      <x:c r="N419" s="50" t="n">
        <x:f>F419+P419</x:f>
        <x:v>0</x:v>
      </x:c>
      <x:c r="O419" s="50" t="n">
        <x:f>IF(B419=1,0,O418+F418+P418)</x:f>
        <x:v>0</x:v>
      </x:c>
      <x:c r="P419" s="50" t="n">
        <x:f>MIN(G419,MAX(0,Inputs!$B$20-O419-F419))</x:f>
        <x:v>0</x:v>
      </x:c>
      <x:c r="Q419" s="50" t="n">
        <x:f>(C419-E419-F419)+(G419-P419)</x:f>
        <x:v>0</x:v>
      </x:c>
    </x:row>
    <x:row r="420">
      <x:c r="A420" s="41" t="n">
        <x:f>IF(B420=1,A419+1,A419)</x:f>
        <x:v>2043</x:v>
      </x:c>
      <x:c r="B420" s="41" t="n">
        <x:f>IF(B419=26,1,B419+1)</x:f>
        <x:v>3</x:v>
      </x:c>
      <x:c r="C420" s="48" t="n">
        <x:f>Inputs!$F$19</x:f>
        <x:v>600</x:v>
      </x:c>
      <x:c r="D420" s="50" t="n">
        <x:f>IF(B420=1,0,D419+E419)</x:f>
        <x:v>1200</x:v>
      </x:c>
      <x:c r="E420" s="50" t="n">
        <x:f>MIN(C420,MAX(0,Inputs!$B$7-D420))</x:f>
        <x:v>600</x:v>
      </x:c>
      <x:c r="F420" s="50" t="n">
        <x:f>MIN(C420-E420,MAX(0,Inputs!$B$20-O420))</x:f>
        <x:v>0</x:v>
      </x:c>
      <x:c r="G420" s="50" t="n">
        <x:f>0</x:f>
        <x:v>0</x:v>
      </x:c>
      <x:c r="H420" s="41" t="n">
        <x:f>0</x:f>
        <x:v>0</x:v>
      </x:c>
      <x:c r="I420" s="50" t="n">
        <x:f>(I419*(1+Inputs!$B$12))+E420</x:f>
        <x:v>275967.9715989745</x:v>
      </x:c>
      <x:c r="J420" s="50" t="n">
        <x:f>(J419*(1+Inputs!$B$12))+F420+P420</x:f>
        <x:v>314778.0470444546</x:v>
      </x:c>
      <x:c r="K420" s="50" t="n">
        <x:f>(K419*(1+Inputs!$B$12))*(1-H420)</x:f>
        <x:v>0</x:v>
      </x:c>
      <x:c r="L420" s="50" t="n">
        <x:f>L419*(1+Inputs!$B$13)+Q420</x:f>
        <x:v>28400.111779895396</x:v>
      </x:c>
      <x:c r="M420" s="50" t="n">
        <x:f>I420+J420+L420</x:f>
        <x:v>619146.1304233244</x:v>
      </x:c>
      <x:c r="N420" s="50" t="n">
        <x:f>F420+P420</x:f>
        <x:v>0</x:v>
      </x:c>
      <x:c r="O420" s="50" t="n">
        <x:f>IF(B420=1,0,O419+F419+P419)</x:f>
        <x:v>0</x:v>
      </x:c>
      <x:c r="P420" s="50" t="n">
        <x:f>MIN(G420,MAX(0,Inputs!$B$20-O420-F420))</x:f>
        <x:v>0</x:v>
      </x:c>
      <x:c r="Q420" s="50" t="n">
        <x:f>(C420-E420-F420)+(G420-P420)</x:f>
        <x:v>0</x:v>
      </x:c>
    </x:row>
    <x:row r="421">
      <x:c r="A421" s="41" t="n">
        <x:f>IF(B421=1,A420+1,A420)</x:f>
        <x:v>2043</x:v>
      </x:c>
      <x:c r="B421" s="41" t="n">
        <x:f>IF(B420=26,1,B420+1)</x:f>
        <x:v>4</x:v>
      </x:c>
      <x:c r="C421" s="48" t="n">
        <x:f>Inputs!$F$19</x:f>
        <x:v>600</x:v>
      </x:c>
      <x:c r="D421" s="50" t="n">
        <x:f>IF(B421=1,0,D420+E420)</x:f>
        <x:v>1800</x:v>
      </x:c>
      <x:c r="E421" s="50" t="n">
        <x:f>MIN(C421,MAX(0,Inputs!$B$7-D421))</x:f>
        <x:v>600</x:v>
      </x:c>
      <x:c r="F421" s="50" t="n">
        <x:f>MIN(C421-E421,MAX(0,Inputs!$B$20-O421))</x:f>
        <x:v>0</x:v>
      </x:c>
      <x:c r="G421" s="50" t="n">
        <x:f>0</x:f>
        <x:v>0</x:v>
      </x:c>
      <x:c r="H421" s="41" t="n">
        <x:f>0</x:f>
        <x:v>0</x:v>
      </x:c>
      <x:c r="I421" s="50" t="n">
        <x:f>(I420*(1+Inputs!$B$12))+E421</x:f>
        <x:v>277086.3240580403</x:v>
      </x:c>
      <x:c r="J421" s="50" t="n">
        <x:f>(J420*(1+Inputs!$B$12))+F421+P421</x:f>
        <x:v>315369.2967239012</x:v>
      </x:c>
      <x:c r="K421" s="50" t="n">
        <x:f>(K420*(1+Inputs!$B$12))*(1-H421)</x:f>
        <x:v>0</x:v>
      </x:c>
      <x:c r="L421" s="50" t="n">
        <x:f>L420*(1+Inputs!$B$13)+Q421</x:f>
        <x:v>28449.80215925102</x:v>
      </x:c>
      <x:c r="M421" s="50" t="n">
        <x:f>I421+J421+L421</x:f>
        <x:v>620905.4229411925</x:v>
      </x:c>
      <x:c r="N421" s="50" t="n">
        <x:f>F421+P421</x:f>
        <x:v>0</x:v>
      </x:c>
      <x:c r="O421" s="50" t="n">
        <x:f>IF(B421=1,0,O420+F420+P420)</x:f>
        <x:v>0</x:v>
      </x:c>
      <x:c r="P421" s="50" t="n">
        <x:f>MIN(G421,MAX(0,Inputs!$B$20-O421-F421))</x:f>
        <x:v>0</x:v>
      </x:c>
      <x:c r="Q421" s="50" t="n">
        <x:f>(C421-E421-F421)+(G421-P421)</x:f>
        <x:v>0</x:v>
      </x:c>
    </x:row>
    <x:row r="422">
      <x:c r="A422" s="41" t="n">
        <x:f>IF(B422=1,A421+1,A421)</x:f>
        <x:v>2043</x:v>
      </x:c>
      <x:c r="B422" s="41" t="n">
        <x:f>IF(B421=26,1,B421+1)</x:f>
        <x:v>5</x:v>
      </x:c>
      <x:c r="C422" s="48" t="n">
        <x:f>Inputs!$F$19</x:f>
        <x:v>600</x:v>
      </x:c>
      <x:c r="D422" s="50" t="n">
        <x:f>IF(B422=1,0,D421+E421)</x:f>
        <x:v>2400</x:v>
      </x:c>
      <x:c r="E422" s="50" t="n">
        <x:f>MIN(C422,MAX(0,Inputs!$B$7-D422))</x:f>
        <x:v>600</x:v>
      </x:c>
      <x:c r="F422" s="50" t="n">
        <x:f>MIN(C422-E422,MAX(0,Inputs!$B$20-O422))</x:f>
        <x:v>0</x:v>
      </x:c>
      <x:c r="G422" s="50" t="n">
        <x:f>0</x:f>
        <x:v>0</x:v>
      </x:c>
      <x:c r="H422" s="41" t="n">
        <x:f>0</x:f>
        <x:v>0</x:v>
      </x:c>
      <x:c r="I422" s="50" t="n">
        <x:f>(I421*(1+Inputs!$B$12))+E422</x:f>
        <x:v>278206.77712589735</x:v>
      </x:c>
      <x:c r="J422" s="50" t="n">
        <x:f>(J421*(1+Inputs!$B$12))+F422+P422</x:f>
        <x:v>315961.65695151564</x:v>
      </x:c>
      <x:c r="K422" s="50" t="n">
        <x:f>(K421*(1+Inputs!$B$12))*(1-H422)</x:f>
        <x:v>0</x:v>
      </x:c>
      <x:c r="L422" s="50" t="n">
        <x:f>L421*(1+Inputs!$B$13)+Q422</x:f>
        <x:v>28499.579479595453</x:v>
      </x:c>
      <x:c r="M422" s="50" t="n">
        <x:f>I422+J422+L422</x:f>
        <x:v>622668.0135570085</x:v>
      </x:c>
      <x:c r="N422" s="50" t="n">
        <x:f>F422+P422</x:f>
        <x:v>0</x:v>
      </x:c>
      <x:c r="O422" s="50" t="n">
        <x:f>IF(B422=1,0,O421+F421+P421)</x:f>
        <x:v>0</x:v>
      </x:c>
      <x:c r="P422" s="50" t="n">
        <x:f>MIN(G422,MAX(0,Inputs!$B$20-O422-F422))</x:f>
        <x:v>0</x:v>
      </x:c>
      <x:c r="Q422" s="50" t="n">
        <x:f>(C422-E422-F422)+(G422-P422)</x:f>
        <x:v>0</x:v>
      </x:c>
    </x:row>
    <x:row r="423">
      <x:c r="A423" s="41" t="n">
        <x:f>IF(B423=1,A422+1,A422)</x:f>
        <x:v>2043</x:v>
      </x:c>
      <x:c r="B423" s="41" t="n">
        <x:f>IF(B422=26,1,B422+1)</x:f>
        <x:v>6</x:v>
      </x:c>
      <x:c r="C423" s="48" t="n">
        <x:f>Inputs!$F$19</x:f>
        <x:v>600</x:v>
      </x:c>
      <x:c r="D423" s="50" t="n">
        <x:f>IF(B423=1,0,D422+E422)</x:f>
        <x:v>3000</x:v>
      </x:c>
      <x:c r="E423" s="50" t="n">
        <x:f>MIN(C423,MAX(0,Inputs!$B$7-D423))</x:f>
        <x:v>600</x:v>
      </x:c>
      <x:c r="F423" s="50" t="n">
        <x:f>MIN(C423-E423,MAX(0,Inputs!$B$20-O423))</x:f>
        <x:v>0</x:v>
      </x:c>
      <x:c r="G423" s="50" t="n">
        <x:f>0</x:f>
        <x:v>0</x:v>
      </x:c>
      <x:c r="H423" s="41" t="n">
        <x:f>0</x:f>
        <x:v>0</x:v>
      </x:c>
      <x:c r="I423" s="50" t="n">
        <x:f>(I422*(1+Inputs!$B$12))+E423</x:f>
        <x:v>279329.334748133</x:v>
      </x:c>
      <x:c r="J423" s="50" t="n">
        <x:f>(J422*(1+Inputs!$B$12))+F423+P423</x:f>
        <x:v>316555.129813248</x:v>
      </x:c>
      <x:c r="K423" s="50" t="n">
        <x:f>(K422*(1+Inputs!$B$12))*(1-H423)</x:f>
        <x:v>0</x:v>
      </x:c>
      <x:c r="L423" s="50" t="n">
        <x:f>L422*(1+Inputs!$B$13)+Q423</x:f>
        <x:v>28549.44389304538</x:v>
      </x:c>
      <x:c r="M423" s="50" t="n">
        <x:f>I423+J423+L423</x:f>
        <x:v>624433.9084544264</x:v>
      </x:c>
      <x:c r="N423" s="50" t="n">
        <x:f>F423+P423</x:f>
        <x:v>0</x:v>
      </x:c>
      <x:c r="O423" s="50" t="n">
        <x:f>IF(B423=1,0,O422+F422+P422)</x:f>
        <x:v>0</x:v>
      </x:c>
      <x:c r="P423" s="50" t="n">
        <x:f>MIN(G423,MAX(0,Inputs!$B$20-O423-F423))</x:f>
        <x:v>0</x:v>
      </x:c>
      <x:c r="Q423" s="50" t="n">
        <x:f>(C423-E423-F423)+(G423-P423)</x:f>
        <x:v>0</x:v>
      </x:c>
    </x:row>
    <x:row r="424">
      <x:c r="A424" s="41" t="n">
        <x:f>IF(B424=1,A423+1,A423)</x:f>
        <x:v>2043</x:v>
      </x:c>
      <x:c r="B424" s="41" t="n">
        <x:f>IF(B423=26,1,B423+1)</x:f>
        <x:v>7</x:v>
      </x:c>
      <x:c r="C424" s="48" t="n">
        <x:f>Inputs!$F$19</x:f>
        <x:v>600</x:v>
      </x:c>
      <x:c r="D424" s="50" t="n">
        <x:f>IF(B424=1,0,D423+E423)</x:f>
        <x:v>3600</x:v>
      </x:c>
      <x:c r="E424" s="50" t="n">
        <x:f>MIN(C424,MAX(0,Inputs!$B$7-D424))</x:f>
        <x:v>600</x:v>
      </x:c>
      <x:c r="F424" s="50" t="n">
        <x:f>MIN(C424-E424,MAX(0,Inputs!$B$20-O424))</x:f>
        <x:v>0</x:v>
      </x:c>
      <x:c r="G424" s="50" t="n">
        <x:f>0</x:f>
        <x:v>0</x:v>
      </x:c>
      <x:c r="H424" s="41" t="n">
        <x:f>0</x:f>
        <x:v>0</x:v>
      </x:c>
      <x:c r="I424" s="50" t="n">
        <x:f>(I423*(1+Inputs!$B$12))+E424</x:f>
        <x:v>280454.00087774574</x:v>
      </x:c>
      <x:c r="J424" s="50" t="n">
        <x:f>(J423*(1+Inputs!$B$12))+F424+P424</x:f>
        <x:v>317149.7173989662</x:v>
      </x:c>
      <x:c r="K424" s="50" t="n">
        <x:f>(K423*(1+Inputs!$B$12))*(1-H424)</x:f>
        <x:v>0</x:v>
      </x:c>
      <x:c r="L424" s="50" t="n">
        <x:f>L423*(1+Inputs!$B$13)+Q424</x:f>
        <x:v>28599.395551983627</x:v>
      </x:c>
      <x:c r="M424" s="50" t="n">
        <x:f>I424+J424+L424</x:f>
        <x:v>626203.1138286955</x:v>
      </x:c>
      <x:c r="N424" s="50" t="n">
        <x:f>F424+P424</x:f>
        <x:v>0</x:v>
      </x:c>
      <x:c r="O424" s="50" t="n">
        <x:f>IF(B424=1,0,O423+F423+P423)</x:f>
        <x:v>0</x:v>
      </x:c>
      <x:c r="P424" s="50" t="n">
        <x:f>MIN(G424,MAX(0,Inputs!$B$20-O424-F424))</x:f>
        <x:v>0</x:v>
      </x:c>
      <x:c r="Q424" s="50" t="n">
        <x:f>(C424-E424-F424)+(G424-P424)</x:f>
        <x:v>0</x:v>
      </x:c>
    </x:row>
    <x:row r="425">
      <x:c r="A425" s="41" t="n">
        <x:f>IF(B425=1,A424+1,A424)</x:f>
        <x:v>2043</x:v>
      </x:c>
      <x:c r="B425" s="41" t="n">
        <x:f>IF(B424=26,1,B424+1)</x:f>
        <x:v>8</x:v>
      </x:c>
      <x:c r="C425" s="48" t="n">
        <x:f>Inputs!$F$19</x:f>
        <x:v>600</x:v>
      </x:c>
      <x:c r="D425" s="50" t="n">
        <x:f>IF(B425=1,0,D424+E424)</x:f>
        <x:v>4200</x:v>
      </x:c>
      <x:c r="E425" s="50" t="n">
        <x:f>MIN(C425,MAX(0,Inputs!$B$7-D425))</x:f>
        <x:v>600</x:v>
      </x:c>
      <x:c r="F425" s="50" t="n">
        <x:f>MIN(C425-E425,MAX(0,Inputs!$B$20-O425))</x:f>
        <x:v>0</x:v>
      </x:c>
      <x:c r="G425" s="50" t="n">
        <x:f>0</x:f>
        <x:v>0</x:v>
      </x:c>
      <x:c r="H425" s="41" t="n">
        <x:f>0</x:f>
        <x:v>0</x:v>
      </x:c>
      <x:c r="I425" s="50" t="n">
        <x:f>(I424*(1+Inputs!$B$12))+E425</x:f>
        <x:v>281580.7794751587</x:v>
      </x:c>
      <x:c r="J425" s="50" t="n">
        <x:f>(J424*(1+Inputs!$B$12))+F425+P425</x:f>
        <x:v>317745.42180246365</x:v>
      </x:c>
      <x:c r="K425" s="50" t="n">
        <x:f>(K424*(1+Inputs!$B$12))*(1-H425)</x:f>
        <x:v>0</x:v>
      </x:c>
      <x:c r="L425" s="50" t="n">
        <x:f>L424*(1+Inputs!$B$13)+Q425</x:f>
        <x:v>28649.43460905965</x:v>
      </x:c>
      <x:c r="M425" s="50" t="n">
        <x:f>I425+J425+L425</x:f>
        <x:v>627975.635886682</x:v>
      </x:c>
      <x:c r="N425" s="50" t="n">
        <x:f>F425+P425</x:f>
        <x:v>0</x:v>
      </x:c>
      <x:c r="O425" s="50" t="n">
        <x:f>IF(B425=1,0,O424+F424+P424)</x:f>
        <x:v>0</x:v>
      </x:c>
      <x:c r="P425" s="50" t="n">
        <x:f>MIN(G425,MAX(0,Inputs!$B$20-O425-F425))</x:f>
        <x:v>0</x:v>
      </x:c>
      <x:c r="Q425" s="50" t="n">
        <x:f>(C425-E425-F425)+(G425-P425)</x:f>
        <x:v>0</x:v>
      </x:c>
    </x:row>
    <x:row r="426">
      <x:c r="A426" s="41" t="n">
        <x:f>IF(B426=1,A425+1,A425)</x:f>
        <x:v>2043</x:v>
      </x:c>
      <x:c r="B426" s="41" t="n">
        <x:f>IF(B425=26,1,B425+1)</x:f>
        <x:v>9</x:v>
      </x:c>
      <x:c r="C426" s="48" t="n">
        <x:f>Inputs!$F$19</x:f>
        <x:v>600</x:v>
      </x:c>
      <x:c r="D426" s="50" t="n">
        <x:f>IF(B426=1,0,D425+E425)</x:f>
        <x:v>4800</x:v>
      </x:c>
      <x:c r="E426" s="50" t="n">
        <x:f>MIN(C426,MAX(0,Inputs!$B$7-D426))</x:f>
        <x:v>600</x:v>
      </x:c>
      <x:c r="F426" s="50" t="n">
        <x:f>MIN(C426-E426,MAX(0,Inputs!$B$20-O426))</x:f>
        <x:v>0</x:v>
      </x:c>
      <x:c r="G426" s="50" t="n">
        <x:f>SUM(N392:N417)*Inputs!$B$6</x:f>
        <x:v>3257.1429118053597</x:v>
      </x:c>
      <x:c r="H426" s="41" t="n">
        <x:f>0</x:f>
        <x:v>0</x:v>
      </x:c>
      <x:c r="I426" s="50" t="n">
        <x:f>(I425*(1+Inputs!$B$12))+E426</x:f>
        <x:v>282709.67450823414</x:v>
      </x:c>
      <x:c r="J426" s="50" t="n">
        <x:f>(J425*(1+Inputs!$B$12))+F426+P426</x:f>
        <x:v>321599.3880332719</x:v>
      </x:c>
      <x:c r="K426" s="50" t="n">
        <x:f>(K425*(1+Inputs!$B$12))*(1-H426)</x:f>
        <x:v>0</x:v>
      </x:c>
      <x:c r="L426" s="50" t="n">
        <x:f>L425*(1+Inputs!$B$13)+Q426</x:f>
        <x:v>28699.561217189974</x:v>
      </x:c>
      <x:c r="M426" s="50" t="n">
        <x:f>I426+J426+L426</x:f>
        <x:v>633008.623758696</x:v>
      </x:c>
      <x:c r="N426" s="50" t="n">
        <x:f>F426+P426</x:f>
        <x:v>3257.1429118053597</x:v>
      </x:c>
      <x:c r="O426" s="50" t="n">
        <x:f>IF(B426=1,0,O425+F425+P425)</x:f>
        <x:v>0</x:v>
      </x:c>
      <x:c r="P426" s="50" t="n">
        <x:f>MIN(G426,MAX(0,Inputs!$B$20-O426-F426))</x:f>
        <x:v>3257.1429118053597</x:v>
      </x:c>
      <x:c r="Q426" s="50" t="n">
        <x:f>(C426-E426-F426)+(G426-P426)</x:f>
        <x:v>0</x:v>
      </x:c>
    </x:row>
    <x:row r="427">
      <x:c r="A427" s="41" t="n">
        <x:f>IF(B427=1,A426+1,A426)</x:f>
        <x:v>2043</x:v>
      </x:c>
      <x:c r="B427" s="41" t="n">
        <x:f>IF(B426=26,1,B426+1)</x:f>
        <x:v>10</x:v>
      </x:c>
      <x:c r="C427" s="48" t="n">
        <x:f>Inputs!$F$19</x:f>
        <x:v>600</x:v>
      </x:c>
      <x:c r="D427" s="50" t="n">
        <x:f>IF(B427=1,0,D426+E426)</x:f>
        <x:v>5400</x:v>
      </x:c>
      <x:c r="E427" s="50" t="n">
        <x:f>MIN(C427,MAX(0,Inputs!$B$7-D427))</x:f>
        <x:v>600</x:v>
      </x:c>
      <x:c r="F427" s="50" t="n">
        <x:f>MIN(C427-E427,MAX(0,Inputs!$B$20-O427))</x:f>
        <x:v>0</x:v>
      </x:c>
      <x:c r="G427" s="50" t="n">
        <x:f>0</x:f>
        <x:v>0</x:v>
      </x:c>
      <x:c r="H427" s="41" t="n">
        <x:f>0</x:f>
        <x:v>0</x:v>
      </x:c>
      <x:c r="I427" s="50" t="n">
        <x:f>(I426*(1+Inputs!$B$12))+E427</x:f>
        <x:v>283840.6899522871</x:v>
      </x:c>
      <x:c r="J427" s="50" t="n">
        <x:f>(J426*(1+Inputs!$B$12))+F427+P427</x:f>
        <x:v>322203.4502824351</x:v>
      </x:c>
      <x:c r="K427" s="50" t="n">
        <x:f>(K426*(1+Inputs!$B$12))*(1-H427)</x:f>
        <x:v>0</x:v>
      </x:c>
      <x:c r="L427" s="50" t="n">
        <x:f>L426*(1+Inputs!$B$13)+Q427</x:f>
        <x:v>28749.775529558687</x:v>
      </x:c>
      <x:c r="M427" s="50" t="n">
        <x:f>I427+J427+L427</x:f>
        <x:v>634793.915764281</x:v>
      </x:c>
      <x:c r="N427" s="50" t="n">
        <x:f>F427+P427</x:f>
        <x:v>0</x:v>
      </x:c>
      <x:c r="O427" s="50" t="n">
        <x:f>IF(B427=1,0,O426+F426+P426)</x:f>
        <x:v>3257.1429118053597</x:v>
      </x:c>
      <x:c r="P427" s="50" t="n">
        <x:f>MIN(G427,MAX(0,Inputs!$B$20-O427-F427))</x:f>
        <x:v>0</x:v>
      </x:c>
      <x:c r="Q427" s="50" t="n">
        <x:f>(C427-E427-F427)+(G427-P427)</x:f>
        <x:v>0</x:v>
      </x:c>
    </x:row>
    <x:row r="428">
      <x:c r="A428" s="41" t="n">
        <x:f>IF(B428=1,A427+1,A427)</x:f>
        <x:v>2043</x:v>
      </x:c>
      <x:c r="B428" s="41" t="n">
        <x:f>IF(B427=26,1,B427+1)</x:f>
        <x:v>11</x:v>
      </x:c>
      <x:c r="C428" s="48" t="n">
        <x:f>Inputs!$F$19</x:f>
        <x:v>600</x:v>
      </x:c>
      <x:c r="D428" s="50" t="n">
        <x:f>IF(B428=1,0,D427+E427)</x:f>
        <x:v>6000</x:v>
      </x:c>
      <x:c r="E428" s="50" t="n">
        <x:f>MIN(C428,MAX(0,Inputs!$B$7-D428))</x:f>
        <x:v>600</x:v>
      </x:c>
      <x:c r="F428" s="50" t="n">
        <x:f>MIN(C428-E428,MAX(0,Inputs!$B$20-O428))</x:f>
        <x:v>0</x:v>
      </x:c>
      <x:c r="G428" s="50" t="n">
        <x:f>0</x:f>
        <x:v>0</x:v>
      </x:c>
      <x:c r="H428" s="41" t="n">
        <x:f>0</x:f>
        <x:v>0</x:v>
      </x:c>
      <x:c r="I428" s="50" t="n">
        <x:f>(I427*(1+Inputs!$B$12))+E428</x:f>
        <x:v>284973.8297900995</x:v>
      </x:c>
      <x:c r="J428" s="50" t="n">
        <x:f>(J427*(1+Inputs!$B$12))+F428+P428</x:f>
        <x:v>322808.64714570035</x:v>
      </x:c>
      <x:c r="K428" s="50" t="n">
        <x:f>(K427*(1+Inputs!$B$12))*(1-H428)</x:f>
        <x:v>0</x:v>
      </x:c>
      <x:c r="L428" s="50" t="n">
        <x:f>L427*(1+Inputs!$B$13)+Q428</x:f>
        <x:v>28800.07769961789</x:v>
      </x:c>
      <x:c r="M428" s="50" t="n">
        <x:f>I428+J428+L428</x:f>
        <x:v>636582.5546354179</x:v>
      </x:c>
      <x:c r="N428" s="50" t="n">
        <x:f>F428+P428</x:f>
        <x:v>0</x:v>
      </x:c>
      <x:c r="O428" s="50" t="n">
        <x:f>IF(B428=1,0,O427+F427+P427)</x:f>
        <x:v>3257.1429118053597</x:v>
      </x:c>
      <x:c r="P428" s="50" t="n">
        <x:f>MIN(G428,MAX(0,Inputs!$B$20-O428-F428))</x:f>
        <x:v>0</x:v>
      </x:c>
      <x:c r="Q428" s="50" t="n">
        <x:f>(C428-E428-F428)+(G428-P428)</x:f>
        <x:v>0</x:v>
      </x:c>
    </x:row>
    <x:row r="429">
      <x:c r="A429" s="41" t="n">
        <x:f>IF(B429=1,A428+1,A428)</x:f>
        <x:v>2043</x:v>
      </x:c>
      <x:c r="B429" s="41" t="n">
        <x:f>IF(B428=26,1,B428+1)</x:f>
        <x:v>12</x:v>
      </x:c>
      <x:c r="C429" s="48" t="n">
        <x:f>Inputs!$F$19</x:f>
        <x:v>600</x:v>
      </x:c>
      <x:c r="D429" s="50" t="n">
        <x:f>IF(B429=1,0,D428+E428)</x:f>
        <x:v>6600</x:v>
      </x:c>
      <x:c r="E429" s="50" t="n">
        <x:f>MIN(C429,MAX(0,Inputs!$B$7-D429))</x:f>
        <x:v>600</x:v>
      </x:c>
      <x:c r="F429" s="50" t="n">
        <x:f>MIN(C429-E429,MAX(0,Inputs!$B$20-O429))</x:f>
        <x:v>0</x:v>
      </x:c>
      <x:c r="G429" s="50" t="n">
        <x:f>0</x:f>
        <x:v>0</x:v>
      </x:c>
      <x:c r="H429" s="41" t="n">
        <x:f>0</x:f>
        <x:v>0</x:v>
      </x:c>
      <x:c r="I429" s="50" t="n">
        <x:f>(I428*(1+Inputs!$B$12))+E429</x:f>
        <x:v>286109.09801193414</x:v>
      </x:c>
      <x:c r="J429" s="50" t="n">
        <x:f>(J428*(1+Inputs!$B$12))+F429+P429</x:f>
        <x:v>323414.98075422074</x:v>
      </x:c>
      <x:c r="K429" s="50" t="n">
        <x:f>(K428*(1+Inputs!$B$12))*(1-H429)</x:f>
        <x:v>0</x:v>
      </x:c>
      <x:c r="L429" s="50" t="n">
        <x:f>L428*(1+Inputs!$B$13)+Q429</x:f>
        <x:v>28850.467881088178</x:v>
      </x:c>
      <x:c r="M429" s="50" t="n">
        <x:f>I429+J429+L429</x:f>
        <x:v>638374.546647243</x:v>
      </x:c>
      <x:c r="N429" s="50" t="n">
        <x:f>F429+P429</x:f>
        <x:v>0</x:v>
      </x:c>
      <x:c r="O429" s="50" t="n">
        <x:f>IF(B429=1,0,O428+F428+P428)</x:f>
        <x:v>3257.1429118053597</x:v>
      </x:c>
      <x:c r="P429" s="50" t="n">
        <x:f>MIN(G429,MAX(0,Inputs!$B$20-O429-F429))</x:f>
        <x:v>0</x:v>
      </x:c>
      <x:c r="Q429" s="50" t="n">
        <x:f>(C429-E429-F429)+(G429-P429)</x:f>
        <x:v>0</x:v>
      </x:c>
    </x:row>
    <x:row r="430">
      <x:c r="A430" s="41" t="n">
        <x:f>IF(B430=1,A429+1,A429)</x:f>
        <x:v>2043</x:v>
      </x:c>
      <x:c r="B430" s="41" t="n">
        <x:f>IF(B429=26,1,B429+1)</x:f>
        <x:v>13</x:v>
      </x:c>
      <x:c r="C430" s="48" t="n">
        <x:f>Inputs!$F$19</x:f>
        <x:v>600</x:v>
      </x:c>
      <x:c r="D430" s="50" t="n">
        <x:f>IF(B430=1,0,D429+E429)</x:f>
        <x:v>7200</x:v>
      </x:c>
      <x:c r="E430" s="50" t="n">
        <x:f>MIN(C430,MAX(0,Inputs!$B$7-D430))</x:f>
        <x:v>600</x:v>
      </x:c>
      <x:c r="F430" s="50" t="n">
        <x:f>MIN(C430-E430,MAX(0,Inputs!$B$20-O430))</x:f>
        <x:v>0</x:v>
      </x:c>
      <x:c r="G430" s="50" t="n">
        <x:f>0</x:f>
        <x:v>0</x:v>
      </x:c>
      <x:c r="H430" s="41" t="n">
        <x:f>0</x:f>
        <x:v>0</x:v>
      </x:c>
      <x:c r="I430" s="50" t="n">
        <x:f>(I429*(1+Inputs!$B$12))+E430</x:f>
        <x:v>287246.4986155487</x:v>
      </x:c>
      <x:c r="J430" s="50" t="n">
        <x:f>(J429*(1+Inputs!$B$12))+F430+P430</x:f>
        <x:v>324022.4532431524</x:v>
      </x:c>
      <x:c r="K430" s="50" t="n">
        <x:f>(K429*(1+Inputs!$B$12))*(1-H430)</x:f>
        <x:v>0</x:v>
      </x:c>
      <x:c r="L430" s="50" t="n">
        <x:f>L429*(1+Inputs!$B$13)+Q430</x:f>
        <x:v>28900.9462279591</x:v>
      </x:c>
      <x:c r="M430" s="50" t="n">
        <x:f>I430+J430+L430</x:f>
        <x:v>640169.8980866603</x:v>
      </x:c>
      <x:c r="N430" s="50" t="n">
        <x:f>F430+P430</x:f>
        <x:v>0</x:v>
      </x:c>
      <x:c r="O430" s="50" t="n">
        <x:f>IF(B430=1,0,O429+F429+P429)</x:f>
        <x:v>3257.1429118053597</x:v>
      </x:c>
      <x:c r="P430" s="50" t="n">
        <x:f>MIN(G430,MAX(0,Inputs!$B$20-O430-F430))</x:f>
        <x:v>0</x:v>
      </x:c>
      <x:c r="Q430" s="50" t="n">
        <x:f>(C430-E430-F430)+(G430-P430)</x:f>
        <x:v>0</x:v>
      </x:c>
    </x:row>
    <x:row r="431">
      <x:c r="A431" s="41" t="n">
        <x:f>IF(B431=1,A430+1,A430)</x:f>
        <x:v>2043</x:v>
      </x:c>
      <x:c r="B431" s="41" t="n">
        <x:f>IF(B430=26,1,B430+1)</x:f>
        <x:v>14</x:v>
      </x:c>
      <x:c r="C431" s="48" t="n">
        <x:f>Inputs!$F$19</x:f>
        <x:v>600</x:v>
      </x:c>
      <x:c r="D431" s="50" t="n">
        <x:f>IF(B431=1,0,D430+E430)</x:f>
        <x:v>7800</x:v>
      </x:c>
      <x:c r="E431" s="50" t="n">
        <x:f>MIN(C431,MAX(0,Inputs!$B$7-D431))</x:f>
        <x:v>200</x:v>
      </x:c>
      <x:c r="F431" s="50" t="n">
        <x:f>MIN(C431-E431,MAX(0,Inputs!$B$20-O431))</x:f>
        <x:v>400</x:v>
      </x:c>
      <x:c r="G431" s="50" t="n">
        <x:f>0</x:f>
        <x:v>0</x:v>
      </x:c>
      <x:c r="H431" s="41" t="n">
        <x:f>0</x:f>
        <x:v>0</x:v>
      </x:c>
      <x:c r="I431" s="50" t="n">
        <x:f>(I430*(1+Inputs!$B$12))+E431</x:f>
        <x:v>287986.03560620995</x:v>
      </x:c>
      <x:c r="J431" s="50" t="n">
        <x:f>(J430*(1+Inputs!$B$12))+F431+P431</x:f>
        <x:v>325031.06675166194</x:v>
      </x:c>
      <x:c r="K431" s="50" t="n">
        <x:f>(K430*(1+Inputs!$B$12))*(1-H431)</x:f>
        <x:v>0</x:v>
      </x:c>
      <x:c r="L431" s="50" t="n">
        <x:f>L430*(1+Inputs!$B$13)+Q431</x:f>
        <x:v>28951.512894489628</x:v>
      </x:c>
      <x:c r="M431" s="50" t="n">
        <x:f>I431+J431+L431</x:f>
        <x:v>641968.6152523614</x:v>
      </x:c>
      <x:c r="N431" s="50" t="n">
        <x:f>F431+P431</x:f>
        <x:v>400</x:v>
      </x:c>
      <x:c r="O431" s="50" t="n">
        <x:f>IF(B431=1,0,O430+F430+P430)</x:f>
        <x:v>3257.1429118053597</x:v>
      </x:c>
      <x:c r="P431" s="50" t="n">
        <x:f>MIN(G431,MAX(0,Inputs!$B$20-O431-F431))</x:f>
        <x:v>0</x:v>
      </x:c>
      <x:c r="Q431" s="50" t="n">
        <x:f>(C431-E431-F431)+(G431-P431)</x:f>
        <x:v>0</x:v>
      </x:c>
    </x:row>
    <x:row r="432">
      <x:c r="A432" s="41" t="n">
        <x:f>IF(B432=1,A431+1,A431)</x:f>
        <x:v>2043</x:v>
      </x:c>
      <x:c r="B432" s="41" t="n">
        <x:f>IF(B431=26,1,B431+1)</x:f>
        <x:v>15</x:v>
      </x:c>
      <x:c r="C432" s="48" t="n">
        <x:f>Inputs!$F$19</x:f>
        <x:v>600</x:v>
      </x:c>
      <x:c r="D432" s="50" t="n">
        <x:f>IF(B432=1,0,D431+E431)</x:f>
        <x:v>8000</x:v>
      </x:c>
      <x:c r="E432" s="50" t="n">
        <x:f>MIN(C432,MAX(0,Inputs!$B$7-D432))</x:f>
        <x:v>0</x:v>
      </x:c>
      <x:c r="F432" s="50" t="n">
        <x:f>MIN(C432-E432,MAX(0,Inputs!$B$20-O432))</x:f>
        <x:v>600</x:v>
      </x:c>
      <x:c r="G432" s="50" t="n">
        <x:f>0</x:f>
        <x:v>0</x:v>
      </x:c>
      <x:c r="H432" s="41" t="n">
        <x:f>0</x:f>
        <x:v>0</x:v>
      </x:c>
      <x:c r="I432" s="50" t="n">
        <x:f>(I431*(1+Inputs!$B$12))+E432</x:f>
        <x:v>288526.96167407266</x:v>
      </x:c>
      <x:c r="J432" s="50" t="n">
        <x:f>(J431*(1+Inputs!$B$12))+F432+P432</x:f>
        <x:v>326241.574745569</x:v>
      </x:c>
      <x:c r="K432" s="50" t="n">
        <x:f>(K431*(1+Inputs!$B$12))*(1-H432)</x:f>
        <x:v>0</x:v>
      </x:c>
      <x:c r="L432" s="50" t="n">
        <x:f>L431*(1+Inputs!$B$13)+Q432</x:f>
        <x:v>29002.168035208644</x:v>
      </x:c>
      <x:c r="M432" s="50" t="n">
        <x:f>I432+J432+L432</x:f>
        <x:v>643770.7044548503</x:v>
      </x:c>
      <x:c r="N432" s="50" t="n">
        <x:f>F432+P432</x:f>
        <x:v>600</x:v>
      </x:c>
      <x:c r="O432" s="50" t="n">
        <x:f>IF(B432=1,0,O431+F431+P431)</x:f>
        <x:v>3657.1429118053597</x:v>
      </x:c>
      <x:c r="P432" s="50" t="n">
        <x:f>MIN(G432,MAX(0,Inputs!$B$20-O432-F432))</x:f>
        <x:v>0</x:v>
      </x:c>
      <x:c r="Q432" s="50" t="n">
        <x:f>(C432-E432-F432)+(G432-P432)</x:f>
        <x:v>0</x:v>
      </x:c>
    </x:row>
    <x:row r="433">
      <x:c r="A433" s="41" t="n">
        <x:f>IF(B433=1,A432+1,A432)</x:f>
        <x:v>2043</x:v>
      </x:c>
      <x:c r="B433" s="41" t="n">
        <x:f>IF(B432=26,1,B432+1)</x:f>
        <x:v>16</x:v>
      </x:c>
      <x:c r="C433" s="48" t="n">
        <x:f>Inputs!$F$19</x:f>
        <x:v>600</x:v>
      </x:c>
      <x:c r="D433" s="50" t="n">
        <x:f>IF(B433=1,0,D432+E432)</x:f>
        <x:v>8000</x:v>
      </x:c>
      <x:c r="E433" s="50" t="n">
        <x:f>MIN(C433,MAX(0,Inputs!$B$7-D433))</x:f>
        <x:v>0</x:v>
      </x:c>
      <x:c r="F433" s="50" t="n">
        <x:f>MIN(C433-E433,MAX(0,Inputs!$B$20-O433))</x:f>
        <x:v>600</x:v>
      </x:c>
      <x:c r="G433" s="50" t="n">
        <x:f>0</x:f>
        <x:v>0</x:v>
      </x:c>
      <x:c r="H433" s="41" t="n">
        <x:f>0</x:f>
        <x:v>0</x:v>
      </x:c>
      <x:c r="I433" s="50" t="n">
        <x:f>(I432*(1+Inputs!$B$12))+E433</x:f>
        <x:v>289068.90376693214</x:v>
      </x:c>
      <x:c r="J433" s="50" t="n">
        <x:f>(J432*(1+Inputs!$B$12))+F433+P433</x:f>
        <x:v>327454.3564446156</x:v>
      </x:c>
      <x:c r="K433" s="50" t="n">
        <x:f>(K432*(1+Inputs!$B$12))*(1-H433)</x:f>
        <x:v>0</x:v>
      </x:c>
      <x:c r="L433" s="50" t="n">
        <x:f>L432*(1+Inputs!$B$13)+Q433</x:f>
        <x:v>29052.911804915395</x:v>
      </x:c>
      <x:c r="M433" s="50" t="n">
        <x:f>I433+J433+L433</x:f>
        <x:v>645576.1720164631</x:v>
      </x:c>
      <x:c r="N433" s="50" t="n">
        <x:f>F433+P433</x:f>
        <x:v>600</x:v>
      </x:c>
      <x:c r="O433" s="50" t="n">
        <x:f>IF(B433=1,0,O432+F432+P432)</x:f>
        <x:v>4257.14291180536</x:v>
      </x:c>
      <x:c r="P433" s="50" t="n">
        <x:f>MIN(G433,MAX(0,Inputs!$B$20-O433-F433))</x:f>
        <x:v>0</x:v>
      </x:c>
      <x:c r="Q433" s="50" t="n">
        <x:f>(C433-E433-F433)+(G433-P433)</x:f>
        <x:v>0</x:v>
      </x:c>
    </x:row>
    <x:row r="434">
      <x:c r="A434" s="41" t="n">
        <x:f>IF(B434=1,A433+1,A433)</x:f>
        <x:v>2043</x:v>
      </x:c>
      <x:c r="B434" s="41" t="n">
        <x:f>IF(B433=26,1,B433+1)</x:f>
        <x:v>17</x:v>
      </x:c>
      <x:c r="C434" s="48" t="n">
        <x:f>Inputs!$F$19</x:f>
        <x:v>600</x:v>
      </x:c>
      <x:c r="D434" s="50" t="n">
        <x:f>IF(B434=1,0,D433+E433)</x:f>
        <x:v>8000</x:v>
      </x:c>
      <x:c r="E434" s="50" t="n">
        <x:f>MIN(C434,MAX(0,Inputs!$B$7-D434))</x:f>
        <x:v>0</x:v>
      </x:c>
      <x:c r="F434" s="50" t="n">
        <x:f>MIN(C434-E434,MAX(0,Inputs!$B$20-O434))</x:f>
        <x:v>600</x:v>
      </x:c>
      <x:c r="G434" s="50" t="n">
        <x:f>0</x:f>
        <x:v>0</x:v>
      </x:c>
      <x:c r="H434" s="41" t="n">
        <x:f>0</x:f>
        <x:v>0</x:v>
      </x:c>
      <x:c r="I434" s="50" t="n">
        <x:f>(I433*(1+Inputs!$B$12))+E434</x:f>
        <x:v>289611.8637931948</x:v>
      </x:c>
      <x:c r="J434" s="50" t="n">
        <x:f>(J433*(1+Inputs!$B$12))+F434+P434</x:f>
        <x:v>328669.416119517</x:v>
      </x:c>
      <x:c r="K434" s="50" t="n">
        <x:f>(K433*(1+Inputs!$B$12))*(1-H434)</x:f>
        <x:v>0</x:v>
      </x:c>
      <x:c r="L434" s="50" t="n">
        <x:f>L433*(1+Inputs!$B$13)+Q434</x:f>
        <x:v>29103.744358679978</x:v>
      </x:c>
      <x:c r="M434" s="50" t="n">
        <x:f>I434+J434+L434</x:f>
        <x:v>647385.0242713918</x:v>
      </x:c>
      <x:c r="N434" s="50" t="n">
        <x:f>F434+P434</x:f>
        <x:v>600</x:v>
      </x:c>
      <x:c r="O434" s="50" t="n">
        <x:f>IF(B434=1,0,O433+F433+P433)</x:f>
        <x:v>4857.14291180536</x:v>
      </x:c>
      <x:c r="P434" s="50" t="n">
        <x:f>MIN(G434,MAX(0,Inputs!$B$20-O434-F434))</x:f>
        <x:v>0</x:v>
      </x:c>
      <x:c r="Q434" s="50" t="n">
        <x:f>(C434-E434-F434)+(G434-P434)</x:f>
        <x:v>0</x:v>
      </x:c>
    </x:row>
    <x:row r="435">
      <x:c r="A435" s="41" t="n">
        <x:f>IF(B435=1,A434+1,A434)</x:f>
        <x:v>2043</x:v>
      </x:c>
      <x:c r="B435" s="41" t="n">
        <x:f>IF(B434=26,1,B434+1)</x:f>
        <x:v>18</x:v>
      </x:c>
      <x:c r="C435" s="48" t="n">
        <x:f>Inputs!$F$19</x:f>
        <x:v>600</x:v>
      </x:c>
      <x:c r="D435" s="50" t="n">
        <x:f>IF(B435=1,0,D434+E434)</x:f>
        <x:v>8000</x:v>
      </x:c>
      <x:c r="E435" s="50" t="n">
        <x:f>MIN(C435,MAX(0,Inputs!$B$7-D435))</x:f>
        <x:v>0</x:v>
      </x:c>
      <x:c r="F435" s="50" t="n">
        <x:f>MIN(C435-E435,MAX(0,Inputs!$B$20-O435))</x:f>
        <x:v>600</x:v>
      </x:c>
      <x:c r="G435" s="50" t="n">
        <x:f>0</x:f>
        <x:v>0</x:v>
      </x:c>
      <x:c r="H435" s="41" t="n">
        <x:f>0</x:f>
        <x:v>0</x:v>
      </x:c>
      <x:c r="I435" s="50" t="n">
        <x:f>(I434*(1+Inputs!$B$12))+E435</x:f>
        <x:v>290155.8436648517</x:v>
      </x:c>
      <x:c r="J435" s="50" t="n">
        <x:f>(J434*(1+Inputs!$B$12))+F435+P435</x:f>
        <x:v>329886.7580490103</x:v>
      </x:c>
      <x:c r="K435" s="50" t="n">
        <x:f>(K434*(1+Inputs!$B$12))*(1-H435)</x:f>
        <x:v>0</x:v>
      </x:c>
      <x:c r="L435" s="50" t="n">
        <x:f>L434*(1+Inputs!$B$13)+Q435</x:f>
        <x:v>29154.665851843805</x:v>
      </x:c>
      <x:c r="M435" s="50" t="n">
        <x:f>I435+J435+L435</x:f>
        <x:v>649197.2675657058</x:v>
      </x:c>
      <x:c r="N435" s="50" t="n">
        <x:f>F435+P435</x:f>
        <x:v>600</x:v>
      </x:c>
      <x:c r="O435" s="50" t="n">
        <x:f>IF(B435=1,0,O434+F434+P434)</x:f>
        <x:v>5457.14291180536</x:v>
      </x:c>
      <x:c r="P435" s="50" t="n">
        <x:f>MIN(G435,MAX(0,Inputs!$B$20-O435-F435))</x:f>
        <x:v>0</x:v>
      </x:c>
      <x:c r="Q435" s="50" t="n">
        <x:f>(C435-E435-F435)+(G435-P435)</x:f>
        <x:v>0</x:v>
      </x:c>
    </x:row>
    <x:row r="436">
      <x:c r="A436" s="41" t="n">
        <x:f>IF(B436=1,A435+1,A435)</x:f>
        <x:v>2043</x:v>
      </x:c>
      <x:c r="B436" s="41" t="n">
        <x:f>IF(B435=26,1,B435+1)</x:f>
        <x:v>19</x:v>
      </x:c>
      <x:c r="C436" s="48" t="n">
        <x:f>Inputs!$F$19</x:f>
        <x:v>600</x:v>
      </x:c>
      <x:c r="D436" s="50" t="n">
        <x:f>IF(B436=1,0,D435+E435)</x:f>
        <x:v>8000</x:v>
      </x:c>
      <x:c r="E436" s="50" t="n">
        <x:f>MIN(C436,MAX(0,Inputs!$B$7-D436))</x:f>
        <x:v>0</x:v>
      </x:c>
      <x:c r="F436" s="50" t="n">
        <x:f>MIN(C436-E436,MAX(0,Inputs!$B$20-O436))</x:f>
        <x:v>600</x:v>
      </x:c>
      <x:c r="G436" s="50" t="n">
        <x:f>0</x:f>
        <x:v>0</x:v>
      </x:c>
      <x:c r="H436" s="41" t="n">
        <x:f>0</x:f>
        <x:v>0</x:v>
      </x:c>
      <x:c r="I436" s="50" t="n">
        <x:f>(I435*(1+Inputs!$B$12))+E436</x:f>
        <x:v>290700.8452974851</x:v>
      </x:c>
      <x:c r="J436" s="50" t="n">
        <x:f>(J435*(1+Inputs!$B$12))+F436+P436</x:f>
        <x:v>331106.3865198693</x:v>
      </x:c>
      <x:c r="K436" s="50" t="n">
        <x:f>(K435*(1+Inputs!$B$12))*(1-H436)</x:f>
        <x:v>0</x:v>
      </x:c>
      <x:c r="L436" s="50" t="n">
        <x:f>L435*(1+Inputs!$B$13)+Q436</x:f>
        <x:v>29205.676440020085</x:v>
      </x:c>
      <x:c r="M436" s="50" t="n">
        <x:f>I436+J436+L436</x:f>
        <x:v>651012.9082573745</x:v>
      </x:c>
      <x:c r="N436" s="50" t="n">
        <x:f>F436+P436</x:f>
        <x:v>600</x:v>
      </x:c>
      <x:c r="O436" s="50" t="n">
        <x:f>IF(B436=1,0,O435+F435+P435)</x:f>
        <x:v>6057.14291180536</x:v>
      </x:c>
      <x:c r="P436" s="50" t="n">
        <x:f>MIN(G436,MAX(0,Inputs!$B$20-O436-F436))</x:f>
        <x:v>0</x:v>
      </x:c>
      <x:c r="Q436" s="50" t="n">
        <x:f>(C436-E436-F436)+(G436-P436)</x:f>
        <x:v>0</x:v>
      </x:c>
    </x:row>
    <x:row r="437">
      <x:c r="A437" s="41" t="n">
        <x:f>IF(B437=1,A436+1,A436)</x:f>
        <x:v>2043</x:v>
      </x:c>
      <x:c r="B437" s="41" t="n">
        <x:f>IF(B436=26,1,B436+1)</x:f>
        <x:v>20</x:v>
      </x:c>
      <x:c r="C437" s="48" t="n">
        <x:f>Inputs!$F$19</x:f>
        <x:v>600</x:v>
      </x:c>
      <x:c r="D437" s="50" t="n">
        <x:f>IF(B437=1,0,D436+E436)</x:f>
        <x:v>8000</x:v>
      </x:c>
      <x:c r="E437" s="50" t="n">
        <x:f>MIN(C437,MAX(0,Inputs!$B$7-D437))</x:f>
        <x:v>0</x:v>
      </x:c>
      <x:c r="F437" s="50" t="n">
        <x:f>MIN(C437-E437,MAX(0,Inputs!$B$20-O437))</x:f>
        <x:v>600</x:v>
      </x:c>
      <x:c r="G437" s="50" t="n">
        <x:f>0</x:f>
        <x:v>0</x:v>
      </x:c>
      <x:c r="H437" s="41" t="n">
        <x:f>0</x:f>
        <x:v>0</x:v>
      </x:c>
      <x:c r="I437" s="50" t="n">
        <x:f>(I436*(1+Inputs!$B$12))+E437</x:f>
        <x:v>291246.8706102755</x:v>
      </x:c>
      <x:c r="J437" s="50" t="n">
        <x:f>(J436*(1+Inputs!$B$12))+F437+P437</x:f>
        <x:v>332328.3058269198</x:v>
      </x:c>
      <x:c r="K437" s="50" t="n">
        <x:f>(K436*(1+Inputs!$B$12))*(1-H437)</x:f>
        <x:v>0</x:v>
      </x:c>
      <x:c r="L437" s="50" t="n">
        <x:f>L436*(1+Inputs!$B$13)+Q437</x:f>
        <x:v>29256.77627909429</x:v>
      </x:c>
      <x:c r="M437" s="50" t="n">
        <x:f>I437+J437+L437</x:f>
        <x:v>652831.9527162896</x:v>
      </x:c>
      <x:c r="N437" s="50" t="n">
        <x:f>F437+P437</x:f>
        <x:v>600</x:v>
      </x:c>
      <x:c r="O437" s="50" t="n">
        <x:f>IF(B437=1,0,O436+F436+P436)</x:f>
        <x:v>6657.14291180536</x:v>
      </x:c>
      <x:c r="P437" s="50" t="n">
        <x:f>MIN(G437,MAX(0,Inputs!$B$20-O437-F437))</x:f>
        <x:v>0</x:v>
      </x:c>
      <x:c r="Q437" s="50" t="n">
        <x:f>(C437-E437-F437)+(G437-P437)</x:f>
        <x:v>0</x:v>
      </x:c>
    </x:row>
    <x:row r="438">
      <x:c r="A438" s="41" t="n">
        <x:f>IF(B438=1,A437+1,A437)</x:f>
        <x:v>2043</x:v>
      </x:c>
      <x:c r="B438" s="41" t="n">
        <x:f>IF(B437=26,1,B437+1)</x:f>
        <x:v>21</x:v>
      </x:c>
      <x:c r="C438" s="48" t="n">
        <x:f>Inputs!$F$19</x:f>
        <x:v>600</x:v>
      </x:c>
      <x:c r="D438" s="50" t="n">
        <x:f>IF(B438=1,0,D437+E437)</x:f>
        <x:v>8000</x:v>
      </x:c>
      <x:c r="E438" s="50" t="n">
        <x:f>MIN(C438,MAX(0,Inputs!$B$7-D438))</x:f>
        <x:v>0</x:v>
      </x:c>
      <x:c r="F438" s="50" t="n">
        <x:f>MIN(C438-E438,MAX(0,Inputs!$B$20-O438))</x:f>
        <x:v>600</x:v>
      </x:c>
      <x:c r="G438" s="50" t="n">
        <x:f>0</x:f>
        <x:v>0</x:v>
      </x:c>
      <x:c r="H438" s="41" t="n">
        <x:f>0</x:f>
        <x:v>0</x:v>
      </x:c>
      <x:c r="I438" s="50" t="n">
        <x:f>(I437*(1+Inputs!$B$12))+E438</x:f>
        <x:v>291793.92152600794</x:v>
      </x:c>
      <x:c r="J438" s="50" t="n">
        <x:f>(J437*(1+Inputs!$B$12))+F438+P438</x:f>
        <x:v>333552.52027305437</x:v>
      </x:c>
      <x:c r="K438" s="50" t="n">
        <x:f>(K437*(1+Inputs!$B$12))*(1-H438)</x:f>
        <x:v>0</x:v>
      </x:c>
      <x:c r="L438" s="50" t="n">
        <x:f>L437*(1+Inputs!$B$13)+Q438</x:f>
        <x:v>29307.96552522465</x:v>
      </x:c>
      <x:c r="M438" s="50" t="n">
        <x:f>I438+J438+L438</x:f>
        <x:v>654654.407324287</x:v>
      </x:c>
      <x:c r="N438" s="50" t="n">
        <x:f>F438+P438</x:f>
        <x:v>600</x:v>
      </x:c>
      <x:c r="O438" s="50" t="n">
        <x:f>IF(B438=1,0,O437+F437+P437)</x:f>
        <x:v>7257.14291180536</x:v>
      </x:c>
      <x:c r="P438" s="50" t="n">
        <x:f>MIN(G438,MAX(0,Inputs!$B$20-O438-F438))</x:f>
        <x:v>0</x:v>
      </x:c>
      <x:c r="Q438" s="50" t="n">
        <x:f>(C438-E438-F438)+(G438-P438)</x:f>
        <x:v>0</x:v>
      </x:c>
    </x:row>
    <x:row r="439">
      <x:c r="A439" s="41" t="n">
        <x:f>IF(B439=1,A438+1,A438)</x:f>
        <x:v>2043</x:v>
      </x:c>
      <x:c r="B439" s="41" t="n">
        <x:f>IF(B438=26,1,B438+1)</x:f>
        <x:v>22</x:v>
      </x:c>
      <x:c r="C439" s="48" t="n">
        <x:f>Inputs!$F$19</x:f>
        <x:v>600</x:v>
      </x:c>
      <x:c r="D439" s="50" t="n">
        <x:f>IF(B439=1,0,D438+E438)</x:f>
        <x:v>8000</x:v>
      </x:c>
      <x:c r="E439" s="50" t="n">
        <x:f>MIN(C439,MAX(0,Inputs!$B$7-D439))</x:f>
        <x:v>0</x:v>
      </x:c>
      <x:c r="F439" s="50" t="n">
        <x:f>MIN(C439-E439,MAX(0,Inputs!$B$20-O439))</x:f>
        <x:v>600</x:v>
      </x:c>
      <x:c r="G439" s="50" t="n">
        <x:f>0</x:f>
        <x:v>0</x:v>
      </x:c>
      <x:c r="H439" s="41" t="n">
        <x:f>0</x:f>
        <x:v>0</x:v>
      </x:c>
      <x:c r="I439" s="50" t="n">
        <x:f>(I438*(1+Inputs!$B$12))+E439</x:f>
        <x:v>292341.99997107923</x:v>
      </x:c>
      <x:c r="J439" s="50" t="n">
        <x:f>(J438*(1+Inputs!$B$12))+F439+P439</x:f>
        <x:v>334779.03416924796</x:v>
      </x:c>
      <x:c r="K439" s="50" t="n">
        <x:f>(K438*(1+Inputs!$B$12))*(1-H439)</x:f>
        <x:v>0</x:v>
      </x:c>
      <x:c r="L439" s="50" t="n">
        <x:f>L438*(1+Inputs!$B$13)+Q439</x:f>
        <x:v>29359.244334842602</x:v>
      </x:c>
      <x:c r="M439" s="50" t="n">
        <x:f>I439+J439+L439</x:f>
        <x:v>656480.2784751698</x:v>
      </x:c>
      <x:c r="N439" s="50" t="n">
        <x:f>F439+P439</x:f>
        <x:v>600</x:v>
      </x:c>
      <x:c r="O439" s="50" t="n">
        <x:f>IF(B439=1,0,O438+F438+P438)</x:f>
        <x:v>7857.14291180536</x:v>
      </x:c>
      <x:c r="P439" s="50" t="n">
        <x:f>MIN(G439,MAX(0,Inputs!$B$20-O439-F439))</x:f>
        <x:v>0</x:v>
      </x:c>
      <x:c r="Q439" s="50" t="n">
        <x:f>(C439-E439-F439)+(G439-P439)</x:f>
        <x:v>0</x:v>
      </x:c>
    </x:row>
    <x:row r="440">
      <x:c r="A440" s="41" t="n">
        <x:f>IF(B440=1,A439+1,A439)</x:f>
        <x:v>2043</x:v>
      </x:c>
      <x:c r="B440" s="41" t="n">
        <x:f>IF(B439=26,1,B439+1)</x:f>
        <x:v>23</x:v>
      </x:c>
      <x:c r="C440" s="48" t="n">
        <x:f>Inputs!$F$19</x:f>
        <x:v>600</x:v>
      </x:c>
      <x:c r="D440" s="50" t="n">
        <x:f>IF(B440=1,0,D439+E439)</x:f>
        <x:v>8000</x:v>
      </x:c>
      <x:c r="E440" s="50" t="n">
        <x:f>MIN(C440,MAX(0,Inputs!$B$7-D440))</x:f>
        <x:v>0</x:v>
      </x:c>
      <x:c r="F440" s="50" t="n">
        <x:f>MIN(C440-E440,MAX(0,Inputs!$B$20-O440))</x:f>
        <x:v>600</x:v>
      </x:c>
      <x:c r="G440" s="50" t="n">
        <x:f>0</x:f>
        <x:v>0</x:v>
      </x:c>
      <x:c r="H440" s="41" t="n">
        <x:f>0</x:f>
        <x:v>0</x:v>
      </x:c>
      <x:c r="I440" s="50" t="n">
        <x:f>(I439*(1+Inputs!$B$12))+E440</x:f>
        <x:v>292891.10787550453</x:v>
      </x:c>
      <x:c r="J440" s="50" t="n">
        <x:f>(J439*(1+Inputs!$B$12))+F440+P440</x:f>
        <x:v>336007.8518345728</x:v>
      </x:c>
      <x:c r="K440" s="50" t="n">
        <x:f>(K439*(1+Inputs!$B$12))*(1-H440)</x:f>
        <x:v>0</x:v>
      </x:c>
      <x:c r="L440" s="50" t="n">
        <x:f>L439*(1+Inputs!$B$13)+Q440</x:f>
        <x:v>29410.6128646533</x:v>
      </x:c>
      <x:c r="M440" s="50" t="n">
        <x:f>I440+J440+L440</x:f>
        <x:v>658309.5725747307</x:v>
      </x:c>
      <x:c r="N440" s="50" t="n">
        <x:f>F440+P440</x:f>
        <x:v>600</x:v>
      </x:c>
      <x:c r="O440" s="50" t="n">
        <x:f>IF(B440=1,0,O439+F439+P439)</x:f>
        <x:v>8457.14291180536</x:v>
      </x:c>
      <x:c r="P440" s="50" t="n">
        <x:f>MIN(G440,MAX(0,Inputs!$B$20-O440-F440))</x:f>
        <x:v>0</x:v>
      </x:c>
      <x:c r="Q440" s="50" t="n">
        <x:f>(C440-E440-F440)+(G440-P440)</x:f>
        <x:v>0</x:v>
      </x:c>
    </x:row>
    <x:row r="441">
      <x:c r="A441" s="41" t="n">
        <x:f>IF(B441=1,A440+1,A440)</x:f>
        <x:v>2043</x:v>
      </x:c>
      <x:c r="B441" s="41" t="n">
        <x:f>IF(B440=26,1,B440+1)</x:f>
        <x:v>24</x:v>
      </x:c>
      <x:c r="C441" s="48" t="n">
        <x:f>Inputs!$F$19</x:f>
        <x:v>600</x:v>
      </x:c>
      <x:c r="D441" s="50" t="n">
        <x:f>IF(B441=1,0,D440+E440)</x:f>
        <x:v>8000</x:v>
      </x:c>
      <x:c r="E441" s="50" t="n">
        <x:f>MIN(C441,MAX(0,Inputs!$B$7-D441))</x:f>
        <x:v>0</x:v>
      </x:c>
      <x:c r="F441" s="50" t="n">
        <x:f>MIN(C441-E441,MAX(0,Inputs!$B$20-O441))</x:f>
        <x:v>600</x:v>
      </x:c>
      <x:c r="G441" s="50" t="n">
        <x:f>0</x:f>
        <x:v>0</x:v>
      </x:c>
      <x:c r="H441" s="41" t="n">
        <x:f>0</x:f>
        <x:v>0</x:v>
      </x:c>
      <x:c r="I441" s="50" t="n">
        <x:f>(I440*(1+Inputs!$B$12))+E441</x:f>
        <x:v>293441.2471729241</x:v>
      </x:c>
      <x:c r="J441" s="50" t="n">
        <x:f>(J440*(1+Inputs!$B$12))+F441+P441</x:f>
        <x:v>337238.9775962135</x:v>
      </x:c>
      <x:c r="K441" s="50" t="n">
        <x:f>(K440*(1+Inputs!$B$12))*(1-H441)</x:f>
        <x:v>0</x:v>
      </x:c>
      <x:c r="L441" s="50" t="n">
        <x:f>L440*(1+Inputs!$B$13)+Q441</x:f>
        <x:v>29462.07127163607</x:v>
      </x:c>
      <x:c r="M441" s="50" t="n">
        <x:f>I441+J441+L441</x:f>
        <x:v>660142.2960407736</x:v>
      </x:c>
      <x:c r="N441" s="50" t="n">
        <x:f>F441+P441</x:f>
        <x:v>600</x:v>
      </x:c>
      <x:c r="O441" s="50" t="n">
        <x:f>IF(B441=1,0,O440+F440+P440)</x:f>
        <x:v>9057.14291180536</x:v>
      </x:c>
      <x:c r="P441" s="50" t="n">
        <x:f>MIN(G441,MAX(0,Inputs!$B$20-O441-F441))</x:f>
        <x:v>0</x:v>
      </x:c>
      <x:c r="Q441" s="50" t="n">
        <x:f>(C441-E441-F441)+(G441-P441)</x:f>
        <x:v>0</x:v>
      </x:c>
    </x:row>
    <x:row r="442">
      <x:c r="A442" s="41" t="n">
        <x:f>IF(B442=1,A441+1,A441)</x:f>
        <x:v>2043</x:v>
      </x:c>
      <x:c r="B442" s="41" t="n">
        <x:f>IF(B441=26,1,B441+1)</x:f>
        <x:v>25</x:v>
      </x:c>
      <x:c r="C442" s="48" t="n">
        <x:f>Inputs!$F$19</x:f>
        <x:v>600</x:v>
      </x:c>
      <x:c r="D442" s="50" t="n">
        <x:f>IF(B442=1,0,D441+E441)</x:f>
        <x:v>8000</x:v>
      </x:c>
      <x:c r="E442" s="50" t="n">
        <x:f>MIN(C442,MAX(0,Inputs!$B$7-D442))</x:f>
        <x:v>0</x:v>
      </x:c>
      <x:c r="F442" s="50" t="n">
        <x:f>MIN(C442-E442,MAX(0,Inputs!$B$20-O442))</x:f>
        <x:v>600</x:v>
      </x:c>
      <x:c r="G442" s="50" t="n">
        <x:f>0</x:f>
        <x:v>0</x:v>
      </x:c>
      <x:c r="H442" s="41" t="n">
        <x:f>0</x:f>
        <x:v>0</x:v>
      </x:c>
      <x:c r="I442" s="50" t="n">
        <x:f>(I441*(1+Inputs!$B$12))+E442</x:f>
        <x:v>293992.4198006102</x:v>
      </x:c>
      <x:c r="J442" s="50" t="n">
        <x:f>(J441*(1+Inputs!$B$12))+F442+P442</x:f>
        <x:v>338472.4157894827</x:v>
      </x:c>
      <x:c r="K442" s="50" t="n">
        <x:f>(K441*(1+Inputs!$B$12))*(1-H442)</x:f>
        <x:v>0</x:v>
      </x:c>
      <x:c r="L442" s="50" t="n">
        <x:f>L441*(1+Inputs!$B$13)+Q442</x:f>
        <x:v>29513.619713044893</x:v>
      </x:c>
      <x:c r="M442" s="50" t="n">
        <x:f>I442+J442+L442</x:f>
        <x:v>661978.4553031378</x:v>
      </x:c>
      <x:c r="N442" s="50" t="n">
        <x:f>F442+P442</x:f>
        <x:v>600</x:v>
      </x:c>
      <x:c r="O442" s="50" t="n">
        <x:f>IF(B442=1,0,O441+F441+P441)</x:f>
        <x:v>9657.14291180536</x:v>
      </x:c>
      <x:c r="P442" s="50" t="n">
        <x:f>MIN(G442,MAX(0,Inputs!$B$20-O442-F442))</x:f>
        <x:v>0</x:v>
      </x:c>
      <x:c r="Q442" s="50" t="n">
        <x:f>(C442-E442-F442)+(G442-P442)</x:f>
        <x:v>0</x:v>
      </x:c>
    </x:row>
    <x:row r="443">
      <x:c r="A443" s="41" t="n">
        <x:f>IF(B443=1,A442+1,A442)</x:f>
        <x:v>2043</x:v>
      </x:c>
      <x:c r="B443" s="41" t="n">
        <x:f>IF(B442=26,1,B442+1)</x:f>
        <x:v>26</x:v>
      </x:c>
      <x:c r="C443" s="48" t="n">
        <x:f>Inputs!$F$19</x:f>
        <x:v>600</x:v>
      </x:c>
      <x:c r="D443" s="50" t="n">
        <x:f>IF(B443=1,0,D442+E442)</x:f>
        <x:v>8000</x:v>
      </x:c>
      <x:c r="E443" s="50" t="n">
        <x:f>MIN(C443,MAX(0,Inputs!$B$7-D443))</x:f>
        <x:v>0</x:v>
      </x:c>
      <x:c r="F443" s="50" t="n">
        <x:f>MIN(C443-E443,MAX(0,Inputs!$B$20-O443))</x:f>
        <x:v>600</x:v>
      </x:c>
      <x:c r="G443" s="50" t="n">
        <x:f>0</x:f>
        <x:v>0</x:v>
      </x:c>
      <x:c r="H443" s="41" t="n">
        <x:f>IF(A443=Inputs!$B$8,1,0)</x:f>
        <x:v>0</x:v>
      </x:c>
      <x:c r="I443" s="50" t="n">
        <x:f>(I442*(1+Inputs!$B$12))+E443</x:f>
        <x:v>294544.6276994739</x:v>
      </x:c>
      <x:c r="J443" s="50" t="n">
        <x:f>(J442*(1+Inputs!$B$12))+F443+P443</x:f>
        <x:v>339708.1707578359</x:v>
      </x:c>
      <x:c r="K443" s="50" t="n">
        <x:f>(K442*(1+Inputs!$B$12))*(1-H443)</x:f>
        <x:v>0</x:v>
      </x:c>
      <x:c r="L443" s="50" t="n">
        <x:f>L442*(1+Inputs!$B$13)+Q443</x:f>
        <x:v>29565.258346408897</x:v>
      </x:c>
      <x:c r="M443" s="50" t="n">
        <x:f>I443+J443+L443</x:f>
        <x:v>663818.0568037187</x:v>
      </x:c>
      <x:c r="N443" s="50" t="n">
        <x:f>F443+P443</x:f>
        <x:v>600</x:v>
      </x:c>
      <x:c r="O443" s="50" t="n">
        <x:f>IF(B443=1,0,O442+F442+P442)</x:f>
        <x:v>10257.14291180536</x:v>
      </x:c>
      <x:c r="P443" s="50" t="n">
        <x:f>MIN(G443,MAX(0,Inputs!$B$20-O443-F443))</x:f>
        <x:v>0</x:v>
      </x:c>
      <x:c r="Q443" s="50" t="n">
        <x:f>(C443-E443-F443)+(G443-P443)</x:f>
        <x:v>0</x:v>
      </x:c>
    </x:row>
    <x:row r="444">
      <x:c r="A444" s="41" t="n">
        <x:f>IF(B444=1,A443+1,A443)</x:f>
        <x:v>2044</x:v>
      </x:c>
      <x:c r="B444" s="41" t="n">
        <x:f>IF(B443=26,1,B443+1)</x:f>
        <x:v>1</x:v>
      </x:c>
      <x:c r="C444" s="48" t="n">
        <x:f>Inputs!$F$20</x:f>
        <x:v>600</x:v>
      </x:c>
      <x:c r="D444" s="50" t="n">
        <x:f>IF(B444=1,0,D443+E443)</x:f>
        <x:v>0</x:v>
      </x:c>
      <x:c r="E444" s="50" t="n">
        <x:f>MIN(C444,MAX(0,Inputs!$B$7-D444))</x:f>
        <x:v>600</x:v>
      </x:c>
      <x:c r="F444" s="50" t="n">
        <x:f>MIN(C444-E444,MAX(0,Inputs!$B$20-O444))</x:f>
        <x:v>0</x:v>
      </x:c>
      <x:c r="G444" s="50" t="n">
        <x:f>0</x:f>
        <x:v>0</x:v>
      </x:c>
      <x:c r="H444" s="41" t="n">
        <x:f>0</x:f>
        <x:v>0</x:v>
      </x:c>
      <x:c r="I444" s="50" t="n">
        <x:f>(I443*(1+Inputs!$B$12))+E444</x:f>
        <x:v>295697.8728140718</x:v>
      </x:c>
      <x:c r="J444" s="50" t="n">
        <x:f>(J443*(1+Inputs!$B$12))+F444+P444</x:f>
        <x:v>340346.24685288704</x:v>
      </x:c>
      <x:c r="K444" s="50" t="n">
        <x:f>(K443*(1+Inputs!$B$12))*(1-H444)</x:f>
        <x:v>0</x:v>
      </x:c>
      <x:c r="L444" s="50" t="n">
        <x:f>L443*(1+Inputs!$B$13)+Q444</x:f>
        <x:v>29616.98732953283</x:v>
      </x:c>
      <x:c r="M444" s="50" t="n">
        <x:f>I444+J444+L444</x:f>
        <x:v>665661.1069964917</x:v>
      </x:c>
      <x:c r="N444" s="50" t="n">
        <x:f>F444+P444</x:f>
        <x:v>0</x:v>
      </x:c>
      <x:c r="O444" s="50" t="n">
        <x:f>IF(B444=1,0,O443+F443+P443)</x:f>
        <x:v>0</x:v>
      </x:c>
      <x:c r="P444" s="50" t="n">
        <x:f>MIN(G444,MAX(0,Inputs!$B$20-O444-F444))</x:f>
        <x:v>0</x:v>
      </x:c>
      <x:c r="Q444" s="50" t="n">
        <x:f>(C444-E444-F444)+(G444-P444)</x:f>
        <x:v>0</x:v>
      </x:c>
    </x:row>
    <x:row r="445">
      <x:c r="A445" s="41" t="n">
        <x:f>IF(B445=1,A444+1,A444)</x:f>
        <x:v>2044</x:v>
      </x:c>
      <x:c r="B445" s="41" t="n">
        <x:f>IF(B444=26,1,B444+1)</x:f>
        <x:v>2</x:v>
      </x:c>
      <x:c r="C445" s="48" t="n">
        <x:f>Inputs!$F$20</x:f>
        <x:v>600</x:v>
      </x:c>
      <x:c r="D445" s="50" t="n">
        <x:f>IF(B445=1,0,D444+E444)</x:f>
        <x:v>600</x:v>
      </x:c>
      <x:c r="E445" s="50" t="n">
        <x:f>MIN(C445,MAX(0,Inputs!$B$7-D445))</x:f>
        <x:v>600</x:v>
      </x:c>
      <x:c r="F445" s="50" t="n">
        <x:f>MIN(C445-E445,MAX(0,Inputs!$B$20-O445))</x:f>
        <x:v>0</x:v>
      </x:c>
      <x:c r="G445" s="50" t="n">
        <x:f>0</x:f>
        <x:v>0</x:v>
      </x:c>
      <x:c r="H445" s="41" t="n">
        <x:f>0</x:f>
        <x:v>0</x:v>
      </x:c>
      <x:c r="I445" s="50" t="n">
        <x:f>(I444*(1+Inputs!$B$12))+E445</x:f>
        <x:v>296853.28407656576</x:v>
      </x:c>
      <x:c r="J445" s="50" t="n">
        <x:f>(J444*(1+Inputs!$B$12))+F445+P445</x:f>
        <x:v>340985.521450471</x:v>
      </x:c>
      <x:c r="K445" s="50" t="n">
        <x:f>(K444*(1+Inputs!$B$12))*(1-H445)</x:f>
        <x:v>0</x:v>
      </x:c>
      <x:c r="L445" s="50" t="n">
        <x:f>L444*(1+Inputs!$B$13)+Q445</x:f>
        <x:v>29668.806820497543</x:v>
      </x:c>
      <x:c r="M445" s="50" t="n">
        <x:f>I445+J445+L445</x:f>
        <x:v>667507.6123475343</x:v>
      </x:c>
      <x:c r="N445" s="50" t="n">
        <x:f>F445+P445</x:f>
        <x:v>0</x:v>
      </x:c>
      <x:c r="O445" s="50" t="n">
        <x:f>IF(B445=1,0,O444+F444+P444)</x:f>
        <x:v>0</x:v>
      </x:c>
      <x:c r="P445" s="50" t="n">
        <x:f>MIN(G445,MAX(0,Inputs!$B$20-O445-F445))</x:f>
        <x:v>0</x:v>
      </x:c>
      <x:c r="Q445" s="50" t="n">
        <x:f>(C445-E445-F445)+(G445-P445)</x:f>
        <x:v>0</x:v>
      </x:c>
    </x:row>
    <x:row r="446">
      <x:c r="A446" s="41" t="n">
        <x:f>IF(B446=1,A445+1,A445)</x:f>
        <x:v>2044</x:v>
      </x:c>
      <x:c r="B446" s="41" t="n">
        <x:f>IF(B445=26,1,B445+1)</x:f>
        <x:v>3</x:v>
      </x:c>
      <x:c r="C446" s="48" t="n">
        <x:f>Inputs!$F$20</x:f>
        <x:v>600</x:v>
      </x:c>
      <x:c r="D446" s="50" t="n">
        <x:f>IF(B446=1,0,D445+E445)</x:f>
        <x:v>1200</x:v>
      </x:c>
      <x:c r="E446" s="50" t="n">
        <x:f>MIN(C446,MAX(0,Inputs!$B$7-D446))</x:f>
        <x:v>600</x:v>
      </x:c>
      <x:c r="F446" s="50" t="n">
        <x:f>MIN(C446-E446,MAX(0,Inputs!$B$20-O446))</x:f>
        <x:v>0</x:v>
      </x:c>
      <x:c r="G446" s="50" t="n">
        <x:f>0</x:f>
        <x:v>0</x:v>
      </x:c>
      <x:c r="H446" s="41" t="n">
        <x:f>0</x:f>
        <x:v>0</x:v>
      </x:c>
      <x:c r="I446" s="50" t="n">
        <x:f>(I445*(1+Inputs!$B$12))+E446</x:f>
        <x:v>298010.86555564567</x:v>
      </x:c>
      <x:c r="J446" s="50" t="n">
        <x:f>(J445*(1+Inputs!$B$12))+F446+P446</x:f>
        <x:v>341625.996801743</x:v>
      </x:c>
      <x:c r="K446" s="50" t="n">
        <x:f>(K445*(1+Inputs!$B$12))*(1-H446)</x:f>
        <x:v>0</x:v>
      </x:c>
      <x:c r="L446" s="50" t="n">
        <x:f>L445*(1+Inputs!$B$13)+Q446</x:f>
        <x:v>29720.716977660475</x:v>
      </x:c>
      <x:c r="M446" s="50" t="n">
        <x:f>I446+J446+L446</x:f>
        <x:v>669357.5793350491</x:v>
      </x:c>
      <x:c r="N446" s="50" t="n">
        <x:f>F446+P446</x:f>
        <x:v>0</x:v>
      </x:c>
      <x:c r="O446" s="50" t="n">
        <x:f>IF(B446=1,0,O445+F445+P445)</x:f>
        <x:v>0</x:v>
      </x:c>
      <x:c r="P446" s="50" t="n">
        <x:f>MIN(G446,MAX(0,Inputs!$B$20-O446-F446))</x:f>
        <x:v>0</x:v>
      </x:c>
      <x:c r="Q446" s="50" t="n">
        <x:f>(C446-E446-F446)+(G446-P446)</x:f>
        <x:v>0</x:v>
      </x:c>
    </x:row>
    <x:row r="447">
      <x:c r="A447" s="41" t="n">
        <x:f>IF(B447=1,A446+1,A446)</x:f>
        <x:v>2044</x:v>
      </x:c>
      <x:c r="B447" s="41" t="n">
        <x:f>IF(B446=26,1,B446+1)</x:f>
        <x:v>4</x:v>
      </x:c>
      <x:c r="C447" s="48" t="n">
        <x:f>Inputs!$F$20</x:f>
        <x:v>600</x:v>
      </x:c>
      <x:c r="D447" s="50" t="n">
        <x:f>IF(B447=1,0,D446+E446)</x:f>
        <x:v>1800</x:v>
      </x:c>
      <x:c r="E447" s="50" t="n">
        <x:f>MIN(C447,MAX(0,Inputs!$B$7-D447))</x:f>
        <x:v>600</x:v>
      </x:c>
      <x:c r="F447" s="50" t="n">
        <x:f>MIN(C447-E447,MAX(0,Inputs!$B$20-O447))</x:f>
        <x:v>0</x:v>
      </x:c>
      <x:c r="G447" s="50" t="n">
        <x:f>0</x:f>
        <x:v>0</x:v>
      </x:c>
      <x:c r="H447" s="41" t="n">
        <x:f>0</x:f>
        <x:v>0</x:v>
      </x:c>
      <x:c r="I447" s="50" t="n">
        <x:f>(I446*(1+Inputs!$B$12))+E447</x:f>
        <x:v>299170.6213276436</x:v>
      </x:c>
      <x:c r="J447" s="50" t="n">
        <x:f>(J446*(1+Inputs!$B$12))+F447+P447</x:f>
        <x:v>342267.67516208655</x:v>
      </x:c>
      <x:c r="K447" s="50" t="n">
        <x:f>(K446*(1+Inputs!$B$12))*(1-H447)</x:f>
        <x:v>0</x:v>
      </x:c>
      <x:c r="L447" s="50" t="n">
        <x:f>L446*(1+Inputs!$B$13)+Q447</x:f>
        <x:v>29772.717959656133</x:v>
      </x:c>
      <x:c r="M447" s="50" t="n">
        <x:f>I447+J447+L447</x:f>
        <x:v>671211.0144493863</x:v>
      </x:c>
      <x:c r="N447" s="50" t="n">
        <x:f>F447+P447</x:f>
        <x:v>0</x:v>
      </x:c>
      <x:c r="O447" s="50" t="n">
        <x:f>IF(B447=1,0,O446+F446+P446)</x:f>
        <x:v>0</x:v>
      </x:c>
      <x:c r="P447" s="50" t="n">
        <x:f>MIN(G447,MAX(0,Inputs!$B$20-O447-F447))</x:f>
        <x:v>0</x:v>
      </x:c>
      <x:c r="Q447" s="50" t="n">
        <x:f>(C447-E447-F447)+(G447-P447)</x:f>
        <x:v>0</x:v>
      </x:c>
    </x:row>
    <x:row r="448">
      <x:c r="A448" s="41" t="n">
        <x:f>IF(B448=1,A447+1,A447)</x:f>
        <x:v>2044</x:v>
      </x:c>
      <x:c r="B448" s="41" t="n">
        <x:f>IF(B447=26,1,B447+1)</x:f>
        <x:v>5</x:v>
      </x:c>
      <x:c r="C448" s="48" t="n">
        <x:f>Inputs!$F$20</x:f>
        <x:v>600</x:v>
      </x:c>
      <x:c r="D448" s="50" t="n">
        <x:f>IF(B448=1,0,D447+E447)</x:f>
        <x:v>2400</x:v>
      </x:c>
      <x:c r="E448" s="50" t="n">
        <x:f>MIN(C448,MAX(0,Inputs!$B$7-D448))</x:f>
        <x:v>600</x:v>
      </x:c>
      <x:c r="F448" s="50" t="n">
        <x:f>MIN(C448-E448,MAX(0,Inputs!$B$20-O448))</x:f>
        <x:v>0</x:v>
      </x:c>
      <x:c r="G448" s="50" t="n">
        <x:f>0</x:f>
        <x:v>0</x:v>
      </x:c>
      <x:c r="H448" s="41" t="n">
        <x:f>0</x:f>
        <x:v>0</x:v>
      </x:c>
      <x:c r="I448" s="50" t="n">
        <x:f>(I447*(1+Inputs!$B$12))+E448</x:f>
        <x:v>300332.55547654827</x:v>
      </x:c>
      <x:c r="J448" s="50" t="n">
        <x:f>(J447*(1+Inputs!$B$12))+F448+P448</x:f>
        <x:v>342910.5587911216</x:v>
      </x:c>
      <x:c r="K448" s="50" t="n">
        <x:f>(K447*(1+Inputs!$B$12))*(1-H448)</x:f>
        <x:v>0</x:v>
      </x:c>
      <x:c r="L448" s="50" t="n">
        <x:f>L447*(1+Inputs!$B$13)+Q448</x:f>
        <x:v>29824.80992539658</x:v>
      </x:c>
      <x:c r="M448" s="50" t="n">
        <x:f>I448+J448+L448</x:f>
        <x:v>673067.9241930664</x:v>
      </x:c>
      <x:c r="N448" s="50" t="n">
        <x:f>F448+P448</x:f>
        <x:v>0</x:v>
      </x:c>
      <x:c r="O448" s="50" t="n">
        <x:f>IF(B448=1,0,O447+F447+P447)</x:f>
        <x:v>0</x:v>
      </x:c>
      <x:c r="P448" s="50" t="n">
        <x:f>MIN(G448,MAX(0,Inputs!$B$20-O448-F448))</x:f>
        <x:v>0</x:v>
      </x:c>
      <x:c r="Q448" s="50" t="n">
        <x:f>(C448-E448-F448)+(G448-P448)</x:f>
        <x:v>0</x:v>
      </x:c>
    </x:row>
    <x:row r="449">
      <x:c r="A449" s="41" t="n">
        <x:f>IF(B449=1,A448+1,A448)</x:f>
        <x:v>2044</x:v>
      </x:c>
      <x:c r="B449" s="41" t="n">
        <x:f>IF(B448=26,1,B448+1)</x:f>
        <x:v>6</x:v>
      </x:c>
      <x:c r="C449" s="48" t="n">
        <x:f>Inputs!$F$20</x:f>
        <x:v>600</x:v>
      </x:c>
      <x:c r="D449" s="50" t="n">
        <x:f>IF(B449=1,0,D448+E448)</x:f>
        <x:v>3000</x:v>
      </x:c>
      <x:c r="E449" s="50" t="n">
        <x:f>MIN(C449,MAX(0,Inputs!$B$7-D449))</x:f>
        <x:v>600</x:v>
      </x:c>
      <x:c r="F449" s="50" t="n">
        <x:f>MIN(C449-E449,MAX(0,Inputs!$B$20-O449))</x:f>
        <x:v>0</x:v>
      </x:c>
      <x:c r="G449" s="50" t="n">
        <x:f>0</x:f>
        <x:v>0</x:v>
      </x:c>
      <x:c r="H449" s="41" t="n">
        <x:f>0</x:f>
        <x:v>0</x:v>
      </x:c>
      <x:c r="I449" s="50" t="n">
        <x:f>(I448*(1+Inputs!$B$12))+E449</x:f>
        <x:v>301496.67209401936</x:v>
      </x:c>
      <x:c r="J449" s="50" t="n">
        <x:f>(J448*(1+Inputs!$B$12))+F449+P449</x:f>
        <x:v>343554.64995271224</x:v>
      </x:c>
      <x:c r="K449" s="50" t="n">
        <x:f>(K448*(1+Inputs!$B$12))*(1-H449)</x:f>
        <x:v>0</x:v>
      </x:c>
      <x:c r="L449" s="50" t="n">
        <x:f>L448*(1+Inputs!$B$13)+Q449</x:f>
        <x:v>29876.993034071926</x:v>
      </x:c>
      <x:c r="M449" s="50" t="n">
        <x:f>I449+J449+L449</x:f>
        <x:v>674928.3150808035</x:v>
      </x:c>
      <x:c r="N449" s="50" t="n">
        <x:f>F449+P449</x:f>
        <x:v>0</x:v>
      </x:c>
      <x:c r="O449" s="50" t="n">
        <x:f>IF(B449=1,0,O448+F448+P448)</x:f>
        <x:v>0</x:v>
      </x:c>
      <x:c r="P449" s="50" t="n">
        <x:f>MIN(G449,MAX(0,Inputs!$B$20-O449-F449))</x:f>
        <x:v>0</x:v>
      </x:c>
      <x:c r="Q449" s="50" t="n">
        <x:f>(C449-E449-F449)+(G449-P449)</x:f>
        <x:v>0</x:v>
      </x:c>
    </x:row>
    <x:row r="450">
      <x:c r="A450" s="41" t="n">
        <x:f>IF(B450=1,A449+1,A449)</x:f>
        <x:v>2044</x:v>
      </x:c>
      <x:c r="B450" s="41" t="n">
        <x:f>IF(B449=26,1,B449+1)</x:f>
        <x:v>7</x:v>
      </x:c>
      <x:c r="C450" s="48" t="n">
        <x:f>Inputs!$F$20</x:f>
        <x:v>600</x:v>
      </x:c>
      <x:c r="D450" s="50" t="n">
        <x:f>IF(B450=1,0,D449+E449)</x:f>
        <x:v>3600</x:v>
      </x:c>
      <x:c r="E450" s="50" t="n">
        <x:f>MIN(C450,MAX(0,Inputs!$B$7-D450))</x:f>
        <x:v>600</x:v>
      </x:c>
      <x:c r="F450" s="50" t="n">
        <x:f>MIN(C450-E450,MAX(0,Inputs!$B$20-O450))</x:f>
        <x:v>0</x:v>
      </x:c>
      <x:c r="G450" s="50" t="n">
        <x:f>0</x:f>
        <x:v>0</x:v>
      </x:c>
      <x:c r="H450" s="41" t="n">
        <x:f>0</x:f>
        <x:v>0</x:v>
      </x:c>
      <x:c r="I450" s="50" t="n">
        <x:f>(I449*(1+Inputs!$B$12))+E450</x:f>
        <x:v>302662.975279402</x:v>
      </x:c>
      <x:c r="J450" s="50" t="n">
        <x:f>(J449*(1+Inputs!$B$12))+F450+P450</x:f>
        <x:v>344199.9509149748</x:v>
      </x:c>
      <x:c r="K450" s="50" t="n">
        <x:f>(K449*(1+Inputs!$B$12))*(1-H450)</x:f>
        <x:v>0</x:v>
      </x:c>
      <x:c r="L450" s="50" t="n">
        <x:f>L449*(1+Inputs!$B$13)+Q450</x:f>
        <x:v>29929.267445150803</x:v>
      </x:c>
      <x:c r="M450" s="50" t="n">
        <x:f>I450+J450+L450</x:f>
        <x:v>676792.1936395275</x:v>
      </x:c>
      <x:c r="N450" s="50" t="n">
        <x:f>F450+P450</x:f>
        <x:v>0</x:v>
      </x:c>
      <x:c r="O450" s="50" t="n">
        <x:f>IF(B450=1,0,O449+F449+P449)</x:f>
        <x:v>0</x:v>
      </x:c>
      <x:c r="P450" s="50" t="n">
        <x:f>MIN(G450,MAX(0,Inputs!$B$20-O450-F450))</x:f>
        <x:v>0</x:v>
      </x:c>
      <x:c r="Q450" s="50" t="n">
        <x:f>(C450-E450-F450)+(G450-P450)</x:f>
        <x:v>0</x:v>
      </x:c>
    </x:row>
    <x:row r="451">
      <x:c r="A451" s="41" t="n">
        <x:f>IF(B451=1,A450+1,A450)</x:f>
        <x:v>2044</x:v>
      </x:c>
      <x:c r="B451" s="41" t="n">
        <x:f>IF(B450=26,1,B450+1)</x:f>
        <x:v>8</x:v>
      </x:c>
      <x:c r="C451" s="48" t="n">
        <x:f>Inputs!$F$20</x:f>
        <x:v>600</x:v>
      </x:c>
      <x:c r="D451" s="50" t="n">
        <x:f>IF(B451=1,0,D450+E450)</x:f>
        <x:v>4200</x:v>
      </x:c>
      <x:c r="E451" s="50" t="n">
        <x:f>MIN(C451,MAX(0,Inputs!$B$7-D451))</x:f>
        <x:v>600</x:v>
      </x:c>
      <x:c r="F451" s="50" t="n">
        <x:f>MIN(C451-E451,MAX(0,Inputs!$B$20-O451))</x:f>
        <x:v>0</x:v>
      </x:c>
      <x:c r="G451" s="50" t="n">
        <x:f>0</x:f>
        <x:v>0</x:v>
      </x:c>
      <x:c r="H451" s="41" t="n">
        <x:f>0</x:f>
        <x:v>0</x:v>
      </x:c>
      <x:c r="I451" s="50" t="n">
        <x:f>(I450*(1+Inputs!$B$12))+E451</x:f>
        <x:v>303831.46913974104</x:v>
      </x:c>
      <x:c r="J451" s="50" t="n">
        <x:f>(J450*(1+Inputs!$B$12))+F451+P451</x:f>
        <x:v>344846.46395028586</x:v>
      </x:c>
      <x:c r="K451" s="50" t="n">
        <x:f>(K450*(1+Inputs!$B$12))*(1-H451)</x:f>
        <x:v>0</x:v>
      </x:c>
      <x:c r="L451" s="50" t="n">
        <x:f>L450*(1+Inputs!$B$13)+Q451</x:f>
        <x:v>29981.633318380857</x:v>
      </x:c>
      <x:c r="M451" s="50" t="n">
        <x:f>I451+J451+L451</x:f>
        <x:v>678659.5664084078</x:v>
      </x:c>
      <x:c r="N451" s="50" t="n">
        <x:f>F451+P451</x:f>
        <x:v>0</x:v>
      </x:c>
      <x:c r="O451" s="50" t="n">
        <x:f>IF(B451=1,0,O450+F450+P450)</x:f>
        <x:v>0</x:v>
      </x:c>
      <x:c r="P451" s="50" t="n">
        <x:f>MIN(G451,MAX(0,Inputs!$B$20-O451-F451))</x:f>
        <x:v>0</x:v>
      </x:c>
      <x:c r="Q451" s="50" t="n">
        <x:f>(C451-E451-F451)+(G451-P451)</x:f>
        <x:v>0</x:v>
      </x:c>
    </x:row>
    <x:row r="452">
      <x:c r="A452" s="41" t="n">
        <x:f>IF(B452=1,A451+1,A451)</x:f>
        <x:v>2044</x:v>
      </x:c>
      <x:c r="B452" s="41" t="n">
        <x:f>IF(B451=26,1,B451+1)</x:f>
        <x:v>9</x:v>
      </x:c>
      <x:c r="C452" s="48" t="n">
        <x:f>Inputs!$F$20</x:f>
        <x:v>600</x:v>
      </x:c>
      <x:c r="D452" s="50" t="n">
        <x:f>IF(B452=1,0,D451+E451)</x:f>
        <x:v>4800</x:v>
      </x:c>
      <x:c r="E452" s="50" t="n">
        <x:f>MIN(C452,MAX(0,Inputs!$B$7-D452))</x:f>
        <x:v>600</x:v>
      </x:c>
      <x:c r="F452" s="50" t="n">
        <x:f>MIN(C452-E452,MAX(0,Inputs!$B$20-O452))</x:f>
        <x:v>0</x:v>
      </x:c>
      <x:c r="G452" s="50" t="n">
        <x:f>SUM(N418:N443)*Inputs!$B$6</x:f>
        <x:v>3257.142873541608</x:v>
      </x:c>
      <x:c r="H452" s="41" t="n">
        <x:f>0</x:f>
        <x:v>0</x:v>
      </x:c>
      <x:c r="I452" s="50" t="n">
        <x:f>(I451*(1+Inputs!$B$12))+E452</x:f>
        <x:v>305002.1577897957</x:v>
      </x:c>
      <x:c r="J452" s="50" t="n">
        <x:f>(J451*(1+Inputs!$B$12))+F452+P452</x:f>
        <x:v>348751.33420883183</x:v>
      </x:c>
      <x:c r="K452" s="50" t="n">
        <x:f>(K451*(1+Inputs!$B$12))*(1-H452)</x:f>
        <x:v>0</x:v>
      </x:c>
      <x:c r="L452" s="50" t="n">
        <x:f>L451*(1+Inputs!$B$13)+Q452</x:f>
        <x:v>30034.09081378924</x:v>
      </x:c>
      <x:c r="M452" s="50" t="n">
        <x:f>I452+J452+L452</x:f>
        <x:v>683787.5828124168</x:v>
      </x:c>
      <x:c r="N452" s="50" t="n">
        <x:f>F452+P452</x:f>
        <x:v>3257.142873541608</x:v>
      </x:c>
      <x:c r="O452" s="50" t="n">
        <x:f>IF(B452=1,0,O451+F451+P451)</x:f>
        <x:v>0</x:v>
      </x:c>
      <x:c r="P452" s="50" t="n">
        <x:f>MIN(G452,MAX(0,Inputs!$B$20-O452-F452))</x:f>
        <x:v>3257.142873541608</x:v>
      </x:c>
      <x:c r="Q452" s="50" t="n">
        <x:f>(C452-E452-F452)+(G452-P452)</x:f>
        <x:v>0</x:v>
      </x:c>
    </x:row>
    <x:row r="453">
      <x:c r="A453" s="41" t="n">
        <x:f>IF(B453=1,A452+1,A452)</x:f>
        <x:v>2044</x:v>
      </x:c>
      <x:c r="B453" s="41" t="n">
        <x:f>IF(B452=26,1,B452+1)</x:f>
        <x:v>10</x:v>
      </x:c>
      <x:c r="C453" s="48" t="n">
        <x:f>Inputs!$F$20</x:f>
        <x:v>600</x:v>
      </x:c>
      <x:c r="D453" s="50" t="n">
        <x:f>IF(B453=1,0,D452+E452)</x:f>
        <x:v>5400</x:v>
      </x:c>
      <x:c r="E453" s="50" t="n">
        <x:f>MIN(C453,MAX(0,Inputs!$B$7-D453))</x:f>
        <x:v>600</x:v>
      </x:c>
      <x:c r="F453" s="50" t="n">
        <x:f>MIN(C453-E453,MAX(0,Inputs!$B$20-O453))</x:f>
        <x:v>0</x:v>
      </x:c>
      <x:c r="G453" s="50" t="n">
        <x:f>0</x:f>
        <x:v>0</x:v>
      </x:c>
      <x:c r="H453" s="41" t="n">
        <x:f>0</x:f>
        <x:v>0</x:v>
      </x:c>
      <x:c r="I453" s="50" t="n">
        <x:f>(I452*(1+Inputs!$B$12))+E453</x:f>
        <x:v>306175.045352054</x:v>
      </x:c>
      <x:c r="J453" s="50" t="n">
        <x:f>(J452*(1+Inputs!$B$12))+F453+P453</x:f>
        <x:v>349406.3961373672</x:v>
      </x:c>
      <x:c r="K453" s="50" t="n">
        <x:f>(K452*(1+Inputs!$B$12))*(1-H453)</x:f>
        <x:v>0</x:v>
      </x:c>
      <x:c r="L453" s="50" t="n">
        <x:f>L452*(1+Inputs!$B$13)+Q453</x:f>
        <x:v>30086.640091683097</x:v>
      </x:c>
      <x:c r="M453" s="50" t="n">
        <x:f>I453+J453+L453</x:f>
        <x:v>685668.0815811043</x:v>
      </x:c>
      <x:c r="N453" s="50" t="n">
        <x:f>F453+P453</x:f>
        <x:v>0</x:v>
      </x:c>
      <x:c r="O453" s="50" t="n">
        <x:f>IF(B453=1,0,O452+F452+P452)</x:f>
        <x:v>3257.142873541608</x:v>
      </x:c>
      <x:c r="P453" s="50" t="n">
        <x:f>MIN(G453,MAX(0,Inputs!$B$20-O453-F453))</x:f>
        <x:v>0</x:v>
      </x:c>
      <x:c r="Q453" s="50" t="n">
        <x:f>(C453-E453-F453)+(G453-P453)</x:f>
        <x:v>0</x:v>
      </x:c>
    </x:row>
    <x:row r="454">
      <x:c r="A454" s="41" t="n">
        <x:f>IF(B454=1,A453+1,A453)</x:f>
        <x:v>2044</x:v>
      </x:c>
      <x:c r="B454" s="41" t="n">
        <x:f>IF(B453=26,1,B453+1)</x:f>
        <x:v>11</x:v>
      </x:c>
      <x:c r="C454" s="48" t="n">
        <x:f>Inputs!$F$20</x:f>
        <x:v>600</x:v>
      </x:c>
      <x:c r="D454" s="50" t="n">
        <x:f>IF(B454=1,0,D453+E453)</x:f>
        <x:v>6000</x:v>
      </x:c>
      <x:c r="E454" s="50" t="n">
        <x:f>MIN(C454,MAX(0,Inputs!$B$7-D454))</x:f>
        <x:v>600</x:v>
      </x:c>
      <x:c r="F454" s="50" t="n">
        <x:f>MIN(C454-E454,MAX(0,Inputs!$B$20-O454))</x:f>
        <x:v>0</x:v>
      </x:c>
      <x:c r="G454" s="50" t="n">
        <x:f>0</x:f>
        <x:v>0</x:v>
      </x:c>
      <x:c r="H454" s="41" t="n">
        <x:f>0</x:f>
        <x:v>0</x:v>
      </x:c>
      <x:c r="I454" s="50" t="n">
        <x:f>(I453*(1+Inputs!$B$12))+E454</x:f>
        <x:v>307350.1359567472</x:v>
      </x:c>
      <x:c r="J454" s="50" t="n">
        <x:f>(J453*(1+Inputs!$B$12))+F454+P454</x:f>
        <x:v>350062.6884730383</x:v>
      </x:c>
      <x:c r="K454" s="50" t="n">
        <x:f>(K453*(1+Inputs!$B$12))*(1-H454)</x:f>
        <x:v>0</x:v>
      </x:c>
      <x:c r="L454" s="50" t="n">
        <x:f>L453*(1+Inputs!$B$13)+Q454</x:f>
        <x:v>30139.281312650055</x:v>
      </x:c>
      <x:c r="M454" s="50" t="n">
        <x:f>I454+J454+L454</x:f>
        <x:v>687552.1057424357</x:v>
      </x:c>
      <x:c r="N454" s="50" t="n">
        <x:f>F454+P454</x:f>
        <x:v>0</x:v>
      </x:c>
      <x:c r="O454" s="50" t="n">
        <x:f>IF(B454=1,0,O453+F453+P453)</x:f>
        <x:v>3257.142873541608</x:v>
      </x:c>
      <x:c r="P454" s="50" t="n">
        <x:f>MIN(G454,MAX(0,Inputs!$B$20-O454-F454))</x:f>
        <x:v>0</x:v>
      </x:c>
      <x:c r="Q454" s="50" t="n">
        <x:f>(C454-E454-F454)+(G454-P454)</x:f>
        <x:v>0</x:v>
      </x:c>
    </x:row>
    <x:row r="455">
      <x:c r="A455" s="41" t="n">
        <x:f>IF(B455=1,A454+1,A454)</x:f>
        <x:v>2044</x:v>
      </x:c>
      <x:c r="B455" s="41" t="n">
        <x:f>IF(B454=26,1,B454+1)</x:f>
        <x:v>12</x:v>
      </x:c>
      <x:c r="C455" s="48" t="n">
        <x:f>Inputs!$F$20</x:f>
        <x:v>600</x:v>
      </x:c>
      <x:c r="D455" s="50" t="n">
        <x:f>IF(B455=1,0,D454+E454)</x:f>
        <x:v>6600</x:v>
      </x:c>
      <x:c r="E455" s="50" t="n">
        <x:f>MIN(C455,MAX(0,Inputs!$B$7-D455))</x:f>
        <x:v>600</x:v>
      </x:c>
      <x:c r="F455" s="50" t="n">
        <x:f>MIN(C455-E455,MAX(0,Inputs!$B$20-O455))</x:f>
        <x:v>0</x:v>
      </x:c>
      <x:c r="G455" s="50" t="n">
        <x:f>0</x:f>
        <x:v>0</x:v>
      </x:c>
      <x:c r="H455" s="41" t="n">
        <x:f>0</x:f>
        <x:v>0</x:v>
      </x:c>
      <x:c r="I455" s="50" t="n">
        <x:f>(I454*(1+Inputs!$B$12))+E455</x:f>
        <x:v>308527.43374186446</x:v>
      </x:c>
      <x:c r="J455" s="50" t="n">
        <x:f>(J454*(1+Inputs!$B$12))+F455+P455</x:f>
        <x:v>350720.213526927</x:v>
      </x:c>
      <x:c r="K455" s="50" t="n">
        <x:f>(K454*(1+Inputs!$B$12))*(1-H455)</x:f>
        <x:v>0</x:v>
      </x:c>
      <x:c r="L455" s="50" t="n">
        <x:f>L454*(1+Inputs!$B$13)+Q455</x:f>
        <x:v>30192.01463755871</x:v>
      </x:c>
      <x:c r="M455" s="50" t="n">
        <x:f>I455+J455+L455</x:f>
        <x:v>689439.6619063502</x:v>
      </x:c>
      <x:c r="N455" s="50" t="n">
        <x:f>F455+P455</x:f>
        <x:v>0</x:v>
      </x:c>
      <x:c r="O455" s="50" t="n">
        <x:f>IF(B455=1,0,O454+F454+P454)</x:f>
        <x:v>3257.142873541608</x:v>
      </x:c>
      <x:c r="P455" s="50" t="n">
        <x:f>MIN(G455,MAX(0,Inputs!$B$20-O455-F455))</x:f>
        <x:v>0</x:v>
      </x:c>
      <x:c r="Q455" s="50" t="n">
        <x:f>(C455-E455-F455)+(G455-P455)</x:f>
        <x:v>0</x:v>
      </x:c>
    </x:row>
    <x:row r="456">
      <x:c r="A456" s="41" t="n">
        <x:f>IF(B456=1,A455+1,A455)</x:f>
        <x:v>2044</x:v>
      </x:c>
      <x:c r="B456" s="41" t="n">
        <x:f>IF(B455=26,1,B455+1)</x:f>
        <x:v>13</x:v>
      </x:c>
      <x:c r="C456" s="48" t="n">
        <x:f>Inputs!$F$20</x:f>
        <x:v>600</x:v>
      </x:c>
      <x:c r="D456" s="50" t="n">
        <x:f>IF(B456=1,0,D455+E455)</x:f>
        <x:v>7200</x:v>
      </x:c>
      <x:c r="E456" s="50" t="n">
        <x:f>MIN(C456,MAX(0,Inputs!$B$7-D456))</x:f>
        <x:v>600</x:v>
      </x:c>
      <x:c r="F456" s="50" t="n">
        <x:f>MIN(C456-E456,MAX(0,Inputs!$B$20-O456))</x:f>
        <x:v>0</x:v>
      </x:c>
      <x:c r="G456" s="50" t="n">
        <x:f>0</x:f>
        <x:v>0</x:v>
      </x:c>
      <x:c r="H456" s="41" t="n">
        <x:f>0</x:f>
        <x:v>0</x:v>
      </x:c>
      <x:c r="I456" s="50" t="n">
        <x:f>(I455*(1+Inputs!$B$12))+E456</x:f>
        <x:v>309706.9428531672</x:v>
      </x:c>
      <x:c r="J456" s="50" t="n">
        <x:f>(J455*(1+Inputs!$B$12))+F456+P456</x:f>
        <x:v>351378.973614456</x:v>
      </x:c>
      <x:c r="K456" s="50" t="n">
        <x:f>(K455*(1+Inputs!$B$12))*(1-H456)</x:f>
        <x:v>0</x:v>
      </x:c>
      <x:c r="L456" s="50" t="n">
        <x:f>L455*(1+Inputs!$B$13)+Q456</x:f>
        <x:v>30244.84022755913</x:v>
      </x:c>
      <x:c r="M456" s="50" t="n">
        <x:f>I456+J456+L456</x:f>
        <x:v>691330.7566951823</x:v>
      </x:c>
      <x:c r="N456" s="50" t="n">
        <x:f>F456+P456</x:f>
        <x:v>0</x:v>
      </x:c>
      <x:c r="O456" s="50" t="n">
        <x:f>IF(B456=1,0,O455+F455+P455)</x:f>
        <x:v>3257.142873541608</x:v>
      </x:c>
      <x:c r="P456" s="50" t="n">
        <x:f>MIN(G456,MAX(0,Inputs!$B$20-O456-F456))</x:f>
        <x:v>0</x:v>
      </x:c>
      <x:c r="Q456" s="50" t="n">
        <x:f>(C456-E456-F456)+(G456-P456)</x:f>
        <x:v>0</x:v>
      </x:c>
    </x:row>
    <x:row r="457">
      <x:c r="A457" s="41" t="n">
        <x:f>IF(B457=1,A456+1,A456)</x:f>
        <x:v>2044</x:v>
      </x:c>
      <x:c r="B457" s="41" t="n">
        <x:f>IF(B456=26,1,B456+1)</x:f>
        <x:v>14</x:v>
      </x:c>
      <x:c r="C457" s="48" t="n">
        <x:f>Inputs!$F$20</x:f>
        <x:v>600</x:v>
      </x:c>
      <x:c r="D457" s="50" t="n">
        <x:f>IF(B457=1,0,D456+E456)</x:f>
        <x:v>7800</x:v>
      </x:c>
      <x:c r="E457" s="50" t="n">
        <x:f>MIN(C457,MAX(0,Inputs!$B$7-D457))</x:f>
        <x:v>200</x:v>
      </x:c>
      <x:c r="F457" s="50" t="n">
        <x:f>MIN(C457-E457,MAX(0,Inputs!$B$20-O457))</x:f>
        <x:v>400</x:v>
      </x:c>
      <x:c r="G457" s="50" t="n">
        <x:f>0</x:f>
        <x:v>0</x:v>
      </x:c>
      <x:c r="H457" s="41" t="n">
        <x:f>0</x:f>
        <x:v>0</x:v>
      </x:c>
      <x:c r="I457" s="50" t="n">
        <x:f>(I456*(1+Inputs!$B$12))+E457</x:f>
        <x:v>310488.66744420404</x:v>
      </x:c>
      <x:c r="J457" s="50" t="n">
        <x:f>(J456*(1+Inputs!$B$12))+F457+P457</x:f>
        <x:v>352438.97105539724</x:v>
      </x:c>
      <x:c r="K457" s="50" t="n">
        <x:f>(K456*(1+Inputs!$B$12))*(1-H457)</x:f>
        <x:v>0</x:v>
      </x:c>
      <x:c r="L457" s="50" t="n">
        <x:f>L456*(1+Inputs!$B$13)+Q457</x:f>
        <x:v>30297.75824408333</x:v>
      </x:c>
      <x:c r="M457" s="50" t="n">
        <x:f>I457+J457+L457</x:f>
        <x:v>693225.3967436847</x:v>
      </x:c>
      <x:c r="N457" s="50" t="n">
        <x:f>F457+P457</x:f>
        <x:v>400</x:v>
      </x:c>
      <x:c r="O457" s="50" t="n">
        <x:f>IF(B457=1,0,O456+F456+P456)</x:f>
        <x:v>3257.142873541608</x:v>
      </x:c>
      <x:c r="P457" s="50" t="n">
        <x:f>MIN(G457,MAX(0,Inputs!$B$20-O457-F457))</x:f>
        <x:v>0</x:v>
      </x:c>
      <x:c r="Q457" s="50" t="n">
        <x:f>(C457-E457-F457)+(G457-P457)</x:f>
        <x:v>0</x:v>
      </x:c>
    </x:row>
    <x:row r="458">
      <x:c r="A458" s="41" t="n">
        <x:f>IF(B458=1,A457+1,A457)</x:f>
        <x:v>2044</x:v>
      </x:c>
      <x:c r="B458" s="41" t="n">
        <x:f>IF(B457=26,1,B457+1)</x:f>
        <x:v>15</x:v>
      </x:c>
      <x:c r="C458" s="48" t="n">
        <x:f>Inputs!$F$20</x:f>
        <x:v>600</x:v>
      </x:c>
      <x:c r="D458" s="50" t="n">
        <x:f>IF(B458=1,0,D457+E457)</x:f>
        <x:v>8000</x:v>
      </x:c>
      <x:c r="E458" s="50" t="n">
        <x:f>MIN(C458,MAX(0,Inputs!$B$7-D458))</x:f>
        <x:v>0</x:v>
      </x:c>
      <x:c r="F458" s="50" t="n">
        <x:f>MIN(C458-E458,MAX(0,Inputs!$B$20-O458))</x:f>
        <x:v>600</x:v>
      </x:c>
      <x:c r="G458" s="50" t="n">
        <x:f>0</x:f>
        <x:v>0</x:v>
      </x:c>
      <x:c r="H458" s="41" t="n">
        <x:f>0</x:f>
        <x:v>0</x:v>
      </x:c>
      <x:c r="I458" s="50" t="n">
        <x:f>(I457*(1+Inputs!$B$12))+E458</x:f>
        <x:v>311071.86035369005</x:v>
      </x:c>
      <x:c r="J458" s="50" t="n">
        <x:f>(J457*(1+Inputs!$B$12))+F458+P458</x:f>
        <x:v>353700.95949651476</x:v>
      </x:c>
      <x:c r="K458" s="50" t="n">
        <x:f>(K457*(1+Inputs!$B$12))*(1-H458)</x:f>
        <x:v>0</x:v>
      </x:c>
      <x:c r="L458" s="50" t="n">
        <x:f>L457*(1+Inputs!$B$13)+Q458</x:f>
        <x:v>30350.76884884578</x:v>
      </x:c>
      <x:c r="M458" s="50" t="n">
        <x:f>I458+J458+L458</x:f>
        <x:v>695123.5886990505</x:v>
      </x:c>
      <x:c r="N458" s="50" t="n">
        <x:f>F458+P458</x:f>
        <x:v>600</x:v>
      </x:c>
      <x:c r="O458" s="50" t="n">
        <x:f>IF(B458=1,0,O457+F457+P457)</x:f>
        <x:v>3657.142873541608</x:v>
      </x:c>
      <x:c r="P458" s="50" t="n">
        <x:f>MIN(G458,MAX(0,Inputs!$B$20-O458-F458))</x:f>
        <x:v>0</x:v>
      </x:c>
      <x:c r="Q458" s="50" t="n">
        <x:f>(C458-E458-F458)+(G458-P458)</x:f>
        <x:v>0</x:v>
      </x:c>
    </x:row>
    <x:row r="459">
      <x:c r="A459" s="41" t="n">
        <x:f>IF(B459=1,A458+1,A458)</x:f>
        <x:v>2044</x:v>
      </x:c>
      <x:c r="B459" s="41" t="n">
        <x:f>IF(B458=26,1,B458+1)</x:f>
        <x:v>16</x:v>
      </x:c>
      <x:c r="C459" s="48" t="n">
        <x:f>Inputs!$F$20</x:f>
        <x:v>600</x:v>
      </x:c>
      <x:c r="D459" s="50" t="n">
        <x:f>IF(B459=1,0,D458+E458)</x:f>
        <x:v>8000</x:v>
      </x:c>
      <x:c r="E459" s="50" t="n">
        <x:f>MIN(C459,MAX(0,Inputs!$B$7-D459))</x:f>
        <x:v>0</x:v>
      </x:c>
      <x:c r="F459" s="50" t="n">
        <x:f>MIN(C459-E459,MAX(0,Inputs!$B$20-O459))</x:f>
        <x:v>600</x:v>
      </x:c>
      <x:c r="G459" s="50" t="n">
        <x:f>0</x:f>
        <x:v>0</x:v>
      </x:c>
      <x:c r="H459" s="41" t="n">
        <x:f>0</x:f>
        <x:v>0</x:v>
      </x:c>
      <x:c r="I459" s="50" t="n">
        <x:f>(I458*(1+Inputs!$B$12))+E459</x:f>
        <x:v>311656.14867825987</x:v>
      </x:c>
      <x:c r="J459" s="50" t="n">
        <x:f>(J458*(1+Inputs!$B$12))+F459+P459</x:f>
        <x:v>354965.3183388349</x:v>
      </x:c>
      <x:c r="K459" s="50" t="n">
        <x:f>(K458*(1+Inputs!$B$12))*(1-H459)</x:f>
        <x:v>0</x:v>
      </x:c>
      <x:c r="L459" s="50" t="n">
        <x:f>L458*(1+Inputs!$B$13)+Q459</x:f>
        <x:v>30403.872203843894</x:v>
      </x:c>
      <x:c r="M459" s="50" t="n">
        <x:f>I459+J459+L459</x:f>
        <x:v>697025.3392209387</x:v>
      </x:c>
      <x:c r="N459" s="50" t="n">
        <x:f>F459+P459</x:f>
        <x:v>600</x:v>
      </x:c>
      <x:c r="O459" s="50" t="n">
        <x:f>IF(B459=1,0,O458+F458+P458)</x:f>
        <x:v>4257.142873541608</x:v>
      </x:c>
      <x:c r="P459" s="50" t="n">
        <x:f>MIN(G459,MAX(0,Inputs!$B$20-O459-F459))</x:f>
        <x:v>0</x:v>
      </x:c>
      <x:c r="Q459" s="50" t="n">
        <x:f>(C459-E459-F459)+(G459-P459)</x:f>
        <x:v>0</x:v>
      </x:c>
    </x:row>
    <x:row r="460">
      <x:c r="A460" s="41" t="n">
        <x:f>IF(B460=1,A459+1,A459)</x:f>
        <x:v>2044</x:v>
      </x:c>
      <x:c r="B460" s="41" t="n">
        <x:f>IF(B459=26,1,B459+1)</x:f>
        <x:v>17</x:v>
      </x:c>
      <x:c r="C460" s="48" t="n">
        <x:f>Inputs!$F$20</x:f>
        <x:v>600</x:v>
      </x:c>
      <x:c r="D460" s="50" t="n">
        <x:f>IF(B460=1,0,D459+E459)</x:f>
        <x:v>8000</x:v>
      </x:c>
      <x:c r="E460" s="50" t="n">
        <x:f>MIN(C460,MAX(0,Inputs!$B$7-D460))</x:f>
        <x:v>0</x:v>
      </x:c>
      <x:c r="F460" s="50" t="n">
        <x:f>MIN(C460-E460,MAX(0,Inputs!$B$20-O460))</x:f>
        <x:v>600</x:v>
      </x:c>
      <x:c r="G460" s="50" t="n">
        <x:f>0</x:f>
        <x:v>0</x:v>
      </x:c>
      <x:c r="H460" s="41" t="n">
        <x:f>0</x:f>
        <x:v>0</x:v>
      </x:c>
      <x:c r="I460" s="50" t="n">
        <x:f>(I459*(1+Inputs!$B$12))+E460</x:f>
        <x:v>312241.5344754389</x:v>
      </x:c>
      <x:c r="J460" s="50" t="n">
        <x:f>(J459*(1+Inputs!$B$12))+F460+P460</x:f>
        <x:v>356232.0520346979</x:v>
      </x:c>
      <x:c r="K460" s="50" t="n">
        <x:f>(K459*(1+Inputs!$B$12))*(1-H460)</x:f>
        <x:v>0</x:v>
      </x:c>
      <x:c r="L460" s="50" t="n">
        <x:f>L459*(1+Inputs!$B$13)+Q460</x:f>
        <x:v>30457.06847135853</x:v>
      </x:c>
      <x:c r="M460" s="50" t="n">
        <x:f>I460+J460+L460</x:f>
        <x:v>698930.6549814952</x:v>
      </x:c>
      <x:c r="N460" s="50" t="n">
        <x:f>F460+P460</x:f>
        <x:v>600</x:v>
      </x:c>
      <x:c r="O460" s="50" t="n">
        <x:f>IF(B460=1,0,O459+F459+P459)</x:f>
        <x:v>4857.142873541608</x:v>
      </x:c>
      <x:c r="P460" s="50" t="n">
        <x:f>MIN(G460,MAX(0,Inputs!$B$20-O460-F460))</x:f>
        <x:v>0</x:v>
      </x:c>
      <x:c r="Q460" s="50" t="n">
        <x:f>(C460-E460-F460)+(G460-P460)</x:f>
        <x:v>0</x:v>
      </x:c>
    </x:row>
    <x:row r="461">
      <x:c r="A461" s="41" t="n">
        <x:f>IF(B461=1,A460+1,A460)</x:f>
        <x:v>2044</x:v>
      </x:c>
      <x:c r="B461" s="41" t="n">
        <x:f>IF(B460=26,1,B460+1)</x:f>
        <x:v>18</x:v>
      </x:c>
      <x:c r="C461" s="48" t="n">
        <x:f>Inputs!$F$20</x:f>
        <x:v>600</x:v>
      </x:c>
      <x:c r="D461" s="50" t="n">
        <x:f>IF(B461=1,0,D460+E460)</x:f>
        <x:v>8000</x:v>
      </x:c>
      <x:c r="E461" s="50" t="n">
        <x:f>MIN(C461,MAX(0,Inputs!$B$7-D461))</x:f>
        <x:v>0</x:v>
      </x:c>
      <x:c r="F461" s="50" t="n">
        <x:f>MIN(C461-E461,MAX(0,Inputs!$B$20-O461))</x:f>
        <x:v>600</x:v>
      </x:c>
      <x:c r="G461" s="50" t="n">
        <x:f>0</x:f>
        <x:v>0</x:v>
      </x:c>
      <x:c r="H461" s="41" t="n">
        <x:f>0</x:f>
        <x:v>0</x:v>
      </x:c>
      <x:c r="I461" s="50" t="n">
        <x:f>(I460*(1+Inputs!$B$12))+E461</x:f>
        <x:v>312828.0198066171</x:v>
      </x:c>
      <x:c r="J461" s="50" t="n">
        <x:f>(J460*(1+Inputs!$B$12))+F461+P461</x:f>
        <x:v>357501.1650448068</x:v>
      </x:c>
      <x:c r="K461" s="50" t="n">
        <x:f>(K460*(1+Inputs!$B$12))*(1-H461)</x:f>
        <x:v>0</x:v>
      </x:c>
      <x:c r="L461" s="50" t="n">
        <x:f>L460*(1+Inputs!$B$13)+Q461</x:f>
        <x:v>30510.357813954473</x:v>
      </x:c>
      <x:c r="M461" s="50" t="n">
        <x:f>I461+J461+L461</x:f>
        <x:v>700839.5426653783</x:v>
      </x:c>
      <x:c r="N461" s="50" t="n">
        <x:f>F461+P461</x:f>
        <x:v>600</x:v>
      </x:c>
      <x:c r="O461" s="50" t="n">
        <x:f>IF(B461=1,0,O460+F460+P460)</x:f>
        <x:v>5457.142873541608</x:v>
      </x:c>
      <x:c r="P461" s="50" t="n">
        <x:f>MIN(G461,MAX(0,Inputs!$B$20-O461-F461))</x:f>
        <x:v>0</x:v>
      </x:c>
      <x:c r="Q461" s="50" t="n">
        <x:f>(C461-E461-F461)+(G461-P461)</x:f>
        <x:v>0</x:v>
      </x:c>
    </x:row>
    <x:row r="462">
      <x:c r="A462" s="41" t="n">
        <x:f>IF(B462=1,A461+1,A461)</x:f>
        <x:v>2044</x:v>
      </x:c>
      <x:c r="B462" s="41" t="n">
        <x:f>IF(B461=26,1,B461+1)</x:f>
        <x:v>19</x:v>
      </x:c>
      <x:c r="C462" s="48" t="n">
        <x:f>Inputs!$F$20</x:f>
        <x:v>600</x:v>
      </x:c>
      <x:c r="D462" s="50" t="n">
        <x:f>IF(B462=1,0,D461+E461)</x:f>
        <x:v>8000</x:v>
      </x:c>
      <x:c r="E462" s="50" t="n">
        <x:f>MIN(C462,MAX(0,Inputs!$B$7-D462))</x:f>
        <x:v>0</x:v>
      </x:c>
      <x:c r="F462" s="50" t="n">
        <x:f>MIN(C462-E462,MAX(0,Inputs!$B$20-O462))</x:f>
        <x:v>600</x:v>
      </x:c>
      <x:c r="G462" s="50" t="n">
        <x:f>0</x:f>
        <x:v>0</x:v>
      </x:c>
      <x:c r="H462" s="41" t="n">
        <x:f>0</x:f>
        <x:v>0</x:v>
      </x:c>
      <x:c r="I462" s="50" t="n">
        <x:f>(I461*(1+Inputs!$B$12))+E462</x:f>
        <x:v>313415.6067370565</x:v>
      </x:c>
      <x:c r="J462" s="50" t="n">
        <x:f>(J461*(1+Inputs!$B$12))+F462+P462</x:f>
        <x:v>358772.66183824313</x:v>
      </x:c>
      <x:c r="K462" s="50" t="n">
        <x:f>(K461*(1+Inputs!$B$12))*(1-H462)</x:f>
        <x:v>0</x:v>
      </x:c>
      <x:c r="L462" s="50" t="n">
        <x:f>L461*(1+Inputs!$B$13)+Q462</x:f>
        <x:v>30563.74039448095</x:v>
      </x:c>
      <x:c r="M462" s="50" t="n">
        <x:f>I462+J462+L462</x:f>
        <x:v>702752.0089697806</x:v>
      </x:c>
      <x:c r="N462" s="50" t="n">
        <x:f>F462+P462</x:f>
        <x:v>600</x:v>
      </x:c>
      <x:c r="O462" s="50" t="n">
        <x:f>IF(B462=1,0,O461+F461+P461)</x:f>
        <x:v>6057.142873541608</x:v>
      </x:c>
      <x:c r="P462" s="50" t="n">
        <x:f>MIN(G462,MAX(0,Inputs!$B$20-O462-F462))</x:f>
        <x:v>0</x:v>
      </x:c>
      <x:c r="Q462" s="50" t="n">
        <x:f>(C462-E462-F462)+(G462-P462)</x:f>
        <x:v>0</x:v>
      </x:c>
    </x:row>
    <x:row r="463">
      <x:c r="A463" s="41" t="n">
        <x:f>IF(B463=1,A462+1,A462)</x:f>
        <x:v>2044</x:v>
      </x:c>
      <x:c r="B463" s="41" t="n">
        <x:f>IF(B462=26,1,B462+1)</x:f>
        <x:v>20</x:v>
      </x:c>
      <x:c r="C463" s="48" t="n">
        <x:f>Inputs!$F$20</x:f>
        <x:v>600</x:v>
      </x:c>
      <x:c r="D463" s="50" t="n">
        <x:f>IF(B463=1,0,D462+E462)</x:f>
        <x:v>8000</x:v>
      </x:c>
      <x:c r="E463" s="50" t="n">
        <x:f>MIN(C463,MAX(0,Inputs!$B$7-D463))</x:f>
        <x:v>0</x:v>
      </x:c>
      <x:c r="F463" s="50" t="n">
        <x:f>MIN(C463-E463,MAX(0,Inputs!$B$20-O463))</x:f>
        <x:v>600</x:v>
      </x:c>
      <x:c r="G463" s="50" t="n">
        <x:f>0</x:f>
        <x:v>0</x:v>
      </x:c>
      <x:c r="H463" s="41" t="n">
        <x:f>0</x:f>
        <x:v>0</x:v>
      </x:c>
      <x:c r="I463" s="50" t="n">
        <x:f>(I462*(1+Inputs!$B$12))+E463</x:f>
        <x:v>314004.29733589827</x:v>
      </x:c>
      <x:c r="J463" s="50" t="n">
        <x:f>(J462*(1+Inputs!$B$12))+F463+P463</x:f>
        <x:v>360046.54689248296</x:v>
      </x:c>
      <x:c r="K463" s="50" t="n">
        <x:f>(K462*(1+Inputs!$B$12))*(1-H463)</x:f>
        <x:v>0</x:v>
      </x:c>
      <x:c r="L463" s="50" t="n">
        <x:f>L462*(1+Inputs!$B$13)+Q463</x:f>
        <x:v>30617.216376072105</x:v>
      </x:c>
      <x:c r="M463" s="50" t="n">
        <x:f>I463+J463+L463</x:f>
        <x:v>704668.0606044534</x:v>
      </x:c>
      <x:c r="N463" s="50" t="n">
        <x:f>F463+P463</x:f>
        <x:v>600</x:v>
      </x:c>
      <x:c r="O463" s="50" t="n">
        <x:f>IF(B463=1,0,O462+F462+P462)</x:f>
        <x:v>6657.142873541608</x:v>
      </x:c>
      <x:c r="P463" s="50" t="n">
        <x:f>MIN(G463,MAX(0,Inputs!$B$20-O463-F463))</x:f>
        <x:v>0</x:v>
      </x:c>
      <x:c r="Q463" s="50" t="n">
        <x:f>(C463-E463-F463)+(G463-P463)</x:f>
        <x:v>0</x:v>
      </x:c>
    </x:row>
    <x:row r="464">
      <x:c r="A464" s="41" t="n">
        <x:f>IF(B464=1,A463+1,A463)</x:f>
        <x:v>2044</x:v>
      </x:c>
      <x:c r="B464" s="41" t="n">
        <x:f>IF(B463=26,1,B463+1)</x:f>
        <x:v>21</x:v>
      </x:c>
      <x:c r="C464" s="48" t="n">
        <x:f>Inputs!$F$20</x:f>
        <x:v>600</x:v>
      </x:c>
      <x:c r="D464" s="50" t="n">
        <x:f>IF(B464=1,0,D463+E463)</x:f>
        <x:v>8000</x:v>
      </x:c>
      <x:c r="E464" s="50" t="n">
        <x:f>MIN(C464,MAX(0,Inputs!$B$7-D464))</x:f>
        <x:v>0</x:v>
      </x:c>
      <x:c r="F464" s="50" t="n">
        <x:f>MIN(C464-E464,MAX(0,Inputs!$B$20-O464))</x:f>
        <x:v>600</x:v>
      </x:c>
      <x:c r="G464" s="50" t="n">
        <x:f>0</x:f>
        <x:v>0</x:v>
      </x:c>
      <x:c r="H464" s="41" t="n">
        <x:f>0</x:f>
        <x:v>0</x:v>
      </x:c>
      <x:c r="I464" s="50" t="n">
        <x:f>(I463*(1+Inputs!$B$12))+E464</x:f>
        <x:v>314594.09367617</x:v>
      </x:c>
      <x:c r="J464" s="50" t="n">
        <x:f>(J463*(1+Inputs!$B$12))+F464+P464</x:f>
        <x:v>361322.82469341217</x:v>
      </x:c>
      <x:c r="K464" s="50" t="n">
        <x:f>(K463*(1+Inputs!$B$12))*(1-H464)</x:f>
        <x:v>0</x:v>
      </x:c>
      <x:c r="L464" s="50" t="n">
        <x:f>L463*(1+Inputs!$B$13)+Q464</x:f>
        <x:v>30670.785922147523</x:v>
      </x:c>
      <x:c r="M464" s="50" t="n">
        <x:f>I464+J464+L464</x:f>
        <x:v>706587.7042917297</x:v>
      </x:c>
      <x:c r="N464" s="50" t="n">
        <x:f>F464+P464</x:f>
        <x:v>600</x:v>
      </x:c>
      <x:c r="O464" s="50" t="n">
        <x:f>IF(B464=1,0,O463+F463+P463)</x:f>
        <x:v>7257.142873541608</x:v>
      </x:c>
      <x:c r="P464" s="50" t="n">
        <x:f>MIN(G464,MAX(0,Inputs!$B$20-O464-F464))</x:f>
        <x:v>0</x:v>
      </x:c>
      <x:c r="Q464" s="50" t="n">
        <x:f>(C464-E464-F464)+(G464-P464)</x:f>
        <x:v>0</x:v>
      </x:c>
    </x:row>
    <x:row r="465">
      <x:c r="A465" s="41" t="n">
        <x:f>IF(B465=1,A464+1,A464)</x:f>
        <x:v>2044</x:v>
      </x:c>
      <x:c r="B465" s="41" t="n">
        <x:f>IF(B464=26,1,B464+1)</x:f>
        <x:v>22</x:v>
      </x:c>
      <x:c r="C465" s="48" t="n">
        <x:f>Inputs!$F$20</x:f>
        <x:v>600</x:v>
      </x:c>
      <x:c r="D465" s="50" t="n">
        <x:f>IF(B465=1,0,D464+E464)</x:f>
        <x:v>8000</x:v>
      </x:c>
      <x:c r="E465" s="50" t="n">
        <x:f>MIN(C465,MAX(0,Inputs!$B$7-D465))</x:f>
        <x:v>0</x:v>
      </x:c>
      <x:c r="F465" s="50" t="n">
        <x:f>MIN(C465-E465,MAX(0,Inputs!$B$20-O465))</x:f>
        <x:v>600</x:v>
      </x:c>
      <x:c r="G465" s="50" t="n">
        <x:f>0</x:f>
        <x:v>0</x:v>
      </x:c>
      <x:c r="H465" s="41" t="n">
        <x:f>0</x:f>
        <x:v>0</x:v>
      </x:c>
      <x:c r="I465" s="50" t="n">
        <x:f>(I464*(1+Inputs!$B$12))+E465</x:f>
        <x:v>315184.99783479306</x:v>
      </x:c>
      <x:c r="J465" s="50" t="n">
        <x:f>(J464*(1+Inputs!$B$12))+F465+P465</x:f>
        <x:v>362601.4997353427</x:v>
      </x:c>
      <x:c r="K465" s="50" t="n">
        <x:f>(K464*(1+Inputs!$B$12))*(1-H465)</x:f>
        <x:v>0</x:v>
      </x:c>
      <x:c r="L465" s="50" t="n">
        <x:f>L464*(1+Inputs!$B$13)+Q465</x:f>
        <x:v>30724.449196412712</x:v>
      </x:c>
      <x:c r="M465" s="50" t="n">
        <x:f>I465+J465+L465</x:f>
        <x:v>708510.9467665484</x:v>
      </x:c>
      <x:c r="N465" s="50" t="n">
        <x:f>F465+P465</x:f>
        <x:v>600</x:v>
      </x:c>
      <x:c r="O465" s="50" t="n">
        <x:f>IF(B465=1,0,O464+F464+P464)</x:f>
        <x:v>7857.142873541608</x:v>
      </x:c>
      <x:c r="P465" s="50" t="n">
        <x:f>MIN(G465,MAX(0,Inputs!$B$20-O465-F465))</x:f>
        <x:v>0</x:v>
      </x:c>
      <x:c r="Q465" s="50" t="n">
        <x:f>(C465-E465-F465)+(G465-P465)</x:f>
        <x:v>0</x:v>
      </x:c>
    </x:row>
    <x:row r="466">
      <x:c r="A466" s="41" t="n">
        <x:f>IF(B466=1,A465+1,A465)</x:f>
        <x:v>2044</x:v>
      </x:c>
      <x:c r="B466" s="41" t="n">
        <x:f>IF(B465=26,1,B465+1)</x:f>
        <x:v>23</x:v>
      </x:c>
      <x:c r="C466" s="48" t="n">
        <x:f>Inputs!$F$20</x:f>
        <x:v>600</x:v>
      </x:c>
      <x:c r="D466" s="50" t="n">
        <x:f>IF(B466=1,0,D465+E465)</x:f>
        <x:v>8000</x:v>
      </x:c>
      <x:c r="E466" s="50" t="n">
        <x:f>MIN(C466,MAX(0,Inputs!$B$7-D466))</x:f>
        <x:v>0</x:v>
      </x:c>
      <x:c r="F466" s="50" t="n">
        <x:f>MIN(C466-E466,MAX(0,Inputs!$B$20-O466))</x:f>
        <x:v>600</x:v>
      </x:c>
      <x:c r="G466" s="50" t="n">
        <x:f>0</x:f>
        <x:v>0</x:v>
      </x:c>
      <x:c r="H466" s="41" t="n">
        <x:f>0</x:f>
        <x:v>0</x:v>
      </x:c>
      <x:c r="I466" s="50" t="n">
        <x:f>(I465*(1+Inputs!$B$12))+E466</x:f>
        <x:v>315777.01189259003</x:v>
      </x:c>
      <x:c r="J466" s="50" t="n">
        <x:f>(J465*(1+Inputs!$B$12))+F466+P466</x:f>
        <x:v>363882.57652102807</x:v>
      </x:c>
      <x:c r="K466" s="50" t="n">
        <x:f>(K465*(1+Inputs!$B$12))*(1-H466)</x:f>
        <x:v>0</x:v>
      </x:c>
      <x:c r="L466" s="50" t="n">
        <x:f>L465*(1+Inputs!$B$13)+Q466</x:f>
        <x:v>30778.206362859608</x:v>
      </x:c>
      <x:c r="M466" s="50" t="n">
        <x:f>I466+J466+L466</x:f>
        <x:v>710437.7947764776</x:v>
      </x:c>
      <x:c r="N466" s="50" t="n">
        <x:f>F466+P466</x:f>
        <x:v>600</x:v>
      </x:c>
      <x:c r="O466" s="50" t="n">
        <x:f>IF(B466=1,0,O465+F465+P465)</x:f>
        <x:v>8457.142873541608</x:v>
      </x:c>
      <x:c r="P466" s="50" t="n">
        <x:f>MIN(G466,MAX(0,Inputs!$B$20-O466-F466))</x:f>
        <x:v>0</x:v>
      </x:c>
      <x:c r="Q466" s="50" t="n">
        <x:f>(C466-E466-F466)+(G466-P466)</x:f>
        <x:v>0</x:v>
      </x:c>
    </x:row>
    <x:row r="467">
      <x:c r="A467" s="41" t="n">
        <x:f>IF(B467=1,A466+1,A466)</x:f>
        <x:v>2044</x:v>
      </x:c>
      <x:c r="B467" s="41" t="n">
        <x:f>IF(B466=26,1,B466+1)</x:f>
        <x:v>24</x:v>
      </x:c>
      <x:c r="C467" s="48" t="n">
        <x:f>Inputs!$F$20</x:f>
        <x:v>600</x:v>
      </x:c>
      <x:c r="D467" s="50" t="n">
        <x:f>IF(B467=1,0,D466+E466)</x:f>
        <x:v>8000</x:v>
      </x:c>
      <x:c r="E467" s="50" t="n">
        <x:f>MIN(C467,MAX(0,Inputs!$B$7-D467))</x:f>
        <x:v>0</x:v>
      </x:c>
      <x:c r="F467" s="50" t="n">
        <x:f>MIN(C467-E467,MAX(0,Inputs!$B$20-O467))</x:f>
        <x:v>600</x:v>
      </x:c>
      <x:c r="G467" s="50" t="n">
        <x:f>0</x:f>
        <x:v>0</x:v>
      </x:c>
      <x:c r="H467" s="41" t="n">
        <x:f>0</x:f>
        <x:v>0</x:v>
      </x:c>
      <x:c r="I467" s="50" t="n">
        <x:f>(I466*(1+Inputs!$B$12))+E467</x:f>
        <x:v>316370.1379342918</x:v>
      </x:c>
      <x:c r="J467" s="50" t="n">
        <x:f>(J466*(1+Inputs!$B$12))+F467+P467</x:f>
        <x:v>365166.05956167943</x:v>
      </x:c>
      <x:c r="K467" s="50" t="n">
        <x:f>(K466*(1+Inputs!$B$12))*(1-H467)</x:f>
        <x:v>0</x:v>
      </x:c>
      <x:c r="L467" s="50" t="n">
        <x:f>L466*(1+Inputs!$B$13)+Q467</x:f>
        <x:v>30832.057585767074</x:v>
      </x:c>
      <x:c r="M467" s="50" t="n">
        <x:f>I467+J467+L467</x:f>
        <x:v>712368.2550817383</x:v>
      </x:c>
      <x:c r="N467" s="50" t="n">
        <x:f>F467+P467</x:f>
        <x:v>600</x:v>
      </x:c>
      <x:c r="O467" s="50" t="n">
        <x:f>IF(B467=1,0,O466+F466+P466)</x:f>
        <x:v>9057.142873541608</x:v>
      </x:c>
      <x:c r="P467" s="50" t="n">
        <x:f>MIN(G467,MAX(0,Inputs!$B$20-O467-F467))</x:f>
        <x:v>0</x:v>
      </x:c>
      <x:c r="Q467" s="50" t="n">
        <x:f>(C467-E467-F467)+(G467-P467)</x:f>
        <x:v>0</x:v>
      </x:c>
    </x:row>
    <x:row r="468">
      <x:c r="A468" s="41" t="n">
        <x:f>IF(B468=1,A467+1,A467)</x:f>
        <x:v>2044</x:v>
      </x:c>
      <x:c r="B468" s="41" t="n">
        <x:f>IF(B467=26,1,B467+1)</x:f>
        <x:v>25</x:v>
      </x:c>
      <x:c r="C468" s="48" t="n">
        <x:f>Inputs!$F$20</x:f>
        <x:v>600</x:v>
      </x:c>
      <x:c r="D468" s="50" t="n">
        <x:f>IF(B468=1,0,D467+E467)</x:f>
        <x:v>8000</x:v>
      </x:c>
      <x:c r="E468" s="50" t="n">
        <x:f>MIN(C468,MAX(0,Inputs!$B$7-D468))</x:f>
        <x:v>0</x:v>
      </x:c>
      <x:c r="F468" s="50" t="n">
        <x:f>MIN(C468-E468,MAX(0,Inputs!$B$20-O468))</x:f>
        <x:v>600</x:v>
      </x:c>
      <x:c r="G468" s="50" t="n">
        <x:f>0</x:f>
        <x:v>0</x:v>
      </x:c>
      <x:c r="H468" s="41" t="n">
        <x:f>0</x:f>
        <x:v>0</x:v>
      </x:c>
      <x:c r="I468" s="50" t="n">
        <x:f>(I467*(1+Inputs!$B$12))+E468</x:f>
        <x:v>316964.37804854504</x:v>
      </x:c>
      <x:c r="J468" s="50" t="n">
        <x:f>(J467*(1+Inputs!$B$12))+F468+P468</x:f>
        <x:v>366451.9533769814</x:v>
      </x:c>
      <x:c r="K468" s="50" t="n">
        <x:f>(K467*(1+Inputs!$B$12))*(1-H468)</x:f>
        <x:v>0</x:v>
      </x:c>
      <x:c r="L468" s="50" t="n">
        <x:f>L467*(1+Inputs!$B$13)+Q468</x:f>
        <x:v>30886.003029701405</x:v>
      </x:c>
      <x:c r="M468" s="50" t="n">
        <x:f>I468+J468+L468</x:f>
        <x:v>714302.3344552278</x:v>
      </x:c>
      <x:c r="N468" s="50" t="n">
        <x:f>F468+P468</x:f>
        <x:v>600</x:v>
      </x:c>
      <x:c r="O468" s="50" t="n">
        <x:f>IF(B468=1,0,O467+F467+P467)</x:f>
        <x:v>9657.142873541608</x:v>
      </x:c>
      <x:c r="P468" s="50" t="n">
        <x:f>MIN(G468,MAX(0,Inputs!$B$20-O468-F468))</x:f>
        <x:v>0</x:v>
      </x:c>
      <x:c r="Q468" s="50" t="n">
        <x:f>(C468-E468-F468)+(G468-P468)</x:f>
        <x:v>0</x:v>
      </x:c>
    </x:row>
    <x:row r="469">
      <x:c r="A469" s="41" t="n">
        <x:f>IF(B469=1,A468+1,A468)</x:f>
        <x:v>2044</x:v>
      </x:c>
      <x:c r="B469" s="41" t="n">
        <x:f>IF(B468=26,1,B468+1)</x:f>
        <x:v>26</x:v>
      </x:c>
      <x:c r="C469" s="48" t="n">
        <x:f>Inputs!$F$20</x:f>
        <x:v>600</x:v>
      </x:c>
      <x:c r="D469" s="50" t="n">
        <x:f>IF(B469=1,0,D468+E468)</x:f>
        <x:v>8000</x:v>
      </x:c>
      <x:c r="E469" s="50" t="n">
        <x:f>MIN(C469,MAX(0,Inputs!$B$7-D469))</x:f>
        <x:v>0</x:v>
      </x:c>
      <x:c r="F469" s="50" t="n">
        <x:f>MIN(C469-E469,MAX(0,Inputs!$B$20-O469))</x:f>
        <x:v>600</x:v>
      </x:c>
      <x:c r="G469" s="50" t="n">
        <x:f>0</x:f>
        <x:v>0</x:v>
      </x:c>
      <x:c r="H469" s="41" t="n">
        <x:f>IF(A469=Inputs!$B$8,1,0)</x:f>
        <x:v>0</x:v>
      </x:c>
      <x:c r="I469" s="50" t="n">
        <x:f>(I468*(1+Inputs!$B$12))+E469</x:f>
        <x:v>317559.7343279196</x:v>
      </x:c>
      <x:c r="J469" s="50" t="n">
        <x:f>(J468*(1+Inputs!$B$12))+F469+P469</x:f>
        <x:v>367740.2624951077</x:v>
      </x:c>
      <x:c r="K469" s="50" t="n">
        <x:f>(K468*(1+Inputs!$B$12))*(1-H469)</x:f>
        <x:v>0</x:v>
      </x:c>
      <x:c r="L469" s="50" t="n">
        <x:f>L468*(1+Inputs!$B$13)+Q469</x:f>
        <x:v>30940.042859516834</x:v>
      </x:c>
      <x:c r="M469" s="50" t="n">
        <x:f>I469+J469+L469</x:f>
        <x:v>716240.0396825441</x:v>
      </x:c>
      <x:c r="N469" s="50" t="n">
        <x:f>F469+P469</x:f>
        <x:v>600</x:v>
      </x:c>
      <x:c r="O469" s="50" t="n">
        <x:f>IF(B469=1,0,O468+F468+P468)</x:f>
        <x:v>10257.142873541608</x:v>
      </x:c>
      <x:c r="P469" s="50" t="n">
        <x:f>MIN(G469,MAX(0,Inputs!$B$20-O469-F469))</x:f>
        <x:v>0</x:v>
      </x:c>
      <x:c r="Q469" s="50" t="n">
        <x:f>(C469-E469-F469)+(G469-P469)</x:f>
        <x:v>0</x:v>
      </x:c>
    </x:row>
    <x:row r="470">
      <x:c r="A470" s="41" t="n">
        <x:f>IF(B470=1,A469+1,A469)</x:f>
        <x:v>2045</x:v>
      </x:c>
      <x:c r="B470" s="41" t="n">
        <x:f>IF(B469=26,1,B469+1)</x:f>
        <x:v>1</x:v>
      </x:c>
      <x:c r="C470" s="48" t="n">
        <x:f>Inputs!$F$21</x:f>
        <x:v>600</x:v>
      </x:c>
      <x:c r="D470" s="50" t="n">
        <x:f>IF(B470=1,0,D469+E469)</x:f>
        <x:v>0</x:v>
      </x:c>
      <x:c r="E470" s="50" t="n">
        <x:f>MIN(C470,MAX(0,Inputs!$B$7-D470))</x:f>
        <x:v>600</x:v>
      </x:c>
      <x:c r="F470" s="50" t="n">
        <x:f>MIN(C470-E470,MAX(0,Inputs!$B$20-O470))</x:f>
        <x:v>0</x:v>
      </x:c>
      <x:c r="G470" s="50" t="n">
        <x:f>0</x:f>
        <x:v>0</x:v>
      </x:c>
      <x:c r="H470" s="41" t="n">
        <x:f>0</x:f>
        <x:v>0</x:v>
      </x:c>
      <x:c r="I470" s="50" t="n">
        <x:f>(I469*(1+Inputs!$B$12))+E470</x:f>
        <x:v>318756.2088689158</x:v>
      </x:c>
      <x:c r="J470" s="50" t="n">
        <x:f>(J469*(1+Inputs!$B$12))+F470+P470</x:f>
        <x:v>368430.9914527377</x:v>
      </x:c>
      <x:c r="K470" s="50" t="n">
        <x:f>(K469*(1+Inputs!$B$12))*(1-H470)</x:f>
        <x:v>0</x:v>
      </x:c>
      <x:c r="L470" s="50" t="n">
        <x:f>L469*(1+Inputs!$B$13)+Q470</x:f>
        <x:v>30994.177240356028</x:v>
      </x:c>
      <x:c r="M470" s="50" t="n">
        <x:f>I470+J470+L470</x:f>
        <x:v>718181.3775620095</x:v>
      </x:c>
      <x:c r="N470" s="50" t="n">
        <x:f>F470+P470</x:f>
        <x:v>0</x:v>
      </x:c>
      <x:c r="O470" s="50" t="n">
        <x:f>IF(B470=1,0,O469+F469+P469)</x:f>
        <x:v>0</x:v>
      </x:c>
      <x:c r="P470" s="50" t="n">
        <x:f>MIN(G470,MAX(0,Inputs!$B$20-O470-F470))</x:f>
        <x:v>0</x:v>
      </x:c>
      <x:c r="Q470" s="50" t="n">
        <x:f>(C470-E470-F470)+(G470-P470)</x:f>
        <x:v>0</x:v>
      </x:c>
    </x:row>
    <x:row r="471">
      <x:c r="A471" s="41" t="n">
        <x:f>IF(B471=1,A470+1,A470)</x:f>
        <x:v>2045</x:v>
      </x:c>
      <x:c r="B471" s="41" t="n">
        <x:f>IF(B470=26,1,B470+1)</x:f>
        <x:v>2</x:v>
      </x:c>
      <x:c r="C471" s="48" t="n">
        <x:f>Inputs!$F$21</x:f>
        <x:v>600</x:v>
      </x:c>
      <x:c r="D471" s="50" t="n">
        <x:f>IF(B471=1,0,D470+E470)</x:f>
        <x:v>600</x:v>
      </x:c>
      <x:c r="E471" s="50" t="n">
        <x:f>MIN(C471,MAX(0,Inputs!$B$7-D471))</x:f>
        <x:v>600</x:v>
      </x:c>
      <x:c r="F471" s="50" t="n">
        <x:f>MIN(C471-E471,MAX(0,Inputs!$B$20-O471))</x:f>
        <x:v>0</x:v>
      </x:c>
      <x:c r="G471" s="50" t="n">
        <x:f>0</x:f>
        <x:v>0</x:v>
      </x:c>
      <x:c r="H471" s="41" t="n">
        <x:f>0</x:f>
        <x:v>0</x:v>
      </x:c>
      <x:c r="I471" s="50" t="n">
        <x:f>(I470*(1+Inputs!$B$12))+E471</x:f>
        <x:v>319954.93075592443</x:v>
      </x:c>
      <x:c r="J471" s="50" t="n">
        <x:f>(J470*(1+Inputs!$B$12))+F471+P471</x:f>
        <x:v>369123.0178111192</x:v>
      </x:c>
      <x:c r="K471" s="50" t="n">
        <x:f>(K470*(1+Inputs!$B$12))*(1-H471)</x:f>
        <x:v>0</x:v>
      </x:c>
      <x:c r="L471" s="50" t="n">
        <x:f>L470*(1+Inputs!$B$13)+Q471</x:f>
        <x:v>31048.4063376506</x:v>
      </x:c>
      <x:c r="M471" s="50" t="n">
        <x:f>I471+J471+L471</x:f>
        <x:v>720126.3549046942</x:v>
      </x:c>
      <x:c r="N471" s="50" t="n">
        <x:f>F471+P471</x:f>
        <x:v>0</x:v>
      </x:c>
      <x:c r="O471" s="50" t="n">
        <x:f>IF(B471=1,0,O470+F470+P470)</x:f>
        <x:v>0</x:v>
      </x:c>
      <x:c r="P471" s="50" t="n">
        <x:f>MIN(G471,MAX(0,Inputs!$B$20-O471-F471))</x:f>
        <x:v>0</x:v>
      </x:c>
      <x:c r="Q471" s="50" t="n">
        <x:f>(C471-E471-F471)+(G471-P471)</x:f>
        <x:v>0</x:v>
      </x:c>
    </x:row>
    <x:row r="472">
      <x:c r="A472" s="41" t="n">
        <x:f>IF(B472=1,A471+1,A471)</x:f>
        <x:v>2045</x:v>
      </x:c>
      <x:c r="B472" s="41" t="n">
        <x:f>IF(B471=26,1,B471+1)</x:f>
        <x:v>3</x:v>
      </x:c>
      <x:c r="C472" s="48" t="n">
        <x:f>Inputs!$F$21</x:f>
        <x:v>600</x:v>
      </x:c>
      <x:c r="D472" s="50" t="n">
        <x:f>IF(B472=1,0,D471+E471)</x:f>
        <x:v>1200</x:v>
      </x:c>
      <x:c r="E472" s="50" t="n">
        <x:f>MIN(C472,MAX(0,Inputs!$B$7-D472))</x:f>
        <x:v>600</x:v>
      </x:c>
      <x:c r="F472" s="50" t="n">
        <x:f>MIN(C472-E472,MAX(0,Inputs!$B$20-O472))</x:f>
        <x:v>0</x:v>
      </x:c>
      <x:c r="G472" s="50" t="n">
        <x:f>0</x:f>
        <x:v>0</x:v>
      </x:c>
      <x:c r="H472" s="41" t="n">
        <x:f>0</x:f>
        <x:v>0</x:v>
      </x:c>
      <x:c r="I472" s="50" t="n">
        <x:f>(I471*(1+Inputs!$B$12))+E472</x:f>
        <x:v>321155.9042101503</x:v>
      </x:c>
      <x:c r="J472" s="50" t="n">
        <x:f>(J471*(1+Inputs!$B$12))+F472+P472</x:f>
        <x:v>369816.34400716855</x:v>
      </x:c>
      <x:c r="K472" s="50" t="n">
        <x:f>(K471*(1+Inputs!$B$12))*(1-H472)</x:f>
        <x:v>0</x:v>
      </x:c>
      <x:c r="L472" s="50" t="n">
        <x:f>L471*(1+Inputs!$B$13)+Q472</x:f>
        <x:v>31102.730317121604</x:v>
      </x:c>
      <x:c r="M472" s="50" t="n">
        <x:f>I472+J472+L472</x:f>
        <x:v>722074.9785344405</x:v>
      </x:c>
      <x:c r="N472" s="50" t="n">
        <x:f>F472+P472</x:f>
        <x:v>0</x:v>
      </x:c>
      <x:c r="O472" s="50" t="n">
        <x:f>IF(B472=1,0,O471+F471+P471)</x:f>
        <x:v>0</x:v>
      </x:c>
      <x:c r="P472" s="50" t="n">
        <x:f>MIN(G472,MAX(0,Inputs!$B$20-O472-F472))</x:f>
        <x:v>0</x:v>
      </x:c>
      <x:c r="Q472" s="50" t="n">
        <x:f>(C472-E472-F472)+(G472-P472)</x:f>
        <x:v>0</x:v>
      </x:c>
    </x:row>
    <x:row r="473">
      <x:c r="A473" s="41" t="n">
        <x:f>IF(B473=1,A472+1,A472)</x:f>
        <x:v>2045</x:v>
      </x:c>
      <x:c r="B473" s="41" t="n">
        <x:f>IF(B472=26,1,B472+1)</x:f>
        <x:v>4</x:v>
      </x:c>
      <x:c r="C473" s="48" t="n">
        <x:f>Inputs!$F$21</x:f>
        <x:v>600</x:v>
      </x:c>
      <x:c r="D473" s="50" t="n">
        <x:f>IF(B473=1,0,D472+E472)</x:f>
        <x:v>1800</x:v>
      </x:c>
      <x:c r="E473" s="50" t="n">
        <x:f>MIN(C473,MAX(0,Inputs!$B$7-D473))</x:f>
        <x:v>600</x:v>
      </x:c>
      <x:c r="F473" s="50" t="n">
        <x:f>MIN(C473-E473,MAX(0,Inputs!$B$20-O473))</x:f>
        <x:v>0</x:v>
      </x:c>
      <x:c r="G473" s="50" t="n">
        <x:f>0</x:f>
        <x:v>0</x:v>
      </x:c>
      <x:c r="H473" s="41" t="n">
        <x:f>0</x:f>
        <x:v>0</x:v>
      </x:c>
      <x:c r="I473" s="50" t="n">
        <x:f>(I472*(1+Inputs!$B$12))+E473</x:f>
        <x:v>322359.133460727</x:v>
      </x:c>
      <x:c r="J473" s="50" t="n">
        <x:f>(J472*(1+Inputs!$B$12))+F473+P473</x:f>
        <x:v>370510.9724823794</x:v>
      </x:c>
      <x:c r="K473" s="50" t="n">
        <x:f>(K472*(1+Inputs!$B$12))*(1-H473)</x:f>
        <x:v>0</x:v>
      </x:c>
      <x:c r="L473" s="50" t="n">
        <x:f>L472*(1+Inputs!$B$13)+Q473</x:f>
        <x:v>31157.14934478006</x:v>
      </x:c>
      <x:c r="M473" s="50" t="n">
        <x:f>I473+J473+L473</x:f>
        <x:v>724027.2552878864</x:v>
      </x:c>
      <x:c r="N473" s="50" t="n">
        <x:f>F473+P473</x:f>
        <x:v>0</x:v>
      </x:c>
      <x:c r="O473" s="50" t="n">
        <x:f>IF(B473=1,0,O472+F472+P472)</x:f>
        <x:v>0</x:v>
      </x:c>
      <x:c r="P473" s="50" t="n">
        <x:f>MIN(G473,MAX(0,Inputs!$B$20-O473-F473))</x:f>
        <x:v>0</x:v>
      </x:c>
      <x:c r="Q473" s="50" t="n">
        <x:f>(C473-E473-F473)+(G473-P473)</x:f>
        <x:v>0</x:v>
      </x:c>
    </x:row>
    <x:row r="474">
      <x:c r="A474" s="41" t="n">
        <x:f>IF(B474=1,A473+1,A473)</x:f>
        <x:v>2045</x:v>
      </x:c>
      <x:c r="B474" s="41" t="n">
        <x:f>IF(B473=26,1,B473+1)</x:f>
        <x:v>5</x:v>
      </x:c>
      <x:c r="C474" s="48" t="n">
        <x:f>Inputs!$F$21</x:f>
        <x:v>600</x:v>
      </x:c>
      <x:c r="D474" s="50" t="n">
        <x:f>IF(B474=1,0,D473+E473)</x:f>
        <x:v>2400</x:v>
      </x:c>
      <x:c r="E474" s="50" t="n">
        <x:f>MIN(C474,MAX(0,Inputs!$B$7-D474))</x:f>
        <x:v>600</x:v>
      </x:c>
      <x:c r="F474" s="50" t="n">
        <x:f>MIN(C474-E474,MAX(0,Inputs!$B$20-O474))</x:f>
        <x:v>0</x:v>
      </x:c>
      <x:c r="G474" s="50" t="n">
        <x:f>0</x:f>
        <x:v>0</x:v>
      </x:c>
      <x:c r="H474" s="41" t="n">
        <x:f>0</x:f>
        <x:v>0</x:v>
      </x:c>
      <x:c r="I474" s="50" t="n">
        <x:f>(I473*(1+Inputs!$B$12))+E474</x:f>
        <x:v>323564.62274473166</x:v>
      </x:c>
      <x:c r="J474" s="50" t="n">
        <x:f>(J473*(1+Inputs!$B$12))+F474+P474</x:f>
        <x:v>371206.9056828313</x:v>
      </x:c>
      <x:c r="K474" s="50" t="n">
        <x:f>(K473*(1+Inputs!$B$12))*(1-H474)</x:f>
        <x:v>0</x:v>
      </x:c>
      <x:c r="L474" s="50" t="n">
        <x:f>L473*(1+Inputs!$B$13)+Q474</x:f>
        <x:v>31211.66358692744</x:v>
      </x:c>
      <x:c r="M474" s="50" t="n">
        <x:f>I474+J474+L474</x:f>
        <x:v>725983.1920144904</x:v>
      </x:c>
      <x:c r="N474" s="50" t="n">
        <x:f>F474+P474</x:f>
        <x:v>0</x:v>
      </x:c>
      <x:c r="O474" s="50" t="n">
        <x:f>IF(B474=1,0,O473+F473+P473)</x:f>
        <x:v>0</x:v>
      </x:c>
      <x:c r="P474" s="50" t="n">
        <x:f>MIN(G474,MAX(0,Inputs!$B$20-O474-F474))</x:f>
        <x:v>0</x:v>
      </x:c>
      <x:c r="Q474" s="50" t="n">
        <x:f>(C474-E474-F474)+(G474-P474)</x:f>
        <x:v>0</x:v>
      </x:c>
    </x:row>
    <x:row r="475">
      <x:c r="A475" s="41" t="n">
        <x:f>IF(B475=1,A474+1,A474)</x:f>
        <x:v>2045</x:v>
      </x:c>
      <x:c r="B475" s="41" t="n">
        <x:f>IF(B474=26,1,B474+1)</x:f>
        <x:v>6</x:v>
      </x:c>
      <x:c r="C475" s="48" t="n">
        <x:f>Inputs!$F$21</x:f>
        <x:v>600</x:v>
      </x:c>
      <x:c r="D475" s="50" t="n">
        <x:f>IF(B475=1,0,D474+E474)</x:f>
        <x:v>3000</x:v>
      </x:c>
      <x:c r="E475" s="50" t="n">
        <x:f>MIN(C475,MAX(0,Inputs!$B$7-D475))</x:f>
        <x:v>600</x:v>
      </x:c>
      <x:c r="F475" s="50" t="n">
        <x:f>MIN(C475-E475,MAX(0,Inputs!$B$20-O475))</x:f>
        <x:v>0</x:v>
      </x:c>
      <x:c r="G475" s="50" t="n">
        <x:f>0</x:f>
        <x:v>0</x:v>
      </x:c>
      <x:c r="H475" s="41" t="n">
        <x:f>0</x:f>
        <x:v>0</x:v>
      </x:c>
      <x:c r="I475" s="50" t="n">
        <x:f>(I474*(1+Inputs!$B$12))+E475</x:f>
        <x:v>324772.37630719994</x:v>
      </x:c>
      <x:c r="J475" s="50" t="n">
        <x:f>(J474*(1+Inputs!$B$12))+F475+P475</x:f>
        <x:v>371904.14605919825</x:v>
      </x:c>
      <x:c r="K475" s="50" t="n">
        <x:f>(K474*(1+Inputs!$B$12))*(1-H475)</x:f>
        <x:v>0</x:v>
      </x:c>
      <x:c r="L475" s="50" t="n">
        <x:f>L474*(1+Inputs!$B$13)+Q475</x:f>
        <x:v>31266.27321015619</x:v>
      </x:c>
      <x:c r="M475" s="50" t="n">
        <x:f>I475+J475+L475</x:f>
        <x:v>727942.7955765545</x:v>
      </x:c>
      <x:c r="N475" s="50" t="n">
        <x:f>F475+P475</x:f>
        <x:v>0</x:v>
      </x:c>
      <x:c r="O475" s="50" t="n">
        <x:f>IF(B475=1,0,O474+F474+P474)</x:f>
        <x:v>0</x:v>
      </x:c>
      <x:c r="P475" s="50" t="n">
        <x:f>MIN(G475,MAX(0,Inputs!$B$20-O475-F475))</x:f>
        <x:v>0</x:v>
      </x:c>
      <x:c r="Q475" s="50" t="n">
        <x:f>(C475-E475-F475)+(G475-P475)</x:f>
        <x:v>0</x:v>
      </x:c>
    </x:row>
    <x:row r="476">
      <x:c r="A476" s="41" t="n">
        <x:f>IF(B476=1,A475+1,A475)</x:f>
        <x:v>2045</x:v>
      </x:c>
      <x:c r="B476" s="41" t="n">
        <x:f>IF(B475=26,1,B475+1)</x:f>
        <x:v>7</x:v>
      </x:c>
      <x:c r="C476" s="48" t="n">
        <x:f>Inputs!$F$21</x:f>
        <x:v>600</x:v>
      </x:c>
      <x:c r="D476" s="50" t="n">
        <x:f>IF(B476=1,0,D475+E475)</x:f>
        <x:v>3600</x:v>
      </x:c>
      <x:c r="E476" s="50" t="n">
        <x:f>MIN(C476,MAX(0,Inputs!$B$7-D476))</x:f>
        <x:v>600</x:v>
      </x:c>
      <x:c r="F476" s="50" t="n">
        <x:f>MIN(C476-E476,MAX(0,Inputs!$B$20-O476))</x:f>
        <x:v>0</x:v>
      </x:c>
      <x:c r="G476" s="50" t="n">
        <x:f>0</x:f>
        <x:v>0</x:v>
      </x:c>
      <x:c r="H476" s="41" t="n">
        <x:f>0</x:f>
        <x:v>0</x:v>
      </x:c>
      <x:c r="I476" s="50" t="n">
        <x:f>(I475*(1+Inputs!$B$12))+E476</x:f>
        <x:v>325982.398401141</x:v>
      </x:c>
      <x:c r="J476" s="50" t="n">
        <x:f>(J475*(1+Inputs!$B$12))+F476+P476</x:f>
        <x:v>372602.6960667574</x:v>
      </x:c>
      <x:c r="K476" s="50" t="n">
        <x:f>(K475*(1+Inputs!$B$12))*(1-H476)</x:f>
        <x:v>0</x:v>
      </x:c>
      <x:c r="L476" s="50" t="n">
        <x:f>L475*(1+Inputs!$B$13)+Q476</x:f>
        <x:v>31320.978381350233</x:v>
      </x:c>
      <x:c r="M476" s="50" t="n">
        <x:f>I476+J476+L476</x:f>
        <x:v>729906.0728492487</x:v>
      </x:c>
      <x:c r="N476" s="50" t="n">
        <x:f>F476+P476</x:f>
        <x:v>0</x:v>
      </x:c>
      <x:c r="O476" s="50" t="n">
        <x:f>IF(B476=1,0,O475+F475+P475)</x:f>
        <x:v>0</x:v>
      </x:c>
      <x:c r="P476" s="50" t="n">
        <x:f>MIN(G476,MAX(0,Inputs!$B$20-O476-F476))</x:f>
        <x:v>0</x:v>
      </x:c>
      <x:c r="Q476" s="50" t="n">
        <x:f>(C476-E476-F476)+(G476-P476)</x:f>
        <x:v>0</x:v>
      </x:c>
    </x:row>
    <x:row r="477">
      <x:c r="A477" s="41" t="n">
        <x:f>IF(B477=1,A476+1,A476)</x:f>
        <x:v>2045</x:v>
      </x:c>
      <x:c r="B477" s="41" t="n">
        <x:f>IF(B476=26,1,B476+1)</x:f>
        <x:v>8</x:v>
      </x:c>
      <x:c r="C477" s="48" t="n">
        <x:f>Inputs!$F$21</x:f>
        <x:v>600</x:v>
      </x:c>
      <x:c r="D477" s="50" t="n">
        <x:f>IF(B477=1,0,D476+E476)</x:f>
        <x:v>4200</x:v>
      </x:c>
      <x:c r="E477" s="50" t="n">
        <x:f>MIN(C477,MAX(0,Inputs!$B$7-D477))</x:f>
        <x:v>600</x:v>
      </x:c>
      <x:c r="F477" s="50" t="n">
        <x:f>MIN(C477-E477,MAX(0,Inputs!$B$20-O477))</x:f>
        <x:v>0</x:v>
      </x:c>
      <x:c r="G477" s="50" t="n">
        <x:f>0</x:f>
        <x:v>0</x:v>
      </x:c>
      <x:c r="H477" s="41" t="n">
        <x:f>0</x:f>
        <x:v>0</x:v>
      </x:c>
      <x:c r="I477" s="50" t="n">
        <x:f>(I476*(1+Inputs!$B$12))+E477</x:f>
        <x:v>327194.6932875524</x:v>
      </x:c>
      <x:c r="J477" s="50" t="n">
        <x:f>(J476*(1+Inputs!$B$12))+F477+P477</x:f>
        <x:v>373302.55816539755</x:v>
      </x:c>
      <x:c r="K477" s="50" t="n">
        <x:f>(K476*(1+Inputs!$B$12))*(1-H477)</x:f>
        <x:v>0</x:v>
      </x:c>
      <x:c r="L477" s="50" t="n">
        <x:f>L476*(1+Inputs!$B$13)+Q477</x:f>
        <x:v>31375.779267685484</x:v>
      </x:c>
      <x:c r="M477" s="50" t="n">
        <x:f>I477+J477+L477</x:f>
        <x:v>731873.0307206354</x:v>
      </x:c>
      <x:c r="N477" s="50" t="n">
        <x:f>F477+P477</x:f>
        <x:v>0</x:v>
      </x:c>
      <x:c r="O477" s="50" t="n">
        <x:f>IF(B477=1,0,O476+F476+P476)</x:f>
        <x:v>0</x:v>
      </x:c>
      <x:c r="P477" s="50" t="n">
        <x:f>MIN(G477,MAX(0,Inputs!$B$20-O477-F477))</x:f>
        <x:v>0</x:v>
      </x:c>
      <x:c r="Q477" s="50" t="n">
        <x:f>(C477-E477-F477)+(G477-P477)</x:f>
        <x:v>0</x:v>
      </x:c>
    </x:row>
    <x:row r="478">
      <x:c r="A478" s="41" t="n">
        <x:f>IF(B478=1,A477+1,A477)</x:f>
        <x:v>2045</x:v>
      </x:c>
      <x:c r="B478" s="41" t="n">
        <x:f>IF(B477=26,1,B477+1)</x:f>
        <x:v>9</x:v>
      </x:c>
      <x:c r="C478" s="48" t="n">
        <x:f>Inputs!$F$21</x:f>
        <x:v>600</x:v>
      </x:c>
      <x:c r="D478" s="50" t="n">
        <x:f>IF(B478=1,0,D477+E477)</x:f>
        <x:v>4800</x:v>
      </x:c>
      <x:c r="E478" s="50" t="n">
        <x:f>MIN(C478,MAX(0,Inputs!$B$7-D478))</x:f>
        <x:v>600</x:v>
      </x:c>
      <x:c r="F478" s="50" t="n">
        <x:f>MIN(C478-E478,MAX(0,Inputs!$B$20-O478))</x:f>
        <x:v>0</x:v>
      </x:c>
      <x:c r="G478" s="50" t="n">
        <x:f>SUM(N444:N469)*Inputs!$B$6</x:f>
        <x:v>3257.1428620624824</x:v>
      </x:c>
      <x:c r="H478" s="41" t="n">
        <x:f>0</x:f>
        <x:v>0</x:v>
      </x:c>
      <x:c r="I478" s="50" t="n">
        <x:f>(I477*(1+Inputs!$B$12))+E478</x:f>
        <x:v>328409.2652354353</x:v>
      </x:c>
      <x:c r="J478" s="50" t="n">
        <x:f>(J477*(1+Inputs!$B$12))+F478+P478</x:f>
        <x:v>377260.8776816906</x:v>
      </x:c>
      <x:c r="K478" s="50" t="n">
        <x:f>(K477*(1+Inputs!$B$12))*(1-H478)</x:f>
        <x:v>0</x:v>
      </x:c>
      <x:c r="L478" s="50" t="n">
        <x:f>L477*(1+Inputs!$B$13)+Q478</x:f>
        <x:v>31430.67603663036</x:v>
      </x:c>
      <x:c r="M478" s="50" t="n">
        <x:f>I478+J478+L478</x:f>
        <x:v>737100.8189537564</x:v>
      </x:c>
      <x:c r="N478" s="50" t="n">
        <x:f>F478+P478</x:f>
        <x:v>3257.1428620624824</x:v>
      </x:c>
      <x:c r="O478" s="50" t="n">
        <x:f>IF(B478=1,0,O477+F477+P477)</x:f>
        <x:v>0</x:v>
      </x:c>
      <x:c r="P478" s="50" t="n">
        <x:f>MIN(G478,MAX(0,Inputs!$B$20-O478-F478))</x:f>
        <x:v>3257.1428620624824</x:v>
      </x:c>
      <x:c r="Q478" s="50" t="n">
        <x:f>(C478-E478-F478)+(G478-P478)</x:f>
        <x:v>0</x:v>
      </x:c>
    </x:row>
    <x:row r="479">
      <x:c r="A479" s="41" t="n">
        <x:f>IF(B479=1,A478+1,A478)</x:f>
        <x:v>2045</x:v>
      </x:c>
      <x:c r="B479" s="41" t="n">
        <x:f>IF(B478=26,1,B478+1)</x:f>
        <x:v>10</x:v>
      </x:c>
      <x:c r="C479" s="48" t="n">
        <x:f>Inputs!$F$21</x:f>
        <x:v>600</x:v>
      </x:c>
      <x:c r="D479" s="50" t="n">
        <x:f>IF(B479=1,0,D478+E478)</x:f>
        <x:v>5400</x:v>
      </x:c>
      <x:c r="E479" s="50" t="n">
        <x:f>MIN(C479,MAX(0,Inputs!$B$7-D479))</x:f>
        <x:v>600</x:v>
      </x:c>
      <x:c r="F479" s="50" t="n">
        <x:f>MIN(C479-E479,MAX(0,Inputs!$B$20-O479))</x:f>
        <x:v>0</x:v>
      </x:c>
      <x:c r="G479" s="50" t="n">
        <x:f>0</x:f>
        <x:v>0</x:v>
      </x:c>
      <x:c r="H479" s="41" t="n">
        <x:f>0</x:f>
        <x:v>0</x:v>
      </x:c>
      <x:c r="I479" s="50" t="n">
        <x:f>(I478*(1+Inputs!$B$12))+E479</x:f>
        <x:v>329626.11852180917</x:v>
      </x:c>
      <x:c r="J479" s="50" t="n">
        <x:f>(J478*(1+Inputs!$B$12))+F479+P479</x:f>
        <x:v>377969.48927354516</x:v>
      </x:c>
      <x:c r="K479" s="50" t="n">
        <x:f>(K478*(1+Inputs!$B$12))*(1-H479)</x:f>
        <x:v>0</x:v>
      </x:c>
      <x:c r="L479" s="50" t="n">
        <x:f>L478*(1+Inputs!$B$13)+Q479</x:f>
        <x:v>31485.668855946282</x:v>
      </x:c>
      <x:c r="M479" s="50" t="n">
        <x:f>I479+J479+L479</x:f>
        <x:v>739081.2766513006</x:v>
      </x:c>
      <x:c r="N479" s="50" t="n">
        <x:f>F479+P479</x:f>
        <x:v>0</x:v>
      </x:c>
      <x:c r="O479" s="50" t="n">
        <x:f>IF(B479=1,0,O478+F478+P478)</x:f>
        <x:v>3257.1428620624824</x:v>
      </x:c>
      <x:c r="P479" s="50" t="n">
        <x:f>MIN(G479,MAX(0,Inputs!$B$20-O479-F479))</x:f>
        <x:v>0</x:v>
      </x:c>
      <x:c r="Q479" s="50" t="n">
        <x:f>(C479-E479-F479)+(G479-P479)</x:f>
        <x:v>0</x:v>
      </x:c>
    </x:row>
    <x:row r="480">
      <x:c r="A480" s="41" t="n">
        <x:f>IF(B480=1,A479+1,A479)</x:f>
        <x:v>2045</x:v>
      </x:c>
      <x:c r="B480" s="41" t="n">
        <x:f>IF(B479=26,1,B479+1)</x:f>
        <x:v>11</x:v>
      </x:c>
      <x:c r="C480" s="48" t="n">
        <x:f>Inputs!$F$21</x:f>
        <x:v>600</x:v>
      </x:c>
      <x:c r="D480" s="50" t="n">
        <x:f>IF(B480=1,0,D479+E479)</x:f>
        <x:v>6000</x:v>
      </x:c>
      <x:c r="E480" s="50" t="n">
        <x:f>MIN(C480,MAX(0,Inputs!$B$7-D480))</x:f>
        <x:v>600</x:v>
      </x:c>
      <x:c r="F480" s="50" t="n">
        <x:f>MIN(C480-E480,MAX(0,Inputs!$B$20-O480))</x:f>
        <x:v>0</x:v>
      </x:c>
      <x:c r="G480" s="50" t="n">
        <x:f>0</x:f>
        <x:v>0</x:v>
      </x:c>
      <x:c r="H480" s="41" t="n">
        <x:f>0</x:f>
        <x:v>0</x:v>
      </x:c>
      <x:c r="I480" s="50" t="n">
        <x:f>(I479*(1+Inputs!$B$12))+E480</x:f>
        <x:v>330845.2574317272</x:v>
      </x:c>
      <x:c r="J480" s="50" t="n">
        <x:f>(J479*(1+Inputs!$B$12))+F480+P480</x:f>
        <x:v>378679.4318552208</x:v>
      </x:c>
      <x:c r="K480" s="50" t="n">
        <x:f>(K479*(1+Inputs!$B$12))*(1-H480)</x:f>
        <x:v>0</x:v>
      </x:c>
      <x:c r="L480" s="50" t="n">
        <x:f>L479*(1+Inputs!$B$13)+Q480</x:f>
        <x:v>31540.757893688202</x:v>
      </x:c>
      <x:c r="M480" s="50" t="n">
        <x:f>I480+J480+L480</x:f>
        <x:v>741065.4471806361</x:v>
      </x:c>
      <x:c r="N480" s="50" t="n">
        <x:f>F480+P480</x:f>
        <x:v>0</x:v>
      </x:c>
      <x:c r="O480" s="50" t="n">
        <x:f>IF(B480=1,0,O479+F479+P479)</x:f>
        <x:v>3257.1428620624824</x:v>
      </x:c>
      <x:c r="P480" s="50" t="n">
        <x:f>MIN(G480,MAX(0,Inputs!$B$20-O480-F480))</x:f>
        <x:v>0</x:v>
      </x:c>
      <x:c r="Q480" s="50" t="n">
        <x:f>(C480-E480-F480)+(G480-P480)</x:f>
        <x:v>0</x:v>
      </x:c>
    </x:row>
    <x:row r="481">
      <x:c r="A481" s="41" t="n">
        <x:f>IF(B481=1,A480+1,A480)</x:f>
        <x:v>2045</x:v>
      </x:c>
      <x:c r="B481" s="41" t="n">
        <x:f>IF(B480=26,1,B480+1)</x:f>
        <x:v>12</x:v>
      </x:c>
      <x:c r="C481" s="48" t="n">
        <x:f>Inputs!$F$21</x:f>
        <x:v>600</x:v>
      </x:c>
      <x:c r="D481" s="50" t="n">
        <x:f>IF(B481=1,0,D480+E480)</x:f>
        <x:v>6600</x:v>
      </x:c>
      <x:c r="E481" s="50" t="n">
        <x:f>MIN(C481,MAX(0,Inputs!$B$7-D481))</x:f>
        <x:v>600</x:v>
      </x:c>
      <x:c r="F481" s="50" t="n">
        <x:f>MIN(C481-E481,MAX(0,Inputs!$B$20-O481))</x:f>
        <x:v>0</x:v>
      </x:c>
      <x:c r="G481" s="50" t="n">
        <x:f>0</x:f>
        <x:v>0</x:v>
      </x:c>
      <x:c r="H481" s="41" t="n">
        <x:f>0</x:f>
        <x:v>0</x:v>
      </x:c>
      <x:c r="I481" s="50" t="n">
        <x:f>(I480*(1+Inputs!$B$12))+E481</x:f>
        <x:v>332066.6862582911</x:v>
      </x:c>
      <x:c r="J481" s="50" t="n">
        <x:f>(J480*(1+Inputs!$B$12))+F481+P481</x:f>
        <x:v>379390.7079267246</x:v>
      </x:c>
      <x:c r="K481" s="50" t="n">
        <x:f>(K480*(1+Inputs!$B$12))*(1-H481)</x:f>
        <x:v>0</x:v>
      </x:c>
      <x:c r="L481" s="50" t="n">
        <x:f>L480*(1+Inputs!$B$13)+Q481</x:f>
        <x:v>31595.94331820511</x:v>
      </x:c>
      <x:c r="M481" s="50" t="n">
        <x:f>I481+J481+L481</x:f>
        <x:v>743053.3375032208</x:v>
      </x:c>
      <x:c r="N481" s="50" t="n">
        <x:f>F481+P481</x:f>
        <x:v>0</x:v>
      </x:c>
      <x:c r="O481" s="50" t="n">
        <x:f>IF(B481=1,0,O480+F480+P480)</x:f>
        <x:v>3257.1428620624824</x:v>
      </x:c>
      <x:c r="P481" s="50" t="n">
        <x:f>MIN(G481,MAX(0,Inputs!$B$20-O481-F481))</x:f>
        <x:v>0</x:v>
      </x:c>
      <x:c r="Q481" s="50" t="n">
        <x:f>(C481-E481-F481)+(G481-P481)</x:f>
        <x:v>0</x:v>
      </x:c>
    </x:row>
    <x:row r="482">
      <x:c r="A482" s="41" t="n">
        <x:f>IF(B482=1,A481+1,A481)</x:f>
        <x:v>2045</x:v>
      </x:c>
      <x:c r="B482" s="41" t="n">
        <x:f>IF(B481=26,1,B481+1)</x:f>
        <x:v>13</x:v>
      </x:c>
      <x:c r="C482" s="48" t="n">
        <x:f>Inputs!$F$21</x:f>
        <x:v>600</x:v>
      </x:c>
      <x:c r="D482" s="50" t="n">
        <x:f>IF(B482=1,0,D481+E481)</x:f>
        <x:v>7200</x:v>
      </x:c>
      <x:c r="E482" s="50" t="n">
        <x:f>MIN(C482,MAX(0,Inputs!$B$7-D482))</x:f>
        <x:v>600</x:v>
      </x:c>
      <x:c r="F482" s="50" t="n">
        <x:f>MIN(C482-E482,MAX(0,Inputs!$B$20-O482))</x:f>
        <x:v>0</x:v>
      </x:c>
      <x:c r="G482" s="50" t="n">
        <x:f>0</x:f>
        <x:v>0</x:v>
      </x:c>
      <x:c r="H482" s="41" t="n">
        <x:f>0</x:f>
        <x:v>0</x:v>
      </x:c>
      <x:c r="I482" s="50" t="n">
        <x:f>(I481*(1+Inputs!$B$12))+E482</x:f>
        <x:v>333290.4093026665</x:v>
      </x:c>
      <x:c r="J482" s="50" t="n">
        <x:f>(J481*(1+Inputs!$B$12))+F482+P482</x:f>
        <x:v>380103.31999275915</x:v>
      </x:c>
      <x:c r="K482" s="50" t="n">
        <x:f>(K481*(1+Inputs!$B$12))*(1-H482)</x:f>
        <x:v>0</x:v>
      </x:c>
      <x:c r="L482" s="50" t="n">
        <x:f>L481*(1+Inputs!$B$13)+Q482</x:f>
        <x:v>31651.225298140547</x:v>
      </x:c>
      <x:c r="M482" s="50" t="n">
        <x:f>I482+J482+L482</x:f>
        <x:v>745044.9545935661</x:v>
      </x:c>
      <x:c r="N482" s="50" t="n">
        <x:f>F482+P482</x:f>
        <x:v>0</x:v>
      </x:c>
      <x:c r="O482" s="50" t="n">
        <x:f>IF(B482=1,0,O481+F481+P481)</x:f>
        <x:v>3257.1428620624824</x:v>
      </x:c>
      <x:c r="P482" s="50" t="n">
        <x:f>MIN(G482,MAX(0,Inputs!$B$20-O482-F482))</x:f>
        <x:v>0</x:v>
      </x:c>
      <x:c r="Q482" s="50" t="n">
        <x:f>(C482-E482-F482)+(G482-P482)</x:f>
        <x:v>0</x:v>
      </x:c>
    </x:row>
    <x:row r="483">
      <x:c r="A483" s="41" t="n">
        <x:f>IF(B483=1,A482+1,A482)</x:f>
        <x:v>2045</x:v>
      </x:c>
      <x:c r="B483" s="41" t="n">
        <x:f>IF(B482=26,1,B482+1)</x:f>
        <x:v>14</x:v>
      </x:c>
      <x:c r="C483" s="48" t="n">
        <x:f>Inputs!$F$21</x:f>
        <x:v>600</x:v>
      </x:c>
      <x:c r="D483" s="50" t="n">
        <x:f>IF(B483=1,0,D482+E482)</x:f>
        <x:v>7800</x:v>
      </x:c>
      <x:c r="E483" s="50" t="n">
        <x:f>MIN(C483,MAX(0,Inputs!$B$7-D483))</x:f>
        <x:v>200</x:v>
      </x:c>
      <x:c r="F483" s="50" t="n">
        <x:f>MIN(C483-E483,MAX(0,Inputs!$B$20-O483))</x:f>
        <x:v>400</x:v>
      </x:c>
      <x:c r="G483" s="50" t="n">
        <x:f>0</x:f>
        <x:v>0</x:v>
      </x:c>
      <x:c r="H483" s="41" t="n">
        <x:f>0</x:f>
        <x:v>0</x:v>
      </x:c>
      <x:c r="I483" s="50" t="n">
        <x:f>(I482*(1+Inputs!$B$12))+E483</x:f>
        <x:v>334116.4308740977</x:v>
      </x:c>
      <x:c r="J483" s="50" t="n">
        <x:f>(J482*(1+Inputs!$B$12))+F483+P483</x:f>
        <x:v>381217.2705627319</x:v>
      </x:c>
      <x:c r="K483" s="50" t="n">
        <x:f>(K482*(1+Inputs!$B$12))*(1-H483)</x:f>
        <x:v>0</x:v>
      </x:c>
      <x:c r="L483" s="50" t="n">
        <x:f>L482*(1+Inputs!$B$13)+Q483</x:f>
        <x:v>31706.60400243312</x:v>
      </x:c>
      <x:c r="M483" s="50" t="n">
        <x:f>I483+J483+L483</x:f>
        <x:v>747040.3054392627</x:v>
      </x:c>
      <x:c r="N483" s="50" t="n">
        <x:f>F483+P483</x:f>
        <x:v>400</x:v>
      </x:c>
      <x:c r="O483" s="50" t="n">
        <x:f>IF(B483=1,0,O482+F482+P482)</x:f>
        <x:v>3257.1428620624824</x:v>
      </x:c>
      <x:c r="P483" s="50" t="n">
        <x:f>MIN(G483,MAX(0,Inputs!$B$20-O483-F483))</x:f>
        <x:v>0</x:v>
      </x:c>
      <x:c r="Q483" s="50" t="n">
        <x:f>(C483-E483-F483)+(G483-P483)</x:f>
        <x:v>0</x:v>
      </x:c>
    </x:row>
    <x:row r="484">
      <x:c r="A484" s="41" t="n">
        <x:f>IF(B484=1,A483+1,A483)</x:f>
        <x:v>2045</x:v>
      </x:c>
      <x:c r="B484" s="41" t="n">
        <x:f>IF(B483=26,1,B483+1)</x:f>
        <x:v>15</x:v>
      </x:c>
      <x:c r="C484" s="48" t="n">
        <x:f>Inputs!$F$21</x:f>
        <x:v>600</x:v>
      </x:c>
      <x:c r="D484" s="50" t="n">
        <x:f>IF(B484=1,0,D483+E483)</x:f>
        <x:v>8000</x:v>
      </x:c>
      <x:c r="E484" s="50" t="n">
        <x:f>MIN(C484,MAX(0,Inputs!$B$7-D484))</x:f>
        <x:v>0</x:v>
      </x:c>
      <x:c r="F484" s="50" t="n">
        <x:f>MIN(C484-E484,MAX(0,Inputs!$B$20-O484))</x:f>
        <x:v>600</x:v>
      </x:c>
      <x:c r="G484" s="50" t="n">
        <x:f>0</x:f>
        <x:v>0</x:v>
      </x:c>
      <x:c r="H484" s="41" t="n">
        <x:f>0</x:f>
        <x:v>0</x:v>
      </x:c>
      <x:c r="I484" s="50" t="n">
        <x:f>(I483*(1+Inputs!$B$12))+E484</x:f>
        <x:v>334744.0039672881</x:v>
      </x:c>
      <x:c r="J484" s="50" t="n">
        <x:f>(J483*(1+Inputs!$B$12))+F484+P484</x:f>
        <x:v>382533.3134733986</x:v>
      </x:c>
      <x:c r="K484" s="50" t="n">
        <x:f>(K483*(1+Inputs!$B$12))*(1-H484)</x:f>
        <x:v>0</x:v>
      </x:c>
      <x:c r="L484" s="50" t="n">
        <x:f>L483*(1+Inputs!$B$13)+Q484</x:f>
        <x:v>31762.07960031702</x:v>
      </x:c>
      <x:c r="M484" s="50" t="n">
        <x:f>I484+J484+L484</x:f>
        <x:v>749039.3970410038</x:v>
      </x:c>
      <x:c r="N484" s="50" t="n">
        <x:f>F484+P484</x:f>
        <x:v>600</x:v>
      </x:c>
      <x:c r="O484" s="50" t="n">
        <x:f>IF(B484=1,0,O483+F483+P483)</x:f>
        <x:v>3657.1428620624824</x:v>
      </x:c>
      <x:c r="P484" s="50" t="n">
        <x:f>MIN(G484,MAX(0,Inputs!$B$20-O484-F484))</x:f>
        <x:v>0</x:v>
      </x:c>
      <x:c r="Q484" s="50" t="n">
        <x:f>(C484-E484-F484)+(G484-P484)</x:f>
        <x:v>0</x:v>
      </x:c>
    </x:row>
    <x:row r="485">
      <x:c r="A485" s="41" t="n">
        <x:f>IF(B485=1,A484+1,A484)</x:f>
        <x:v>2045</x:v>
      </x:c>
      <x:c r="B485" s="41" t="n">
        <x:f>IF(B484=26,1,B484+1)</x:f>
        <x:v>16</x:v>
      </x:c>
      <x:c r="C485" s="48" t="n">
        <x:f>Inputs!$F$21</x:f>
        <x:v>600</x:v>
      </x:c>
      <x:c r="D485" s="50" t="n">
        <x:f>IF(B485=1,0,D484+E484)</x:f>
        <x:v>8000</x:v>
      </x:c>
      <x:c r="E485" s="50" t="n">
        <x:f>MIN(C485,MAX(0,Inputs!$B$7-D485))</x:f>
        <x:v>0</x:v>
      </x:c>
      <x:c r="F485" s="50" t="n">
        <x:f>MIN(C485-E485,MAX(0,Inputs!$B$20-O485))</x:f>
        <x:v>600</x:v>
      </x:c>
      <x:c r="G485" s="50" t="n">
        <x:f>0</x:f>
        <x:v>0</x:v>
      </x:c>
      <x:c r="H485" s="41" t="n">
        <x:f>0</x:f>
        <x:v>0</x:v>
      </x:c>
      <x:c r="I485" s="50" t="n">
        <x:f>(I484*(1+Inputs!$B$12))+E485</x:f>
        <x:v>335372.7558351538</x:v>
      </x:c>
      <x:c r="J485" s="50" t="n">
        <x:f>(J484*(1+Inputs!$B$12))+F485+P485</x:f>
        <x:v>383851.8283161343</x:v>
      </x:c>
      <x:c r="K485" s="50" t="n">
        <x:f>(K484*(1+Inputs!$B$12))*(1-H485)</x:f>
        <x:v>0</x:v>
      </x:c>
      <x:c r="L485" s="50" t="n">
        <x:f>L484*(1+Inputs!$B$13)+Q485</x:f>
        <x:v>31817.65226132255</x:v>
      </x:c>
      <x:c r="M485" s="50" t="n">
        <x:f>I485+J485+L485</x:f>
        <x:v>751042.2364126106</x:v>
      </x:c>
      <x:c r="N485" s="50" t="n">
        <x:f>F485+P485</x:f>
        <x:v>600</x:v>
      </x:c>
      <x:c r="O485" s="50" t="n">
        <x:f>IF(B485=1,0,O484+F484+P484)</x:f>
        <x:v>4257.142862062483</x:v>
      </x:c>
      <x:c r="P485" s="50" t="n">
        <x:f>MIN(G485,MAX(0,Inputs!$B$20-O485-F485))</x:f>
        <x:v>0</x:v>
      </x:c>
      <x:c r="Q485" s="50" t="n">
        <x:f>(C485-E485-F485)+(G485-P485)</x:f>
        <x:v>0</x:v>
      </x:c>
    </x:row>
    <x:row r="486">
      <x:c r="A486" s="41" t="n">
        <x:f>IF(B486=1,A485+1,A485)</x:f>
        <x:v>2045</x:v>
      </x:c>
      <x:c r="B486" s="41" t="n">
        <x:f>IF(B485=26,1,B485+1)</x:f>
        <x:v>17</x:v>
      </x:c>
      <x:c r="C486" s="48" t="n">
        <x:f>Inputs!$F$21</x:f>
        <x:v>600</x:v>
      </x:c>
      <x:c r="D486" s="50" t="n">
        <x:f>IF(B486=1,0,D485+E485)</x:f>
        <x:v>8000</x:v>
      </x:c>
      <x:c r="E486" s="50" t="n">
        <x:f>MIN(C486,MAX(0,Inputs!$B$7-D486))</x:f>
        <x:v>0</x:v>
      </x:c>
      <x:c r="F486" s="50" t="n">
        <x:f>MIN(C486-E486,MAX(0,Inputs!$B$20-O486))</x:f>
        <x:v>600</x:v>
      </x:c>
      <x:c r="G486" s="50" t="n">
        <x:f>0</x:f>
        <x:v>0</x:v>
      </x:c>
      <x:c r="H486" s="41" t="n">
        <x:f>0</x:f>
        <x:v>0</x:v>
      </x:c>
      <x:c r="I486" s="50" t="n">
        <x:f>(I485*(1+Inputs!$B$12))+E486</x:f>
        <x:v>336002.688691795</x:v>
      </x:c>
      <x:c r="J486" s="50" t="n">
        <x:f>(J485*(1+Inputs!$B$12))+F486+P486</x:f>
        <x:v>385172.8197339851</x:v>
      </x:c>
      <x:c r="K486" s="50" t="n">
        <x:f>(K485*(1+Inputs!$B$12))*(1-H486)</x:f>
        <x:v>0</x:v>
      </x:c>
      <x:c r="L486" s="50" t="n">
        <x:f>L485*(1+Inputs!$B$13)+Q486</x:f>
        <x:v>31873.322155276615</x:v>
      </x:c>
      <x:c r="M486" s="50" t="n">
        <x:f>I486+J486+L486</x:f>
        <x:v>753048.8305810568</x:v>
      </x:c>
      <x:c r="N486" s="50" t="n">
        <x:f>F486+P486</x:f>
        <x:v>600</x:v>
      </x:c>
      <x:c r="O486" s="50" t="n">
        <x:f>IF(B486=1,0,O485+F485+P485)</x:f>
        <x:v>4857.142862062483</x:v>
      </x:c>
      <x:c r="P486" s="50" t="n">
        <x:f>MIN(G486,MAX(0,Inputs!$B$20-O486-F486))</x:f>
        <x:v>0</x:v>
      </x:c>
      <x:c r="Q486" s="50" t="n">
        <x:f>(C486-E486-F486)+(G486-P486)</x:f>
        <x:v>0</x:v>
      </x:c>
    </x:row>
    <x:row r="487">
      <x:c r="A487" s="41" t="n">
        <x:f>IF(B487=1,A486+1,A486)</x:f>
        <x:v>2045</x:v>
      </x:c>
      <x:c r="B487" s="41" t="n">
        <x:f>IF(B486=26,1,B486+1)</x:f>
        <x:v>18</x:v>
      </x:c>
      <x:c r="C487" s="48" t="n">
        <x:f>Inputs!$F$21</x:f>
        <x:v>600</x:v>
      </x:c>
      <x:c r="D487" s="50" t="n">
        <x:f>IF(B487=1,0,D486+E486)</x:f>
        <x:v>8000</x:v>
      </x:c>
      <x:c r="E487" s="50" t="n">
        <x:f>MIN(C487,MAX(0,Inputs!$B$7-D487))</x:f>
        <x:v>0</x:v>
      </x:c>
      <x:c r="F487" s="50" t="n">
        <x:f>MIN(C487-E487,MAX(0,Inputs!$B$20-O487))</x:f>
        <x:v>600</x:v>
      </x:c>
      <x:c r="G487" s="50" t="n">
        <x:f>0</x:f>
        <x:v>0</x:v>
      </x:c>
      <x:c r="H487" s="41" t="n">
        <x:f>0</x:f>
        <x:v>0</x:v>
      </x:c>
      <x:c r="I487" s="50" t="n">
        <x:f>(I486*(1+Inputs!$B$12))+E487</x:f>
        <x:v>336633.80475547066</x:v>
      </x:c>
      <x:c r="J487" s="50" t="n">
        <x:f>(J486*(1+Inputs!$B$12))+F487+P487</x:f>
        <x:v>386496.29237871844</x:v>
      </x:c>
      <x:c r="K487" s="50" t="n">
        <x:f>(K486*(1+Inputs!$B$12))*(1-H487)</x:f>
        <x:v>0</x:v>
      </x:c>
      <x:c r="L487" s="50" t="n">
        <x:f>L486*(1+Inputs!$B$13)+Q487</x:f>
        <x:v>31929.08945230327</x:v>
      </x:c>
      <x:c r="M487" s="50" t="n">
        <x:f>I487+J487+L487</x:f>
        <x:v>755059.1865864923</x:v>
      </x:c>
      <x:c r="N487" s="50" t="n">
        <x:f>F487+P487</x:f>
        <x:v>600</x:v>
      </x:c>
      <x:c r="O487" s="50" t="n">
        <x:f>IF(B487=1,0,O486+F486+P486)</x:f>
        <x:v>5457.142862062483</x:v>
      </x:c>
      <x:c r="P487" s="50" t="n">
        <x:f>MIN(G487,MAX(0,Inputs!$B$20-O487-F487))</x:f>
        <x:v>0</x:v>
      </x:c>
      <x:c r="Q487" s="50" t="n">
        <x:f>(C487-E487-F487)+(G487-P487)</x:f>
        <x:v>0</x:v>
      </x:c>
    </x:row>
    <x:row r="488">
      <x:c r="A488" s="41" t="n">
        <x:f>IF(B488=1,A487+1,A487)</x:f>
        <x:v>2045</x:v>
      </x:c>
      <x:c r="B488" s="41" t="n">
        <x:f>IF(B487=26,1,B487+1)</x:f>
        <x:v>19</x:v>
      </x:c>
      <x:c r="C488" s="48" t="n">
        <x:f>Inputs!$F$21</x:f>
        <x:v>600</x:v>
      </x:c>
      <x:c r="D488" s="50" t="n">
        <x:f>IF(B488=1,0,D487+E487)</x:f>
        <x:v>8000</x:v>
      </x:c>
      <x:c r="E488" s="50" t="n">
        <x:f>MIN(C488,MAX(0,Inputs!$B$7-D488))</x:f>
        <x:v>0</x:v>
      </x:c>
      <x:c r="F488" s="50" t="n">
        <x:f>MIN(C488-E488,MAX(0,Inputs!$B$20-O488))</x:f>
        <x:v>600</x:v>
      </x:c>
      <x:c r="G488" s="50" t="n">
        <x:f>0</x:f>
        <x:v>0</x:v>
      </x:c>
      <x:c r="H488" s="41" t="n">
        <x:f>0</x:f>
        <x:v>0</x:v>
      </x:c>
      <x:c r="I488" s="50" t="n">
        <x:f>(I487*(1+Inputs!$B$12))+E488</x:f>
        <x:v>337266.10624860635</x:v>
      </x:c>
      <x:c r="J488" s="50" t="n">
        <x:f>(J487*(1+Inputs!$B$12))+F488+P488</x:f>
        <x:v>387822.2509108391</x:v>
      </x:c>
      <x:c r="K488" s="50" t="n">
        <x:f>(K487*(1+Inputs!$B$12))*(1-H488)</x:f>
        <x:v>0</x:v>
      </x:c>
      <x:c r="L488" s="50" t="n">
        <x:f>L487*(1+Inputs!$B$13)+Q488</x:f>
        <x:v>31984.954322824226</x:v>
      </x:c>
      <x:c r="M488" s="50" t="n">
        <x:f>I488+J488+L488</x:f>
        <x:v>757073.3114822698</x:v>
      </x:c>
      <x:c r="N488" s="50" t="n">
        <x:f>F488+P488</x:f>
        <x:v>600</x:v>
      </x:c>
      <x:c r="O488" s="50" t="n">
        <x:f>IF(B488=1,0,O487+F487+P487)</x:f>
        <x:v>6057.142862062483</x:v>
      </x:c>
      <x:c r="P488" s="50" t="n">
        <x:f>MIN(G488,MAX(0,Inputs!$B$20-O488-F488))</x:f>
        <x:v>0</x:v>
      </x:c>
      <x:c r="Q488" s="50" t="n">
        <x:f>(C488-E488-F488)+(G488-P488)</x:f>
        <x:v>0</x:v>
      </x:c>
    </x:row>
    <x:row r="489">
      <x:c r="A489" s="41" t="n">
        <x:f>IF(B489=1,A488+1,A488)</x:f>
        <x:v>2045</x:v>
      </x:c>
      <x:c r="B489" s="41" t="n">
        <x:f>IF(B488=26,1,B488+1)</x:f>
        <x:v>20</x:v>
      </x:c>
      <x:c r="C489" s="48" t="n">
        <x:f>Inputs!$F$21</x:f>
        <x:v>600</x:v>
      </x:c>
      <x:c r="D489" s="50" t="n">
        <x:f>IF(B489=1,0,D488+E488)</x:f>
        <x:v>8000</x:v>
      </x:c>
      <x:c r="E489" s="50" t="n">
        <x:f>MIN(C489,MAX(0,Inputs!$B$7-D489))</x:f>
        <x:v>0</x:v>
      </x:c>
      <x:c r="F489" s="50" t="n">
        <x:f>MIN(C489-E489,MAX(0,Inputs!$B$20-O489))</x:f>
        <x:v>600</x:v>
      </x:c>
      <x:c r="G489" s="50" t="n">
        <x:f>0</x:f>
        <x:v>0</x:v>
      </x:c>
      <x:c r="H489" s="41" t="n">
        <x:f>0</x:f>
        <x:v>0</x:v>
      </x:c>
      <x:c r="I489" s="50" t="n">
        <x:f>(I488*(1+Inputs!$B$12))+E489</x:f>
        <x:v>337899.59539780207</x:v>
      </x:c>
      <x:c r="J489" s="50" t="n">
        <x:f>(J488*(1+Inputs!$B$12))+F489+P489</x:f>
        <x:v>389150.6999996058</x:v>
      </x:c>
      <x:c r="K489" s="50" t="n">
        <x:f>(K488*(1+Inputs!$B$12))*(1-H489)</x:f>
        <x:v>0</x:v>
      </x:c>
      <x:c r="L489" s="50" t="n">
        <x:f>L488*(1+Inputs!$B$13)+Q489</x:f>
        <x:v>32040.91693755937</x:v>
      </x:c>
      <x:c r="M489" s="50" t="n">
        <x:f>I489+J489+L489</x:f>
        <x:v>759091.2123349672</x:v>
      </x:c>
      <x:c r="N489" s="50" t="n">
        <x:f>F489+P489</x:f>
        <x:v>600</x:v>
      </x:c>
      <x:c r="O489" s="50" t="n">
        <x:f>IF(B489=1,0,O488+F488+P488)</x:f>
        <x:v>6657.142862062483</x:v>
      </x:c>
      <x:c r="P489" s="50" t="n">
        <x:f>MIN(G489,MAX(0,Inputs!$B$20-O489-F489))</x:f>
        <x:v>0</x:v>
      </x:c>
      <x:c r="Q489" s="50" t="n">
        <x:f>(C489-E489-F489)+(G489-P489)</x:f>
        <x:v>0</x:v>
      </x:c>
    </x:row>
    <x:row r="490">
      <x:c r="A490" s="41" t="n">
        <x:f>IF(B490=1,A489+1,A489)</x:f>
        <x:v>2045</x:v>
      </x:c>
      <x:c r="B490" s="41" t="n">
        <x:f>IF(B489=26,1,B489+1)</x:f>
        <x:v>21</x:v>
      </x:c>
      <x:c r="C490" s="48" t="n">
        <x:f>Inputs!$F$21</x:f>
        <x:v>600</x:v>
      </x:c>
      <x:c r="D490" s="50" t="n">
        <x:f>IF(B490=1,0,D489+E489)</x:f>
        <x:v>8000</x:v>
      </x:c>
      <x:c r="E490" s="50" t="n">
        <x:f>MIN(C490,MAX(0,Inputs!$B$7-D490))</x:f>
        <x:v>0</x:v>
      </x:c>
      <x:c r="F490" s="50" t="n">
        <x:f>MIN(C490-E490,MAX(0,Inputs!$B$20-O490))</x:f>
        <x:v>600</x:v>
      </x:c>
      <x:c r="G490" s="50" t="n">
        <x:f>0</x:f>
        <x:v>0</x:v>
      </x:c>
      <x:c r="H490" s="41" t="n">
        <x:f>0</x:f>
        <x:v>0</x:v>
      </x:c>
      <x:c r="I490" s="50" t="n">
        <x:f>(I489*(1+Inputs!$B$12))+E490</x:f>
        <x:v>338534.27443384</x:v>
      </x:c>
      <x:c r="J490" s="50" t="n">
        <x:f>(J489*(1+Inputs!$B$12))+F490+P490</x:f>
        <x:v>390481.64432304737</x:v>
      </x:c>
      <x:c r="K490" s="50" t="n">
        <x:f>(K489*(1+Inputs!$B$12))*(1-H490)</x:f>
        <x:v>0</x:v>
      </x:c>
      <x:c r="L490" s="50" t="n">
        <x:f>L489*(1+Inputs!$B$13)+Q490</x:f>
        <x:v>32096.977467527297</x:v>
      </x:c>
      <x:c r="M490" s="50" t="n">
        <x:f>I490+J490+L490</x:f>
        <x:v>761112.8962244146</x:v>
      </x:c>
      <x:c r="N490" s="50" t="n">
        <x:f>F490+P490</x:f>
        <x:v>600</x:v>
      </x:c>
      <x:c r="O490" s="50" t="n">
        <x:f>IF(B490=1,0,O489+F489+P489)</x:f>
        <x:v>7257.142862062483</x:v>
      </x:c>
      <x:c r="P490" s="50" t="n">
        <x:f>MIN(G490,MAX(0,Inputs!$B$20-O490-F490))</x:f>
        <x:v>0</x:v>
      </x:c>
      <x:c r="Q490" s="50" t="n">
        <x:f>(C490-E490-F490)+(G490-P490)</x:f>
        <x:v>0</x:v>
      </x:c>
    </x:row>
    <x:row r="491">
      <x:c r="A491" s="41" t="n">
        <x:f>IF(B491=1,A490+1,A490)</x:f>
        <x:v>2045</x:v>
      </x:c>
      <x:c r="B491" s="41" t="n">
        <x:f>IF(B490=26,1,B490+1)</x:f>
        <x:v>22</x:v>
      </x:c>
      <x:c r="C491" s="48" t="n">
        <x:f>Inputs!$F$21</x:f>
        <x:v>600</x:v>
      </x:c>
      <x:c r="D491" s="50" t="n">
        <x:f>IF(B491=1,0,D490+E490)</x:f>
        <x:v>8000</x:v>
      </x:c>
      <x:c r="E491" s="50" t="n">
        <x:f>MIN(C491,MAX(0,Inputs!$B$7-D491))</x:f>
        <x:v>0</x:v>
      </x:c>
      <x:c r="F491" s="50" t="n">
        <x:f>MIN(C491-E491,MAX(0,Inputs!$B$20-O491))</x:f>
        <x:v>600</x:v>
      </x:c>
      <x:c r="G491" s="50" t="n">
        <x:f>0</x:f>
        <x:v>0</x:v>
      </x:c>
      <x:c r="H491" s="41" t="n">
        <x:f>0</x:f>
        <x:v>0</x:v>
      </x:c>
      <x:c r="I491" s="50" t="n">
        <x:f>(I490*(1+Inputs!$B$12))+E491</x:f>
        <x:v>339170.1455916924</x:v>
      </x:c>
      <x:c r="J491" s="50" t="n">
        <x:f>(J490*(1+Inputs!$B$12))+F491+P491</x:f>
        <x:v>391815.08856797963</x:v>
      </x:c>
      <x:c r="K491" s="50" t="n">
        <x:f>(K490*(1+Inputs!$B$12))*(1-H491)</x:f>
        <x:v>0</x:v>
      </x:c>
      <x:c r="L491" s="50" t="n">
        <x:f>L490*(1+Inputs!$B$13)+Q491</x:f>
        <x:v>32153.13608404582</x:v>
      </x:c>
      <x:c r="M491" s="50" t="n">
        <x:f>I491+J491+L491</x:f>
        <x:v>763138.3702437179</x:v>
      </x:c>
      <x:c r="N491" s="50" t="n">
        <x:f>F491+P491</x:f>
        <x:v>600</x:v>
      </x:c>
      <x:c r="O491" s="50" t="n">
        <x:f>IF(B491=1,0,O490+F490+P490)</x:f>
        <x:v>7857.142862062483</x:v>
      </x:c>
      <x:c r="P491" s="50" t="n">
        <x:f>MIN(G491,MAX(0,Inputs!$B$20-O491-F491))</x:f>
        <x:v>0</x:v>
      </x:c>
      <x:c r="Q491" s="50" t="n">
        <x:f>(C491-E491-F491)+(G491-P491)</x:f>
        <x:v>0</x:v>
      </x:c>
    </x:row>
    <x:row r="492">
      <x:c r="A492" s="41" t="n">
        <x:f>IF(B492=1,A491+1,A491)</x:f>
        <x:v>2045</x:v>
      </x:c>
      <x:c r="B492" s="41" t="n">
        <x:f>IF(B491=26,1,B491+1)</x:f>
        <x:v>23</x:v>
      </x:c>
      <x:c r="C492" s="48" t="n">
        <x:f>Inputs!$F$21</x:f>
        <x:v>600</x:v>
      </x:c>
      <x:c r="D492" s="50" t="n">
        <x:f>IF(B492=1,0,D491+E491)</x:f>
        <x:v>8000</x:v>
      </x:c>
      <x:c r="E492" s="50" t="n">
        <x:f>MIN(C492,MAX(0,Inputs!$B$7-D492))</x:f>
        <x:v>0</x:v>
      </x:c>
      <x:c r="F492" s="50" t="n">
        <x:f>MIN(C492-E492,MAX(0,Inputs!$B$20-O492))</x:f>
        <x:v>600</x:v>
      </x:c>
      <x:c r="G492" s="50" t="n">
        <x:f>0</x:f>
        <x:v>0</x:v>
      </x:c>
      <x:c r="H492" s="41" t="n">
        <x:f>0</x:f>
        <x:v>0</x:v>
      </x:c>
      <x:c r="I492" s="50" t="n">
        <x:f>(I491*(1+Inputs!$B$12))+E492</x:f>
        <x:v>339807.2111105296</x:v>
      </x:c>
      <x:c r="J492" s="50" t="n">
        <x:f>(J491*(1+Inputs!$B$12))+F492+P492</x:f>
        <x:v>393151.03743002156</x:v>
      </x:c>
      <x:c r="K492" s="50" t="n">
        <x:f>(K491*(1+Inputs!$B$12))*(1-H492)</x:f>
        <x:v>0</x:v>
      </x:c>
      <x:c r="L492" s="50" t="n">
        <x:f>L491*(1+Inputs!$B$13)+Q492</x:f>
        <x:v>32209.392958732493</x:v>
      </x:c>
      <x:c r="M492" s="50" t="n">
        <x:f>I492+J492+L492</x:f>
        <x:v>765167.6414992836</x:v>
      </x:c>
      <x:c r="N492" s="50" t="n">
        <x:f>F492+P492</x:f>
        <x:v>600</x:v>
      </x:c>
      <x:c r="O492" s="50" t="n">
        <x:f>IF(B492=1,0,O491+F491+P491)</x:f>
        <x:v>8457.142862062483</x:v>
      </x:c>
      <x:c r="P492" s="50" t="n">
        <x:f>MIN(G492,MAX(0,Inputs!$B$20-O492-F492))</x:f>
        <x:v>0</x:v>
      </x:c>
      <x:c r="Q492" s="50" t="n">
        <x:f>(C492-E492-F492)+(G492-P492)</x:f>
        <x:v>0</x:v>
      </x:c>
    </x:row>
    <x:row r="493">
      <x:c r="A493" s="41" t="n">
        <x:f>IF(B493=1,A492+1,A492)</x:f>
        <x:v>2045</x:v>
      </x:c>
      <x:c r="B493" s="41" t="n">
        <x:f>IF(B492=26,1,B492+1)</x:f>
        <x:v>24</x:v>
      </x:c>
      <x:c r="C493" s="48" t="n">
        <x:f>Inputs!$F$21</x:f>
        <x:v>600</x:v>
      </x:c>
      <x:c r="D493" s="50" t="n">
        <x:f>IF(B493=1,0,D492+E492)</x:f>
        <x:v>8000</x:v>
      </x:c>
      <x:c r="E493" s="50" t="n">
        <x:f>MIN(C493,MAX(0,Inputs!$B$7-D493))</x:f>
        <x:v>0</x:v>
      </x:c>
      <x:c r="F493" s="50" t="n">
        <x:f>MIN(C493-E493,MAX(0,Inputs!$B$20-O493))</x:f>
        <x:v>600</x:v>
      </x:c>
      <x:c r="G493" s="50" t="n">
        <x:f>0</x:f>
        <x:v>0</x:v>
      </x:c>
      <x:c r="H493" s="41" t="n">
        <x:f>0</x:f>
        <x:v>0</x:v>
      </x:c>
      <x:c r="I493" s="50" t="n">
        <x:f>(I492*(1+Inputs!$B$12))+E493</x:f>
        <x:v>340445.4732337277</x:v>
      </x:c>
      <x:c r="J493" s="50" t="n">
        <x:f>(J492*(1+Inputs!$B$12))+F493+P493</x:f>
        <x:v>394489.49561361194</x:v>
      </x:c>
      <x:c r="K493" s="50" t="n">
        <x:f>(K492*(1+Inputs!$B$12))*(1-H493)</x:f>
        <x:v>0</x:v>
      </x:c>
      <x:c r="L493" s="50" t="n">
        <x:f>L492*(1+Inputs!$B$13)+Q493</x:f>
        <x:v>32265.748263505157</x:v>
      </x:c>
      <x:c r="M493" s="50" t="n">
        <x:f>I493+J493+L493</x:f>
        <x:v>767200.7171108448</x:v>
      </x:c>
      <x:c r="N493" s="50" t="n">
        <x:f>F493+P493</x:f>
        <x:v>600</x:v>
      </x:c>
      <x:c r="O493" s="50" t="n">
        <x:f>IF(B493=1,0,O492+F492+P492)</x:f>
        <x:v>9057.142862062483</x:v>
      </x:c>
      <x:c r="P493" s="50" t="n">
        <x:f>MIN(G493,MAX(0,Inputs!$B$20-O493-F493))</x:f>
        <x:v>0</x:v>
      </x:c>
      <x:c r="Q493" s="50" t="n">
        <x:f>(C493-E493-F493)+(G493-P493)</x:f>
        <x:v>0</x:v>
      </x:c>
    </x:row>
    <x:row r="494">
      <x:c r="A494" s="41" t="n">
        <x:f>IF(B494=1,A493+1,A493)</x:f>
        <x:v>2045</x:v>
      </x:c>
      <x:c r="B494" s="41" t="n">
        <x:f>IF(B493=26,1,B493+1)</x:f>
        <x:v>25</x:v>
      </x:c>
      <x:c r="C494" s="48" t="n">
        <x:f>Inputs!$F$21</x:f>
        <x:v>600</x:v>
      </x:c>
      <x:c r="D494" s="50" t="n">
        <x:f>IF(B494=1,0,D493+E493)</x:f>
        <x:v>8000</x:v>
      </x:c>
      <x:c r="E494" s="50" t="n">
        <x:f>MIN(C494,MAX(0,Inputs!$B$7-D494))</x:f>
        <x:v>0</x:v>
      </x:c>
      <x:c r="F494" s="50" t="n">
        <x:f>MIN(C494-E494,MAX(0,Inputs!$B$20-O494))</x:f>
        <x:v>600</x:v>
      </x:c>
      <x:c r="G494" s="50" t="n">
        <x:f>0</x:f>
        <x:v>0</x:v>
      </x:c>
      <x:c r="H494" s="41" t="n">
        <x:f>0</x:f>
        <x:v>0</x:v>
      </x:c>
      <x:c r="I494" s="50" t="n">
        <x:f>(I493*(1+Inputs!$B$12))+E494</x:f>
        <x:v>341084.93420887645</x:v>
      </x:c>
      <x:c r="J494" s="50" t="n">
        <x:f>(J493*(1+Inputs!$B$12))+F494+P494</x:f>
        <x:v>395830.467832026</x:v>
      </x:c>
      <x:c r="K494" s="50" t="n">
        <x:f>(K493*(1+Inputs!$B$12))*(1-H494)</x:f>
        <x:v>0</x:v>
      </x:c>
      <x:c r="L494" s="50" t="n">
        <x:f>L493*(1+Inputs!$B$13)+Q494</x:f>
        <x:v>32322.202170582437</x:v>
      </x:c>
      <x:c r="M494" s="50" t="n">
        <x:f>I494+J494+L494</x:f>
        <x:v>769237.604211485</x:v>
      </x:c>
      <x:c r="N494" s="50" t="n">
        <x:f>F494+P494</x:f>
        <x:v>600</x:v>
      </x:c>
      <x:c r="O494" s="50" t="n">
        <x:f>IF(B494=1,0,O493+F493+P493)</x:f>
        <x:v>9657.142862062483</x:v>
      </x:c>
      <x:c r="P494" s="50" t="n">
        <x:f>MIN(G494,MAX(0,Inputs!$B$20-O494-F494))</x:f>
        <x:v>0</x:v>
      </x:c>
      <x:c r="Q494" s="50" t="n">
        <x:f>(C494-E494-F494)+(G494-P494)</x:f>
        <x:v>0</x:v>
      </x:c>
    </x:row>
    <x:row r="495">
      <x:c r="A495" s="41" t="n">
        <x:f>IF(B495=1,A494+1,A494)</x:f>
        <x:v>2045</x:v>
      </x:c>
      <x:c r="B495" s="41" t="n">
        <x:f>IF(B494=26,1,B494+1)</x:f>
        <x:v>26</x:v>
      </x:c>
      <x:c r="C495" s="48" t="n">
        <x:f>Inputs!$F$21</x:f>
        <x:v>600</x:v>
      </x:c>
      <x:c r="D495" s="50" t="n">
        <x:f>IF(B495=1,0,D494+E494)</x:f>
        <x:v>8000</x:v>
      </x:c>
      <x:c r="E495" s="50" t="n">
        <x:f>MIN(C495,MAX(0,Inputs!$B$7-D495))</x:f>
        <x:v>0</x:v>
      </x:c>
      <x:c r="F495" s="50" t="n">
        <x:f>MIN(C495-E495,MAX(0,Inputs!$B$20-O495))</x:f>
        <x:v>600</x:v>
      </x:c>
      <x:c r="G495" s="50" t="n">
        <x:f>0</x:f>
        <x:v>0</x:v>
      </x:c>
      <x:c r="H495" s="41" t="n">
        <x:f>IF(A495=Inputs!$B$8,1,0)</x:f>
        <x:v>0</x:v>
      </x:c>
      <x:c r="I495" s="50" t="n">
        <x:f>(I494*(1+Inputs!$B$12))+E495</x:f>
        <x:v>341725.5962877875</x:v>
      </x:c>
      <x:c r="J495" s="50" t="n">
        <x:f>(J494*(1+Inputs!$B$12))+F495+P495</x:f>
        <x:v>397173.95880739193</x:v>
      </x:c>
      <x:c r="K495" s="50" t="n">
        <x:f>(K494*(1+Inputs!$B$12))*(1-H495)</x:f>
        <x:v>0</x:v>
      </x:c>
      <x:c r="L495" s="50" t="n">
        <x:f>L494*(1+Inputs!$B$13)+Q495</x:f>
        <x:v>32378.754852484286</x:v>
      </x:c>
      <x:c r="M495" s="50" t="n">
        <x:f>I495+J495+L495</x:f>
        <x:v>771278.3099476638</x:v>
      </x:c>
      <x:c r="N495" s="50" t="n">
        <x:f>F495+P495</x:f>
        <x:v>600</x:v>
      </x:c>
      <x:c r="O495" s="50" t="n">
        <x:f>IF(B495=1,0,O494+F494+P494)</x:f>
        <x:v>10257.142862062483</x:v>
      </x:c>
      <x:c r="P495" s="50" t="n">
        <x:f>MIN(G495,MAX(0,Inputs!$B$20-O495-F495))</x:f>
        <x:v>0</x:v>
      </x:c>
      <x:c r="Q495" s="50" t="n">
        <x:f>(C495-E495-F495)+(G495-P495)</x:f>
        <x:v>0</x:v>
      </x:c>
    </x:row>
    <x:row r="496">
      <x:c r="A496" s="41" t="n">
        <x:f>IF(B496=1,A495+1,A495)</x:f>
        <x:v>2046</x:v>
      </x:c>
      <x:c r="B496" s="41" t="n">
        <x:f>IF(B495=26,1,B495+1)</x:f>
        <x:v>1</x:v>
      </x:c>
      <x:c r="C496" s="48" t="n">
        <x:f>Inputs!$F$22</x:f>
        <x:v>600</x:v>
      </x:c>
      <x:c r="D496" s="50" t="n">
        <x:f>IF(B496=1,0,D495+E495)</x:f>
        <x:v>0</x:v>
      </x:c>
      <x:c r="E496" s="50" t="n">
        <x:f>MIN(C496,MAX(0,Inputs!$B$7-D496))</x:f>
        <x:v>600</x:v>
      </x:c>
      <x:c r="F496" s="50" t="n">
        <x:f>MIN(C496-E496,MAX(0,Inputs!$B$20-O496))</x:f>
        <x:v>0</x:v>
      </x:c>
      <x:c r="G496" s="50" t="n">
        <x:f>0</x:f>
        <x:v>0</x:v>
      </x:c>
      <x:c r="H496" s="41" t="n">
        <x:f>0</x:f>
        <x:v>0</x:v>
      </x:c>
      <x:c r="I496" s="50" t="n">
        <x:f>(I495*(1+Inputs!$B$12))+E496</x:f>
        <x:v>342967.4617265019</x:v>
      </x:c>
      <x:c r="J496" s="50" t="n">
        <x:f>(J495*(1+Inputs!$B$12))+F496+P496</x:f>
        <x:v>397919.9732707075</x:v>
      </x:c>
      <x:c r="K496" s="50" t="n">
        <x:f>(K495*(1+Inputs!$B$12))*(1-H496)</x:f>
        <x:v>0</x:v>
      </x:c>
      <x:c r="L496" s="50" t="n">
        <x:f>L495*(1+Inputs!$B$13)+Q496</x:f>
        <x:v>32435.406482032504</x:v>
      </x:c>
      <x:c r="M496" s="50" t="n">
        <x:f>I496+J496+L496</x:f>
        <x:v>773322.8414792418</x:v>
      </x:c>
      <x:c r="N496" s="50" t="n">
        <x:f>F496+P496</x:f>
        <x:v>0</x:v>
      </x:c>
      <x:c r="O496" s="50" t="n">
        <x:f>IF(B496=1,0,O495+F495+P495)</x:f>
        <x:v>0</x:v>
      </x:c>
      <x:c r="P496" s="50" t="n">
        <x:f>MIN(G496,MAX(0,Inputs!$B$20-O496-F496))</x:f>
        <x:v>0</x:v>
      </x:c>
      <x:c r="Q496" s="50" t="n">
        <x:f>(C496-E496-F496)+(G496-P496)</x:f>
        <x:v>0</x:v>
      </x:c>
    </x:row>
    <x:row r="497">
      <x:c r="A497" s="41" t="n">
        <x:f>IF(B497=1,A496+1,A496)</x:f>
        <x:v>2046</x:v>
      </x:c>
      <x:c r="B497" s="41" t="n">
        <x:f>IF(B496=26,1,B496+1)</x:f>
        <x:v>2</x:v>
      </x:c>
      <x:c r="C497" s="48" t="n">
        <x:f>Inputs!$F$22</x:f>
        <x:v>600</x:v>
      </x:c>
      <x:c r="D497" s="50" t="n">
        <x:f>IF(B497=1,0,D496+E496)</x:f>
        <x:v>600</x:v>
      </x:c>
      <x:c r="E497" s="50" t="n">
        <x:f>MIN(C497,MAX(0,Inputs!$B$7-D497))</x:f>
        <x:v>600</x:v>
      </x:c>
      <x:c r="F497" s="50" t="n">
        <x:f>MIN(C497-E497,MAX(0,Inputs!$B$20-O497))</x:f>
        <x:v>0</x:v>
      </x:c>
      <x:c r="G497" s="50" t="n">
        <x:f>0</x:f>
        <x:v>0</x:v>
      </x:c>
      <x:c r="H497" s="41" t="n">
        <x:f>0</x:f>
        <x:v>0</x:v>
      </x:c>
      <x:c r="I497" s="50" t="n">
        <x:f>(I496*(1+Inputs!$B$12))+E497</x:f>
        <x:v>344211.6597692509</x:v>
      </x:c>
      <x:c r="J497" s="50" t="n">
        <x:f>(J496*(1+Inputs!$B$12))+F497+P497</x:f>
        <x:v>398667.38897790405</x:v>
      </x:c>
      <x:c r="K497" s="50" t="n">
        <x:f>(K496*(1+Inputs!$B$12))*(1-H497)</x:f>
        <x:v>0</x:v>
      </x:c>
      <x:c r="L497" s="50" t="n">
        <x:f>L496*(1+Inputs!$B$13)+Q497</x:f>
        <x:v>32492.157232351274</x:v>
      </x:c>
      <x:c r="M497" s="50" t="n">
        <x:f>I497+J497+L497</x:f>
        <x:v>775371.2059795061</x:v>
      </x:c>
      <x:c r="N497" s="50" t="n">
        <x:f>F497+P497</x:f>
        <x:v>0</x:v>
      </x:c>
      <x:c r="O497" s="50" t="n">
        <x:f>IF(B497=1,0,O496+F496+P496)</x:f>
        <x:v>0</x:v>
      </x:c>
      <x:c r="P497" s="50" t="n">
        <x:f>MIN(G497,MAX(0,Inputs!$B$20-O497-F497))</x:f>
        <x:v>0</x:v>
      </x:c>
      <x:c r="Q497" s="50" t="n">
        <x:f>(C497-E497-F497)+(G497-P497)</x:f>
        <x:v>0</x:v>
      </x:c>
    </x:row>
    <x:row r="498">
      <x:c r="A498" s="41" t="n">
        <x:f>IF(B498=1,A497+1,A497)</x:f>
        <x:v>2046</x:v>
      </x:c>
      <x:c r="B498" s="41" t="n">
        <x:f>IF(B497=26,1,B497+1)</x:f>
        <x:v>3</x:v>
      </x:c>
      <x:c r="C498" s="48" t="n">
        <x:f>Inputs!$F$22</x:f>
        <x:v>600</x:v>
      </x:c>
      <x:c r="D498" s="50" t="n">
        <x:f>IF(B498=1,0,D497+E497)</x:f>
        <x:v>1200</x:v>
      </x:c>
      <x:c r="E498" s="50" t="n">
        <x:f>MIN(C498,MAX(0,Inputs!$B$7-D498))</x:f>
        <x:v>600</x:v>
      </x:c>
      <x:c r="F498" s="50" t="n">
        <x:f>MIN(C498-E498,MAX(0,Inputs!$B$20-O498))</x:f>
        <x:v>0</x:v>
      </x:c>
      <x:c r="G498" s="50" t="n">
        <x:f>0</x:f>
        <x:v>0</x:v>
      </x:c>
      <x:c r="H498" s="41" t="n">
        <x:f>0</x:f>
        <x:v>0</x:v>
      </x:c>
      <x:c r="I498" s="50" t="n">
        <x:f>(I497*(1+Inputs!$B$12))+E498</x:f>
        <x:v>345458.19479738007</x:v>
      </x:c>
      <x:c r="J498" s="50" t="n">
        <x:f>(J497*(1+Inputs!$B$12))+F498+P498</x:f>
        <x:v>399416.20856094727</x:v>
      </x:c>
      <x:c r="K498" s="50" t="n">
        <x:f>(K497*(1+Inputs!$B$12))*(1-H498)</x:f>
        <x:v>0</x:v>
      </x:c>
      <x:c r="L498" s="50" t="n">
        <x:f>L497*(1+Inputs!$B$13)+Q498</x:f>
        <x:v>32549.007276867684</x:v>
      </x:c>
      <x:c r="M498" s="50" t="n">
        <x:f>I498+J498+L498</x:f>
        <x:v>777423.410635195</x:v>
      </x:c>
      <x:c r="N498" s="50" t="n">
        <x:f>F498+P498</x:f>
        <x:v>0</x:v>
      </x:c>
      <x:c r="O498" s="50" t="n">
        <x:f>IF(B498=1,0,O497+F497+P497)</x:f>
        <x:v>0</x:v>
      </x:c>
      <x:c r="P498" s="50" t="n">
        <x:f>MIN(G498,MAX(0,Inputs!$B$20-O498-F498))</x:f>
        <x:v>0</x:v>
      </x:c>
      <x:c r="Q498" s="50" t="n">
        <x:f>(C498-E498-F498)+(G498-P498)</x:f>
        <x:v>0</x:v>
      </x:c>
    </x:row>
    <x:row r="499">
      <x:c r="A499" s="41" t="n">
        <x:f>IF(B499=1,A498+1,A498)</x:f>
        <x:v>2046</x:v>
      </x:c>
      <x:c r="B499" s="41" t="n">
        <x:f>IF(B498=26,1,B498+1)</x:f>
        <x:v>4</x:v>
      </x:c>
      <x:c r="C499" s="48" t="n">
        <x:f>Inputs!$F$22</x:f>
        <x:v>600</x:v>
      </x:c>
      <x:c r="D499" s="50" t="n">
        <x:f>IF(B499=1,0,D498+E498)</x:f>
        <x:v>1800</x:v>
      </x:c>
      <x:c r="E499" s="50" t="n">
        <x:f>MIN(C499,MAX(0,Inputs!$B$7-D499))</x:f>
        <x:v>600</x:v>
      </x:c>
      <x:c r="F499" s="50" t="n">
        <x:f>MIN(C499-E499,MAX(0,Inputs!$B$20-O499))</x:f>
        <x:v>0</x:v>
      </x:c>
      <x:c r="G499" s="50" t="n">
        <x:f>0</x:f>
        <x:v>0</x:v>
      </x:c>
      <x:c r="H499" s="41" t="n">
        <x:f>0</x:f>
        <x:v>0</x:v>
      </x:c>
      <x:c r="I499" s="50" t="n">
        <x:f>(I498*(1+Inputs!$B$12))+E499</x:f>
        <x:v>346707.07120046444</x:v>
      </x:c>
      <x:c r="J499" s="50" t="n">
        <x:f>(J498*(1+Inputs!$B$12))+F499+P499</x:f>
        <x:v>400166.43465674634</x:v>
      </x:c>
      <x:c r="K499" s="50" t="n">
        <x:f>(K498*(1+Inputs!$B$12))*(1-H499)</x:f>
        <x:v>0</x:v>
      </x:c>
      <x:c r="L499" s="50" t="n">
        <x:f>L498*(1+Inputs!$B$13)+Q499</x:f>
        <x:v>32605.95678931226</x:v>
      </x:c>
      <x:c r="M499" s="50" t="n">
        <x:f>I499+J499+L499</x:f>
        <x:v>779479.4626465231</x:v>
      </x:c>
      <x:c r="N499" s="50" t="n">
        <x:f>F499+P499</x:f>
        <x:v>0</x:v>
      </x:c>
      <x:c r="O499" s="50" t="n">
        <x:f>IF(B499=1,0,O498+F498+P498)</x:f>
        <x:v>0</x:v>
      </x:c>
      <x:c r="P499" s="50" t="n">
        <x:f>MIN(G499,MAX(0,Inputs!$B$20-O499-F499))</x:f>
        <x:v>0</x:v>
      </x:c>
      <x:c r="Q499" s="50" t="n">
        <x:f>(C499-E499-F499)+(G499-P499)</x:f>
        <x:v>0</x:v>
      </x:c>
    </x:row>
    <x:row r="500">
      <x:c r="A500" s="41" t="n">
        <x:f>IF(B500=1,A499+1,A499)</x:f>
        <x:v>2046</x:v>
      </x:c>
      <x:c r="B500" s="41" t="n">
        <x:f>IF(B499=26,1,B499+1)</x:f>
        <x:v>5</x:v>
      </x:c>
      <x:c r="C500" s="48" t="n">
        <x:f>Inputs!$F$22</x:f>
        <x:v>600</x:v>
      </x:c>
      <x:c r="D500" s="50" t="n">
        <x:f>IF(B500=1,0,D499+E499)</x:f>
        <x:v>2400</x:v>
      </x:c>
      <x:c r="E500" s="50" t="n">
        <x:f>MIN(C500,MAX(0,Inputs!$B$7-D500))</x:f>
        <x:v>600</x:v>
      </x:c>
      <x:c r="F500" s="50" t="n">
        <x:f>MIN(C500-E500,MAX(0,Inputs!$B$20-O500))</x:f>
        <x:v>0</x:v>
      </x:c>
      <x:c r="G500" s="50" t="n">
        <x:f>0</x:f>
        <x:v>0</x:v>
      </x:c>
      <x:c r="H500" s="41" t="n">
        <x:f>0</x:f>
        <x:v>0</x:v>
      </x:c>
      <x:c r="I500" s="50" t="n">
        <x:f>(I499*(1+Inputs!$B$12))+E500</x:f>
        <x:v>347958.29337632406</x:v>
      </x:c>
      <x:c r="J500" s="50" t="n">
        <x:f>(J499*(1+Inputs!$B$12))+F500+P500</x:f>
        <x:v>400918.06990716344</x:v>
      </x:c>
      <x:c r="K500" s="50" t="n">
        <x:f>(K499*(1+Inputs!$B$12))*(1-H500)</x:f>
        <x:v>0</x:v>
      </x:c>
      <x:c r="L500" s="50" t="n">
        <x:f>L499*(1+Inputs!$B$13)+Q500</x:f>
        <x:v>32663.00594371949</x:v>
      </x:c>
      <x:c r="M500" s="50" t="n">
        <x:f>I500+J500+L500</x:f>
        <x:v>781539.369227207</x:v>
      </x:c>
      <x:c r="N500" s="50" t="n">
        <x:f>F500+P500</x:f>
        <x:v>0</x:v>
      </x:c>
      <x:c r="O500" s="50" t="n">
        <x:f>IF(B500=1,0,O499+F499+P499)</x:f>
        <x:v>0</x:v>
      </x:c>
      <x:c r="P500" s="50" t="n">
        <x:f>MIN(G500,MAX(0,Inputs!$B$20-O500-F500))</x:f>
        <x:v>0</x:v>
      </x:c>
      <x:c r="Q500" s="50" t="n">
        <x:f>(C500-E500-F500)+(G500-P500)</x:f>
        <x:v>0</x:v>
      </x:c>
    </x:row>
    <x:row r="501">
      <x:c r="A501" s="41" t="n">
        <x:f>IF(B501=1,A500+1,A500)</x:f>
        <x:v>2046</x:v>
      </x:c>
      <x:c r="B501" s="41" t="n">
        <x:f>IF(B500=26,1,B500+1)</x:f>
        <x:v>6</x:v>
      </x:c>
      <x:c r="C501" s="48" t="n">
        <x:f>Inputs!$F$22</x:f>
        <x:v>600</x:v>
      </x:c>
      <x:c r="D501" s="50" t="n">
        <x:f>IF(B501=1,0,D500+E500)</x:f>
        <x:v>3000</x:v>
      </x:c>
      <x:c r="E501" s="50" t="n">
        <x:f>MIN(C501,MAX(0,Inputs!$B$7-D501))</x:f>
        <x:v>600</x:v>
      </x:c>
      <x:c r="F501" s="50" t="n">
        <x:f>MIN(C501-E501,MAX(0,Inputs!$B$20-O501))</x:f>
        <x:v>0</x:v>
      </x:c>
      <x:c r="G501" s="50" t="n">
        <x:f>0</x:f>
        <x:v>0</x:v>
      </x:c>
      <x:c r="H501" s="41" t="n">
        <x:f>0</x:f>
        <x:v>0</x:v>
      </x:c>
      <x:c r="I501" s="50" t="n">
        <x:f>(I500*(1+Inputs!$B$12))+E501</x:f>
        <x:v>349211.8657310394</x:v>
      </x:c>
      <x:c r="J501" s="50" t="n">
        <x:f>(J500*(1+Inputs!$B$12))+F501+P501</x:f>
        <x:v>401671.11695902306</x:v>
      </x:c>
      <x:c r="K501" s="50" t="n">
        <x:f>(K500*(1+Inputs!$B$12))*(1-H501)</x:f>
        <x:v>0</x:v>
      </x:c>
      <x:c r="L501" s="50" t="n">
        <x:f>L500*(1+Inputs!$B$13)+Q501</x:f>
        <x:v>32720.154914428378</x:v>
      </x:c>
      <x:c r="M501" s="50" t="n">
        <x:f>I501+J501+L501</x:f>
        <x:v>783603.1376044907</x:v>
      </x:c>
      <x:c r="N501" s="50" t="n">
        <x:f>F501+P501</x:f>
        <x:v>0</x:v>
      </x:c>
      <x:c r="O501" s="50" t="n">
        <x:f>IF(B501=1,0,O500+F500+P500)</x:f>
        <x:v>0</x:v>
      </x:c>
      <x:c r="P501" s="50" t="n">
        <x:f>MIN(G501,MAX(0,Inputs!$B$20-O501-F501))</x:f>
        <x:v>0</x:v>
      </x:c>
      <x:c r="Q501" s="50" t="n">
        <x:f>(C501-E501-F501)+(G501-P501)</x:f>
        <x:v>0</x:v>
      </x:c>
    </x:row>
    <x:row r="502">
      <x:c r="A502" s="41" t="n">
        <x:f>IF(B502=1,A501+1,A501)</x:f>
        <x:v>2046</x:v>
      </x:c>
      <x:c r="B502" s="41" t="n">
        <x:f>IF(B501=26,1,B501+1)</x:f>
        <x:v>7</x:v>
      </x:c>
      <x:c r="C502" s="48" t="n">
        <x:f>Inputs!$F$22</x:f>
        <x:v>600</x:v>
      </x:c>
      <x:c r="D502" s="50" t="n">
        <x:f>IF(B502=1,0,D501+E501)</x:f>
        <x:v>3600</x:v>
      </x:c>
      <x:c r="E502" s="50" t="n">
        <x:f>MIN(C502,MAX(0,Inputs!$B$7-D502))</x:f>
        <x:v>600</x:v>
      </x:c>
      <x:c r="F502" s="50" t="n">
        <x:f>MIN(C502-E502,MAX(0,Inputs!$B$20-O502))</x:f>
        <x:v>0</x:v>
      </x:c>
      <x:c r="G502" s="50" t="n">
        <x:f>0</x:f>
        <x:v>0</x:v>
      </x:c>
      <x:c r="H502" s="41" t="n">
        <x:f>0</x:f>
        <x:v>0</x:v>
      </x:c>
      <x:c r="I502" s="50" t="n">
        <x:f>(I501*(1+Inputs!$B$12))+E502</x:f>
        <x:v>350467.79267896677</x:v>
      </x:c>
      <x:c r="J502" s="50" t="n">
        <x:f>(J501*(1+Inputs!$B$12))+F502+P502</x:f>
        <x:v>402425.57846412103</x:v>
      </x:c>
      <x:c r="K502" s="50" t="n">
        <x:f>(K501*(1+Inputs!$B$12))*(1-H502)</x:f>
        <x:v>0</x:v>
      </x:c>
      <x:c r="L502" s="50" t="n">
        <x:f>L501*(1+Inputs!$B$13)+Q502</x:f>
        <x:v>32777.40387608294</x:v>
      </x:c>
      <x:c r="M502" s="50" t="n">
        <x:f>I502+J502+L502</x:f>
        <x:v>785670.7750191707</x:v>
      </x:c>
      <x:c r="N502" s="50" t="n">
        <x:f>F502+P502</x:f>
        <x:v>0</x:v>
      </x:c>
      <x:c r="O502" s="50" t="n">
        <x:f>IF(B502=1,0,O501+F501+P501)</x:f>
        <x:v>0</x:v>
      </x:c>
      <x:c r="P502" s="50" t="n">
        <x:f>MIN(G502,MAX(0,Inputs!$B$20-O502-F502))</x:f>
        <x:v>0</x:v>
      </x:c>
      <x:c r="Q502" s="50" t="n">
        <x:f>(C502-E502-F502)+(G502-P502)</x:f>
        <x:v>0</x:v>
      </x:c>
    </x:row>
    <x:row r="503">
      <x:c r="A503" s="41" t="n">
        <x:f>IF(B503=1,A502+1,A502)</x:f>
        <x:v>2046</x:v>
      </x:c>
      <x:c r="B503" s="41" t="n">
        <x:f>IF(B502=26,1,B502+1)</x:f>
        <x:v>8</x:v>
      </x:c>
      <x:c r="C503" s="48" t="n">
        <x:f>Inputs!$F$22</x:f>
        <x:v>600</x:v>
      </x:c>
      <x:c r="D503" s="50" t="n">
        <x:f>IF(B503=1,0,D502+E502)</x:f>
        <x:v>4200</x:v>
      </x:c>
      <x:c r="E503" s="50" t="n">
        <x:f>MIN(C503,MAX(0,Inputs!$B$7-D503))</x:f>
        <x:v>600</x:v>
      </x:c>
      <x:c r="F503" s="50" t="n">
        <x:f>MIN(C503-E503,MAX(0,Inputs!$B$20-O503))</x:f>
        <x:v>0</x:v>
      </x:c>
      <x:c r="G503" s="50" t="n">
        <x:f>0</x:f>
        <x:v>0</x:v>
      </x:c>
      <x:c r="H503" s="41" t="n">
        <x:f>0</x:f>
        <x:v>0</x:v>
      </x:c>
      <x:c r="I503" s="50" t="n">
        <x:f>(I502*(1+Inputs!$B$12))+E503</x:f>
        <x:v>351726.0786427542</x:v>
      </x:c>
      <x:c r="J503" s="50" t="n">
        <x:f>(J502*(1+Inputs!$B$12))+F503+P503</x:f>
        <x:v>403181.45707923424</x:v>
      </x:c>
      <x:c r="K503" s="50" t="n">
        <x:f>(K502*(1+Inputs!$B$12))*(1-H503)</x:f>
        <x:v>0</x:v>
      </x:c>
      <x:c r="L503" s="50" t="n">
        <x:f>L502*(1+Inputs!$B$13)+Q503</x:f>
        <x:v>32834.75300363278</x:v>
      </x:c>
      <x:c r="M503" s="50" t="n">
        <x:f>I503+J503+L503</x:f>
        <x:v>787742.2887256212</x:v>
      </x:c>
      <x:c r="N503" s="50" t="n">
        <x:f>F503+P503</x:f>
        <x:v>0</x:v>
      </x:c>
      <x:c r="O503" s="50" t="n">
        <x:f>IF(B503=1,0,O502+F502+P502)</x:f>
        <x:v>0</x:v>
      </x:c>
      <x:c r="P503" s="50" t="n">
        <x:f>MIN(G503,MAX(0,Inputs!$B$20-O503-F503))</x:f>
        <x:v>0</x:v>
      </x:c>
      <x:c r="Q503" s="50" t="n">
        <x:f>(C503-E503-F503)+(G503-P503)</x:f>
        <x:v>0</x:v>
      </x:c>
    </x:row>
    <x:row r="504">
      <x:c r="A504" s="41" t="n">
        <x:f>IF(B504=1,A503+1,A503)</x:f>
        <x:v>2046</x:v>
      </x:c>
      <x:c r="B504" s="41" t="n">
        <x:f>IF(B503=26,1,B503+1)</x:f>
        <x:v>9</x:v>
      </x:c>
      <x:c r="C504" s="48" t="n">
        <x:f>Inputs!$F$22</x:f>
        <x:v>600</x:v>
      </x:c>
      <x:c r="D504" s="50" t="n">
        <x:f>IF(B504=1,0,D503+E503)</x:f>
        <x:v>4800</x:v>
      </x:c>
      <x:c r="E504" s="50" t="n">
        <x:f>MIN(C504,MAX(0,Inputs!$B$7-D504))</x:f>
        <x:v>600</x:v>
      </x:c>
      <x:c r="F504" s="50" t="n">
        <x:f>MIN(C504-E504,MAX(0,Inputs!$B$20-O504))</x:f>
        <x:v>0</x:v>
      </x:c>
      <x:c r="G504" s="50" t="n">
        <x:f>SUM(N470:N495)*Inputs!$B$6</x:f>
        <x:v>3257.142858618745</x:v>
      </x:c>
      <x:c r="H504" s="41" t="n">
        <x:f>0</x:f>
        <x:v>0</x:v>
      </x:c>
      <x:c r="I504" s="50" t="n">
        <x:f>(I503*(1+Inputs!$B$12))+E504</x:f>
        <x:v>352986.7280533567</x:v>
      </x:c>
      <x:c r="J504" s="50" t="n">
        <x:f>(J503*(1+Inputs!$B$12))+F504+P504</x:f>
        <x:v>407195.89832474856</x:v>
      </x:c>
      <x:c r="K504" s="50" t="n">
        <x:f>(K503*(1+Inputs!$B$12))*(1-H504)</x:f>
        <x:v>0</x:v>
      </x:c>
      <x:c r="L504" s="50" t="n">
        <x:f>L503*(1+Inputs!$B$13)+Q504</x:f>
        <x:v>32892.20247233359</x:v>
      </x:c>
      <x:c r="M504" s="50" t="n">
        <x:f>I504+J504+L504</x:f>
        <x:v>793074.8288504388</x:v>
      </x:c>
      <x:c r="N504" s="50" t="n">
        <x:f>F504+P504</x:f>
        <x:v>3257.142858618745</x:v>
      </x:c>
      <x:c r="O504" s="50" t="n">
        <x:f>IF(B504=1,0,O503+F503+P503)</x:f>
        <x:v>0</x:v>
      </x:c>
      <x:c r="P504" s="50" t="n">
        <x:f>MIN(G504,MAX(0,Inputs!$B$20-O504-F504))</x:f>
        <x:v>3257.142858618745</x:v>
      </x:c>
      <x:c r="Q504" s="50" t="n">
        <x:f>(C504-E504-F504)+(G504-P504)</x:f>
        <x:v>0</x:v>
      </x:c>
    </x:row>
    <x:row r="505">
      <x:c r="A505" s="41" t="n">
        <x:f>IF(B505=1,A504+1,A504)</x:f>
        <x:v>2046</x:v>
      </x:c>
      <x:c r="B505" s="41" t="n">
        <x:f>IF(B504=26,1,B504+1)</x:f>
        <x:v>10</x:v>
      </x:c>
      <x:c r="C505" s="48" t="n">
        <x:f>Inputs!$F$22</x:f>
        <x:v>600</x:v>
      </x:c>
      <x:c r="D505" s="50" t="n">
        <x:f>IF(B505=1,0,D504+E504)</x:f>
        <x:v>5400</x:v>
      </x:c>
      <x:c r="E505" s="50" t="n">
        <x:f>MIN(C505,MAX(0,Inputs!$B$7-D505))</x:f>
        <x:v>600</x:v>
      </x:c>
      <x:c r="F505" s="50" t="n">
        <x:f>MIN(C505-E505,MAX(0,Inputs!$B$20-O505))</x:f>
        <x:v>0</x:v>
      </x:c>
      <x:c r="G505" s="50" t="n">
        <x:f>0</x:f>
        <x:v>0</x:v>
      </x:c>
      <x:c r="H505" s="41" t="n">
        <x:f>0</x:f>
        <x:v>0</x:v>
      </x:c>
      <x:c r="I505" s="50" t="n">
        <x:f>(I504*(1+Inputs!$B$12))+E505</x:f>
        <x:v>354249.74535005196</x:v>
      </x:c>
      <x:c r="J505" s="50" t="n">
        <x:f>(J504*(1+Inputs!$B$12))+F505+P505</x:f>
        <x:v>407960.73706308176</x:v>
      </x:c>
      <x:c r="K505" s="50" t="n">
        <x:f>(K504*(1+Inputs!$B$12))*(1-H505)</x:f>
        <x:v>0</x:v>
      </x:c>
      <x:c r="L505" s="50" t="n">
        <x:f>L504*(1+Inputs!$B$13)+Q505</x:f>
        <x:v>32949.75245774771</x:v>
      </x:c>
      <x:c r="M505" s="50" t="n">
        <x:f>I505+J505+L505</x:f>
        <x:v>795160.2348708814</x:v>
      </x:c>
      <x:c r="N505" s="50" t="n">
        <x:f>F505+P505</x:f>
        <x:v>0</x:v>
      </x:c>
      <x:c r="O505" s="50" t="n">
        <x:f>IF(B505=1,0,O504+F504+P504)</x:f>
        <x:v>3257.142858618745</x:v>
      </x:c>
      <x:c r="P505" s="50" t="n">
        <x:f>MIN(G505,MAX(0,Inputs!$B$20-O505-F505))</x:f>
        <x:v>0</x:v>
      </x:c>
      <x:c r="Q505" s="50" t="n">
        <x:f>(C505-E505-F505)+(G505-P505)</x:f>
        <x:v>0</x:v>
      </x:c>
    </x:row>
    <x:row r="506">
      <x:c r="A506" s="41" t="n">
        <x:f>IF(B506=1,A505+1,A505)</x:f>
        <x:v>2046</x:v>
      </x:c>
      <x:c r="B506" s="41" t="n">
        <x:f>IF(B505=26,1,B505+1)</x:f>
        <x:v>11</x:v>
      </x:c>
      <x:c r="C506" s="48" t="n">
        <x:f>Inputs!$F$22</x:f>
        <x:v>600</x:v>
      </x:c>
      <x:c r="D506" s="50" t="n">
        <x:f>IF(B506=1,0,D505+E505)</x:f>
        <x:v>6000</x:v>
      </x:c>
      <x:c r="E506" s="50" t="n">
        <x:f>MIN(C506,MAX(0,Inputs!$B$7-D506))</x:f>
        <x:v>600</x:v>
      </x:c>
      <x:c r="F506" s="50" t="n">
        <x:f>MIN(C506-E506,MAX(0,Inputs!$B$20-O506))</x:f>
        <x:v>0</x:v>
      </x:c>
      <x:c r="G506" s="50" t="n">
        <x:f>0</x:f>
        <x:v>0</x:v>
      </x:c>
      <x:c r="H506" s="41" t="n">
        <x:f>0</x:f>
        <x:v>0</x:v>
      </x:c>
      <x:c r="I506" s="50" t="n">
        <x:f>(I505*(1+Inputs!$B$12))+E506</x:f>
        <x:v>355515.1349804561</x:v>
      </x:c>
      <x:c r="J506" s="50" t="n">
        <x:f>(J505*(1+Inputs!$B$12))+F506+P506</x:f>
        <x:v>408727.01240305573</x:v>
      </x:c>
      <x:c r="K506" s="50" t="n">
        <x:f>(K505*(1+Inputs!$B$12))*(1-H506)</x:f>
        <x:v>0</x:v>
      </x:c>
      <x:c r="L506" s="50" t="n">
        <x:f>L505*(1+Inputs!$B$13)+Q506</x:f>
        <x:v>33007.40313574463</x:v>
      </x:c>
      <x:c r="M506" s="50" t="n">
        <x:f>I506+J506+L506</x:f>
        <x:v>797249.5505192564</x:v>
      </x:c>
      <x:c r="N506" s="50" t="n">
        <x:f>F506+P506</x:f>
        <x:v>0</x:v>
      </x:c>
      <x:c r="O506" s="50" t="n">
        <x:f>IF(B506=1,0,O505+F505+P505)</x:f>
        <x:v>3257.142858618745</x:v>
      </x:c>
      <x:c r="P506" s="50" t="n">
        <x:f>MIN(G506,MAX(0,Inputs!$B$20-O506-F506))</x:f>
        <x:v>0</x:v>
      </x:c>
      <x:c r="Q506" s="50" t="n">
        <x:f>(C506-E506-F506)+(G506-P506)</x:f>
        <x:v>0</x:v>
      </x:c>
    </x:row>
    <x:row r="507">
      <x:c r="A507" s="41" t="n">
        <x:f>IF(B507=1,A506+1,A506)</x:f>
        <x:v>2046</x:v>
      </x:c>
      <x:c r="B507" s="41" t="n">
        <x:f>IF(B506=26,1,B506+1)</x:f>
        <x:v>12</x:v>
      </x:c>
      <x:c r="C507" s="48" t="n">
        <x:f>Inputs!$F$22</x:f>
        <x:v>600</x:v>
      </x:c>
      <x:c r="D507" s="50" t="n">
        <x:f>IF(B507=1,0,D506+E506)</x:f>
        <x:v>6600</x:v>
      </x:c>
      <x:c r="E507" s="50" t="n">
        <x:f>MIN(C507,MAX(0,Inputs!$B$7-D507))</x:f>
        <x:v>600</x:v>
      </x:c>
      <x:c r="F507" s="50" t="n">
        <x:f>MIN(C507-E507,MAX(0,Inputs!$B$20-O507))</x:f>
        <x:v>0</x:v>
      </x:c>
      <x:c r="G507" s="50" t="n">
        <x:f>0</x:f>
        <x:v>0</x:v>
      </x:c>
      <x:c r="H507" s="41" t="n">
        <x:f>0</x:f>
        <x:v>0</x:v>
      </x:c>
      <x:c r="I507" s="50" t="n">
        <x:f>(I506*(1+Inputs!$B$12))+E507</x:f>
        <x:v>356782.9014005391</x:v>
      </x:c>
      <x:c r="J507" s="50" t="n">
        <x:f>(J506*(1+Inputs!$B$12))+F507+P507</x:f>
        <x:v>409494.7270430488</x:v>
      </x:c>
      <x:c r="K507" s="50" t="n">
        <x:f>(K506*(1+Inputs!$B$12))*(1-H507)</x:f>
        <x:v>0</x:v>
      </x:c>
      <x:c r="L507" s="50" t="n">
        <x:f>L506*(1+Inputs!$B$13)+Q507</x:f>
        <x:v>33065.154682501576</x:v>
      </x:c>
      <x:c r="M507" s="50" t="n">
        <x:f>I507+J507+L507</x:f>
        <x:v>799342.7831260895</x:v>
      </x:c>
      <x:c r="N507" s="50" t="n">
        <x:f>F507+P507</x:f>
        <x:v>0</x:v>
      </x:c>
      <x:c r="O507" s="50" t="n">
        <x:f>IF(B507=1,0,O506+F506+P506)</x:f>
        <x:v>3257.142858618745</x:v>
      </x:c>
      <x:c r="P507" s="50" t="n">
        <x:f>MIN(G507,MAX(0,Inputs!$B$20-O507-F507))</x:f>
        <x:v>0</x:v>
      </x:c>
      <x:c r="Q507" s="50" t="n">
        <x:f>(C507-E507-F507)+(G507-P507)</x:f>
        <x:v>0</x:v>
      </x:c>
    </x:row>
    <x:row r="508">
      <x:c r="A508" s="41" t="n">
        <x:f>IF(B508=1,A507+1,A507)</x:f>
        <x:v>2046</x:v>
      </x:c>
      <x:c r="B508" s="41" t="n">
        <x:f>IF(B507=26,1,B507+1)</x:f>
        <x:v>13</x:v>
      </x:c>
      <x:c r="C508" s="48" t="n">
        <x:f>Inputs!$F$22</x:f>
        <x:v>600</x:v>
      </x:c>
      <x:c r="D508" s="50" t="n">
        <x:f>IF(B508=1,0,D507+E507)</x:f>
        <x:v>7200</x:v>
      </x:c>
      <x:c r="E508" s="50" t="n">
        <x:f>MIN(C508,MAX(0,Inputs!$B$7-D508))</x:f>
        <x:v>600</x:v>
      </x:c>
      <x:c r="F508" s="50" t="n">
        <x:f>MIN(C508-E508,MAX(0,Inputs!$B$20-O508))</x:f>
        <x:v>0</x:v>
      </x:c>
      <x:c r="G508" s="50" t="n">
        <x:f>0</x:f>
        <x:v>0</x:v>
      </x:c>
      <x:c r="H508" s="41" t="n">
        <x:f>0</x:f>
        <x:v>0</x:v>
      </x:c>
      <x:c r="I508" s="50" t="n">
        <x:f>(I507*(1+Inputs!$B$12))+E508</x:f>
        <x:v>358053.0490746407</x:v>
      </x:c>
      <x:c r="J508" s="50" t="n">
        <x:f>(J507*(1+Inputs!$B$12))+F508+P508</x:f>
        <x:v>410263.8836865077</x:v>
      </x:c>
      <x:c r="K508" s="50" t="n">
        <x:f>(K507*(1+Inputs!$B$12))*(1-H508)</x:f>
        <x:v>0</x:v>
      </x:c>
      <x:c r="L508" s="50" t="n">
        <x:f>L507*(1+Inputs!$B$13)+Q508</x:f>
        <x:v>33123.00727450401</x:v>
      </x:c>
      <x:c r="M508" s="50" t="n">
        <x:f>I508+J508+L508</x:f>
        <x:v>801439.9400356524</x:v>
      </x:c>
      <x:c r="N508" s="50" t="n">
        <x:f>F508+P508</x:f>
        <x:v>0</x:v>
      </x:c>
      <x:c r="O508" s="50" t="n">
        <x:f>IF(B508=1,0,O507+F507+P507)</x:f>
        <x:v>3257.142858618745</x:v>
      </x:c>
      <x:c r="P508" s="50" t="n">
        <x:f>MIN(G508,MAX(0,Inputs!$B$20-O508-F508))</x:f>
        <x:v>0</x:v>
      </x:c>
      <x:c r="Q508" s="50" t="n">
        <x:f>(C508-E508-F508)+(G508-P508)</x:f>
        <x:v>0</x:v>
      </x:c>
    </x:row>
    <x:row r="509">
      <x:c r="A509" s="41" t="n">
        <x:f>IF(B509=1,A508+1,A508)</x:f>
        <x:v>2046</x:v>
      </x:c>
      <x:c r="B509" s="41" t="n">
        <x:f>IF(B508=26,1,B508+1)</x:f>
        <x:v>14</x:v>
      </x:c>
      <x:c r="C509" s="48" t="n">
        <x:f>Inputs!$F$22</x:f>
        <x:v>600</x:v>
      </x:c>
      <x:c r="D509" s="50" t="n">
        <x:f>IF(B509=1,0,D508+E508)</x:f>
        <x:v>7800</x:v>
      </x:c>
      <x:c r="E509" s="50" t="n">
        <x:f>MIN(C509,MAX(0,Inputs!$B$7-D509))</x:f>
        <x:v>200</x:v>
      </x:c>
      <x:c r="F509" s="50" t="n">
        <x:f>MIN(C509-E509,MAX(0,Inputs!$B$20-O509))</x:f>
        <x:v>400</x:v>
      </x:c>
      <x:c r="G509" s="50" t="n">
        <x:f>0</x:f>
        <x:v>0</x:v>
      </x:c>
      <x:c r="H509" s="41" t="n">
        <x:f>0</x:f>
        <x:v>0</x:v>
      </x:c>
      <x:c r="I509" s="50" t="n">
        <x:f>(I508*(1+Inputs!$B$12))+E509</x:f>
        <x:v>358925.582475486</x:v>
      </x:c>
      <x:c r="J509" s="50" t="n">
        <x:f>(J508*(1+Inputs!$B$12))+F509+P509</x:f>
        <x:v>411434.48504195706</x:v>
      </x:c>
      <x:c r="K509" s="50" t="n">
        <x:f>(K508*(1+Inputs!$B$12))*(1-H509)</x:f>
        <x:v>0</x:v>
      </x:c>
      <x:c r="L509" s="50" t="n">
        <x:f>L508*(1+Inputs!$B$13)+Q509</x:f>
        <x:v>33180.96108854619</x:v>
      </x:c>
      <x:c r="M509" s="50" t="n">
        <x:f>I509+J509+L509</x:f>
        <x:v>803541.0286059893</x:v>
      </x:c>
      <x:c r="N509" s="50" t="n">
        <x:f>F509+P509</x:f>
        <x:v>400</x:v>
      </x:c>
      <x:c r="O509" s="50" t="n">
        <x:f>IF(B509=1,0,O508+F508+P508)</x:f>
        <x:v>3257.142858618745</x:v>
      </x:c>
      <x:c r="P509" s="50" t="n">
        <x:f>MIN(G509,MAX(0,Inputs!$B$20-O509-F509))</x:f>
        <x:v>0</x:v>
      </x:c>
      <x:c r="Q509" s="50" t="n">
        <x:f>(C509-E509-F509)+(G509-P509)</x:f>
        <x:v>0</x:v>
      </x:c>
    </x:row>
    <x:row r="510">
      <x:c r="A510" s="41" t="n">
        <x:f>IF(B510=1,A509+1,A509)</x:f>
        <x:v>2046</x:v>
      </x:c>
      <x:c r="B510" s="41" t="n">
        <x:f>IF(B509=26,1,B509+1)</x:f>
        <x:v>15</x:v>
      </x:c>
      <x:c r="C510" s="48" t="n">
        <x:f>Inputs!$F$22</x:f>
        <x:v>600</x:v>
      </x:c>
      <x:c r="D510" s="50" t="n">
        <x:f>IF(B510=1,0,D509+E509)</x:f>
        <x:v>8000</x:v>
      </x:c>
      <x:c r="E510" s="50" t="n">
        <x:f>MIN(C510,MAX(0,Inputs!$B$7-D510))</x:f>
        <x:v>0</x:v>
      </x:c>
      <x:c r="F510" s="50" t="n">
        <x:f>MIN(C510-E510,MAX(0,Inputs!$B$20-O510))</x:f>
        <x:v>600</x:v>
      </x:c>
      <x:c r="G510" s="50" t="n">
        <x:f>0</x:f>
        <x:v>0</x:v>
      </x:c>
      <x:c r="H510" s="41" t="n">
        <x:f>0</x:f>
        <x:v>0</x:v>
      </x:c>
      <x:c r="I510" s="50" t="n">
        <x:f>(I509*(1+Inputs!$B$12))+E510</x:f>
        <x:v>359599.7547615661</x:v>
      </x:c>
      <x:c r="J510" s="50" t="n">
        <x:f>(J509*(1+Inputs!$B$12))+F510+P510</x:f>
        <x:v>412807.285145644</x:v>
      </x:c>
      <x:c r="K510" s="50" t="n">
        <x:f>(K509*(1+Inputs!$B$12))*(1-H510)</x:f>
        <x:v>0</x:v>
      </x:c>
      <x:c r="L510" s="50" t="n">
        <x:f>L509*(1+Inputs!$B$13)+Q510</x:f>
        <x:v>33239.016301731695</x:v>
      </x:c>
      <x:c r="M510" s="50" t="n">
        <x:f>I510+J510+L510</x:f>
        <x:v>805646.0562089417</x:v>
      </x:c>
      <x:c r="N510" s="50" t="n">
        <x:f>F510+P510</x:f>
        <x:v>600</x:v>
      </x:c>
      <x:c r="O510" s="50" t="n">
        <x:f>IF(B510=1,0,O509+F509+P509)</x:f>
        <x:v>3657.142858618745</x:v>
      </x:c>
      <x:c r="P510" s="50" t="n">
        <x:f>MIN(G510,MAX(0,Inputs!$B$20-O510-F510))</x:f>
        <x:v>0</x:v>
      </x:c>
      <x:c r="Q510" s="50" t="n">
        <x:f>(C510-E510-F510)+(G510-P510)</x:f>
        <x:v>0</x:v>
      </x:c>
    </x:row>
    <x:row r="511">
      <x:c r="A511" s="41" t="n">
        <x:f>IF(B511=1,A510+1,A510)</x:f>
        <x:v>2046</x:v>
      </x:c>
      <x:c r="B511" s="41" t="n">
        <x:f>IF(B510=26,1,B510+1)</x:f>
        <x:v>16</x:v>
      </x:c>
      <x:c r="C511" s="48" t="n">
        <x:f>Inputs!$F$22</x:f>
        <x:v>600</x:v>
      </x:c>
      <x:c r="D511" s="50" t="n">
        <x:f>IF(B511=1,0,D510+E510)</x:f>
        <x:v>8000</x:v>
      </x:c>
      <x:c r="E511" s="50" t="n">
        <x:f>MIN(C511,MAX(0,Inputs!$B$7-D511))</x:f>
        <x:v>0</x:v>
      </x:c>
      <x:c r="F511" s="50" t="n">
        <x:f>MIN(C511-E511,MAX(0,Inputs!$B$20-O511))</x:f>
        <x:v>600</x:v>
      </x:c>
      <x:c r="G511" s="50" t="n">
        <x:f>0</x:f>
        <x:v>0</x:v>
      </x:c>
      <x:c r="H511" s="41" t="n">
        <x:f>0</x:f>
        <x:v>0</x:v>
      </x:c>
      <x:c r="I511" s="50" t="n">
        <x:f>(I510*(1+Inputs!$B$12))+E511</x:f>
        <x:v>360275.1933498925</x:v>
      </x:c>
      <x:c r="J511" s="50" t="n">
        <x:f>(J510*(1+Inputs!$B$12))+F511+P511</x:f>
        <x:v>414182.6637888093</x:v>
      </x:c>
      <x:c r="K511" s="50" t="n">
        <x:f>(K510*(1+Inputs!$B$12))*(1-H511)</x:f>
        <x:v>0</x:v>
      </x:c>
      <x:c r="L511" s="50" t="n">
        <x:f>L510*(1+Inputs!$B$13)+Q511</x:f>
        <x:v>33297.17309147398</x:v>
      </x:c>
      <x:c r="M511" s="50" t="n">
        <x:f>I511+J511+L511</x:f>
        <x:v>807755.0302301758</x:v>
      </x:c>
      <x:c r="N511" s="50" t="n">
        <x:f>F511+P511</x:f>
        <x:v>600</x:v>
      </x:c>
      <x:c r="O511" s="50" t="n">
        <x:f>IF(B511=1,0,O510+F510+P510)</x:f>
        <x:v>4257.142858618745</x:v>
      </x:c>
      <x:c r="P511" s="50" t="n">
        <x:f>MIN(G511,MAX(0,Inputs!$B$20-O511-F511))</x:f>
        <x:v>0</x:v>
      </x:c>
      <x:c r="Q511" s="50" t="n">
        <x:f>(C511-E511-F511)+(G511-P511)</x:f>
        <x:v>0</x:v>
      </x:c>
    </x:row>
    <x:row r="512">
      <x:c r="A512" s="41" t="n">
        <x:f>IF(B512=1,A511+1,A511)</x:f>
        <x:v>2046</x:v>
      </x:c>
      <x:c r="B512" s="41" t="n">
        <x:f>IF(B511=26,1,B511+1)</x:f>
        <x:v>17</x:v>
      </x:c>
      <x:c r="C512" s="48" t="n">
        <x:f>Inputs!$F$22</x:f>
        <x:v>600</x:v>
      </x:c>
      <x:c r="D512" s="50" t="n">
        <x:f>IF(B512=1,0,D511+E511)</x:f>
        <x:v>8000</x:v>
      </x:c>
      <x:c r="E512" s="50" t="n">
        <x:f>MIN(C512,MAX(0,Inputs!$B$7-D512))</x:f>
        <x:v>0</x:v>
      </x:c>
      <x:c r="F512" s="50" t="n">
        <x:f>MIN(C512-E512,MAX(0,Inputs!$B$20-O512))</x:f>
        <x:v>600</x:v>
      </x:c>
      <x:c r="G512" s="50" t="n">
        <x:f>0</x:f>
        <x:v>0</x:v>
      </x:c>
      <x:c r="H512" s="41" t="n">
        <x:f>0</x:f>
        <x:v>0</x:v>
      </x:c>
      <x:c r="I512" s="50" t="n">
        <x:f>(I511*(1+Inputs!$B$12))+E512</x:f>
        <x:v>360951.90061896894</x:v>
      </x:c>
      <x:c r="J512" s="50" t="n">
        <x:f>(J511*(1+Inputs!$B$12))+F512+P512</x:f>
        <x:v>415560.6258147408</x:v>
      </x:c>
      <x:c r="K512" s="50" t="n">
        <x:f>(K511*(1+Inputs!$B$12))*(1-H512)</x:f>
        <x:v>0</x:v>
      </x:c>
      <x:c r="L512" s="50" t="n">
        <x:f>L511*(1+Inputs!$B$13)+Q512</x:f>
        <x:v>33355.43163549691</x:v>
      </x:c>
      <x:c r="M512" s="50" t="n">
        <x:f>I512+J512+L512</x:f>
        <x:v>809867.9580692067</x:v>
      </x:c>
      <x:c r="N512" s="50" t="n">
        <x:f>F512+P512</x:f>
        <x:v>600</x:v>
      </x:c>
      <x:c r="O512" s="50" t="n">
        <x:f>IF(B512=1,0,O511+F511+P511)</x:f>
        <x:v>4857.142858618745</x:v>
      </x:c>
      <x:c r="P512" s="50" t="n">
        <x:f>MIN(G512,MAX(0,Inputs!$B$20-O512-F512))</x:f>
        <x:v>0</x:v>
      </x:c>
      <x:c r="Q512" s="50" t="n">
        <x:f>(C512-E512-F512)+(G512-P512)</x:f>
        <x:v>0</x:v>
      </x:c>
    </x:row>
    <x:row r="513">
      <x:c r="A513" s="41" t="n">
        <x:f>IF(B513=1,A512+1,A512)</x:f>
        <x:v>2046</x:v>
      </x:c>
      <x:c r="B513" s="41" t="n">
        <x:f>IF(B512=26,1,B512+1)</x:f>
        <x:v>18</x:v>
      </x:c>
      <x:c r="C513" s="48" t="n">
        <x:f>Inputs!$F$22</x:f>
        <x:v>600</x:v>
      </x:c>
      <x:c r="D513" s="50" t="n">
        <x:f>IF(B513=1,0,D512+E512)</x:f>
        <x:v>8000</x:v>
      </x:c>
      <x:c r="E513" s="50" t="n">
        <x:f>MIN(C513,MAX(0,Inputs!$B$7-D513))</x:f>
        <x:v>0</x:v>
      </x:c>
      <x:c r="F513" s="50" t="n">
        <x:f>MIN(C513-E513,MAX(0,Inputs!$B$20-O513))</x:f>
        <x:v>600</x:v>
      </x:c>
      <x:c r="G513" s="50" t="n">
        <x:f>0</x:f>
        <x:v>0</x:v>
      </x:c>
      <x:c r="H513" s="41" t="n">
        <x:f>0</x:f>
        <x:v>0</x:v>
      </x:c>
      <x:c r="I513" s="50" t="n">
        <x:f>(I512*(1+Inputs!$B$12))+E513</x:f>
        <x:v>361629.8789517669</x:v>
      </x:c>
      <x:c r="J513" s="50" t="n">
        <x:f>(J512*(1+Inputs!$B$12))+F513+P513</x:f>
        <x:v>416941.17607582326</x:v>
      </x:c>
      <x:c r="K513" s="50" t="n">
        <x:f>(K512*(1+Inputs!$B$12))*(1-H513)</x:f>
        <x:v>0</x:v>
      </x:c>
      <x:c r="L513" s="50" t="n">
        <x:f>L512*(1+Inputs!$B$13)+Q513</x:f>
        <x:v>33413.792111835304</x:v>
      </x:c>
      <x:c r="M513" s="50" t="n">
        <x:f>I513+J513+L513</x:f>
        <x:v>811984.8471394255</x:v>
      </x:c>
      <x:c r="N513" s="50" t="n">
        <x:f>F513+P513</x:f>
        <x:v>600</x:v>
      </x:c>
      <x:c r="O513" s="50" t="n">
        <x:f>IF(B513=1,0,O512+F512+P512)</x:f>
        <x:v>5457.142858618745</x:v>
      </x:c>
      <x:c r="P513" s="50" t="n">
        <x:f>MIN(G513,MAX(0,Inputs!$B$20-O513-F513))</x:f>
        <x:v>0</x:v>
      </x:c>
      <x:c r="Q513" s="50" t="n">
        <x:f>(C513-E513-F513)+(G513-P513)</x:f>
        <x:v>0</x:v>
      </x:c>
    </x:row>
    <x:row r="514">
      <x:c r="A514" s="41" t="n">
        <x:f>IF(B514=1,A513+1,A513)</x:f>
        <x:v>2046</x:v>
      </x:c>
      <x:c r="B514" s="41" t="n">
        <x:f>IF(B513=26,1,B513+1)</x:f>
        <x:v>19</x:v>
      </x:c>
      <x:c r="C514" s="48" t="n">
        <x:f>Inputs!$F$22</x:f>
        <x:v>600</x:v>
      </x:c>
      <x:c r="D514" s="50" t="n">
        <x:f>IF(B514=1,0,D513+E513)</x:f>
        <x:v>8000</x:v>
      </x:c>
      <x:c r="E514" s="50" t="n">
        <x:f>MIN(C514,MAX(0,Inputs!$B$7-D514))</x:f>
        <x:v>0</x:v>
      </x:c>
      <x:c r="F514" s="50" t="n">
        <x:f>MIN(C514-E514,MAX(0,Inputs!$B$20-O514))</x:f>
        <x:v>600</x:v>
      </x:c>
      <x:c r="G514" s="50" t="n">
        <x:f>0</x:f>
        <x:v>0</x:v>
      </x:c>
      <x:c r="H514" s="41" t="n">
        <x:f>0</x:f>
        <x:v>0</x:v>
      </x:c>
      <x:c r="I514" s="50" t="n">
        <x:f>(I513*(1+Inputs!$B$12))+E514</x:f>
        <x:v>362309.13073573366</x:v>
      </x:c>
      <x:c r="J514" s="50" t="n">
        <x:f>(J513*(1+Inputs!$B$12))+F514+P514</x:f>
        <x:v>418324.3194335558</x:v>
      </x:c>
      <x:c r="K514" s="50" t="n">
        <x:f>(K513*(1+Inputs!$B$12))*(1-H514)</x:f>
        <x:v>0</x:v>
      </x:c>
      <x:c r="L514" s="50" t="n">
        <x:f>L513*(1+Inputs!$B$13)+Q514</x:f>
        <x:v>33472.25469883548</x:v>
      </x:c>
      <x:c r="M514" s="50" t="n">
        <x:f>I514+J514+L514</x:f>
        <x:v>814105.7048681249</x:v>
      </x:c>
      <x:c r="N514" s="50" t="n">
        <x:f>F514+P514</x:f>
        <x:v>600</x:v>
      </x:c>
      <x:c r="O514" s="50" t="n">
        <x:f>IF(B514=1,0,O513+F513+P513)</x:f>
        <x:v>6057.142858618745</x:v>
      </x:c>
      <x:c r="P514" s="50" t="n">
        <x:f>MIN(G514,MAX(0,Inputs!$B$20-O514-F514))</x:f>
        <x:v>0</x:v>
      </x:c>
      <x:c r="Q514" s="50" t="n">
        <x:f>(C514-E514-F514)+(G514-P514)</x:f>
        <x:v>0</x:v>
      </x:c>
    </x:row>
    <x:row r="515">
      <x:c r="A515" s="41" t="n">
        <x:f>IF(B515=1,A514+1,A514)</x:f>
        <x:v>2046</x:v>
      </x:c>
      <x:c r="B515" s="41" t="n">
        <x:f>IF(B514=26,1,B514+1)</x:f>
        <x:v>20</x:v>
      </x:c>
      <x:c r="C515" s="48" t="n">
        <x:f>Inputs!$F$22</x:f>
        <x:v>600</x:v>
      </x:c>
      <x:c r="D515" s="50" t="n">
        <x:f>IF(B515=1,0,D514+E514)</x:f>
        <x:v>8000</x:v>
      </x:c>
      <x:c r="E515" s="50" t="n">
        <x:f>MIN(C515,MAX(0,Inputs!$B$7-D515))</x:f>
        <x:v>0</x:v>
      </x:c>
      <x:c r="F515" s="50" t="n">
        <x:f>MIN(C515-E515,MAX(0,Inputs!$B$20-O515))</x:f>
        <x:v>600</x:v>
      </x:c>
      <x:c r="G515" s="50" t="n">
        <x:f>0</x:f>
        <x:v>0</x:v>
      </x:c>
      <x:c r="H515" s="41" t="n">
        <x:f>0</x:f>
        <x:v>0</x:v>
      </x:c>
      <x:c r="I515" s="50" t="n">
        <x:f>(I514*(1+Inputs!$B$12))+E515</x:f>
        <x:v>362989.658362801</x:v>
      </x:c>
      <x:c r="J515" s="50" t="n">
        <x:f>(J514*(1+Inputs!$B$12))+F515+P515</x:f>
        <x:v>419710.06075856904</x:v>
      </x:c>
      <x:c r="K515" s="50" t="n">
        <x:f>(K514*(1+Inputs!$B$12))*(1-H515)</x:f>
        <x:v>0</x:v>
      </x:c>
      <x:c r="L515" s="50" t="n">
        <x:f>L514*(1+Inputs!$B$13)+Q515</x:f>
        <x:v>33530.81957515581</x:v>
      </x:c>
      <x:c r="M515" s="50" t="n">
        <x:f>I515+J515+L515</x:f>
        <x:v>816230.5386965259</x:v>
      </x:c>
      <x:c r="N515" s="50" t="n">
        <x:f>F515+P515</x:f>
        <x:v>600</x:v>
      </x:c>
      <x:c r="O515" s="50" t="n">
        <x:f>IF(B515=1,0,O514+F514+P514)</x:f>
        <x:v>6657.142858618745</x:v>
      </x:c>
      <x:c r="P515" s="50" t="n">
        <x:f>MIN(G515,MAX(0,Inputs!$B$20-O515-F515))</x:f>
        <x:v>0</x:v>
      </x:c>
      <x:c r="Q515" s="50" t="n">
        <x:f>(C515-E515-F515)+(G515-P515)</x:f>
        <x:v>0</x:v>
      </x:c>
    </x:row>
    <x:row r="516">
      <x:c r="A516" s="41" t="n">
        <x:f>IF(B516=1,A515+1,A515)</x:f>
        <x:v>2046</x:v>
      </x:c>
      <x:c r="B516" s="41" t="n">
        <x:f>IF(B515=26,1,B515+1)</x:f>
        <x:v>21</x:v>
      </x:c>
      <x:c r="C516" s="48" t="n">
        <x:f>Inputs!$F$22</x:f>
        <x:v>600</x:v>
      </x:c>
      <x:c r="D516" s="50" t="n">
        <x:f>IF(B516=1,0,D515+E515)</x:f>
        <x:v>8000</x:v>
      </x:c>
      <x:c r="E516" s="50" t="n">
        <x:f>MIN(C516,MAX(0,Inputs!$B$7-D516))</x:f>
        <x:v>0</x:v>
      </x:c>
      <x:c r="F516" s="50" t="n">
        <x:f>MIN(C516-E516,MAX(0,Inputs!$B$20-O516))</x:f>
        <x:v>600</x:v>
      </x:c>
      <x:c r="G516" s="50" t="n">
        <x:f>0</x:f>
        <x:v>0</x:v>
      </x:c>
      <x:c r="H516" s="41" t="n">
        <x:f>0</x:f>
        <x:v>0</x:v>
      </x:c>
      <x:c r="I516" s="50" t="n">
        <x:f>(I515*(1+Inputs!$B$12))+E516</x:f>
        <x:v>363671.46422939346</x:v>
      </x:c>
      <x:c r="J516" s="50" t="n">
        <x:f>(J515*(1+Inputs!$B$12))+F516+P516</x:f>
        <x:v>421098.404930642</x:v>
      </x:c>
      <x:c r="K516" s="50" t="n">
        <x:f>(K515*(1+Inputs!$B$12))*(1-H516)</x:f>
        <x:v>0</x:v>
      </x:c>
      <x:c r="L516" s="50" t="n">
        <x:f>L515*(1+Inputs!$B$13)+Q516</x:f>
        <x:v>33589.486919767245</x:v>
      </x:c>
      <x:c r="M516" s="50" t="n">
        <x:f>I516+J516+L516</x:f>
        <x:v>818359.3560798026</x:v>
      </x:c>
      <x:c r="N516" s="50" t="n">
        <x:f>F516+P516</x:f>
        <x:v>600</x:v>
      </x:c>
      <x:c r="O516" s="50" t="n">
        <x:f>IF(B516=1,0,O515+F515+P515)</x:f>
        <x:v>7257.142858618745</x:v>
      </x:c>
      <x:c r="P516" s="50" t="n">
        <x:f>MIN(G516,MAX(0,Inputs!$B$20-O516-F516))</x:f>
        <x:v>0</x:v>
      </x:c>
      <x:c r="Q516" s="50" t="n">
        <x:f>(C516-E516-F516)+(G516-P516)</x:f>
        <x:v>0</x:v>
      </x:c>
    </x:row>
    <x:row r="517">
      <x:c r="A517" s="41" t="n">
        <x:f>IF(B517=1,A516+1,A516)</x:f>
        <x:v>2046</x:v>
      </x:c>
      <x:c r="B517" s="41" t="n">
        <x:f>IF(B516=26,1,B516+1)</x:f>
        <x:v>22</x:v>
      </x:c>
      <x:c r="C517" s="48" t="n">
        <x:f>Inputs!$F$22</x:f>
        <x:v>600</x:v>
      </x:c>
      <x:c r="D517" s="50" t="n">
        <x:f>IF(B517=1,0,D516+E516)</x:f>
        <x:v>8000</x:v>
      </x:c>
      <x:c r="E517" s="50" t="n">
        <x:f>MIN(C517,MAX(0,Inputs!$B$7-D517))</x:f>
        <x:v>0</x:v>
      </x:c>
      <x:c r="F517" s="50" t="n">
        <x:f>MIN(C517-E517,MAX(0,Inputs!$B$20-O517))</x:f>
        <x:v>600</x:v>
      </x:c>
      <x:c r="G517" s="50" t="n">
        <x:f>0</x:f>
        <x:v>0</x:v>
      </x:c>
      <x:c r="H517" s="41" t="n">
        <x:f>0</x:f>
        <x:v>0</x:v>
      </x:c>
      <x:c r="I517" s="50" t="n">
        <x:f>(I516*(1+Inputs!$B$12))+E517</x:f>
        <x:v>364354.5507364367</x:v>
      </x:c>
      <x:c r="J517" s="50" t="n">
        <x:f>(J516*(1+Inputs!$B$12))+F517+P517</x:f>
        <x:v>422489.35683871945</x:v>
      </x:c>
      <x:c r="K517" s="50" t="n">
        <x:f>(K516*(1+Inputs!$B$12))*(1-H517)</x:f>
        <x:v>0</x:v>
      </x:c>
      <x:c r="L517" s="50" t="n">
        <x:f>L516*(1+Inputs!$B$13)+Q517</x:f>
        <x:v>33648.256911953875</x:v>
      </x:c>
      <x:c r="M517" s="50" t="n">
        <x:f>I517+J517+L517</x:f>
        <x:v>820492.16448711</x:v>
      </x:c>
      <x:c r="N517" s="50" t="n">
        <x:f>F517+P517</x:f>
        <x:v>600</x:v>
      </x:c>
      <x:c r="O517" s="50" t="n">
        <x:f>IF(B517=1,0,O516+F516+P516)</x:f>
        <x:v>7857.142858618745</x:v>
      </x:c>
      <x:c r="P517" s="50" t="n">
        <x:f>MIN(G517,MAX(0,Inputs!$B$20-O517-F517))</x:f>
        <x:v>0</x:v>
      </x:c>
      <x:c r="Q517" s="50" t="n">
        <x:f>(C517-E517-F517)+(G517-P517)</x:f>
        <x:v>0</x:v>
      </x:c>
    </x:row>
    <x:row r="518">
      <x:c r="A518" s="41" t="n">
        <x:f>IF(B518=1,A517+1,A517)</x:f>
        <x:v>2046</x:v>
      </x:c>
      <x:c r="B518" s="41" t="n">
        <x:f>IF(B517=26,1,B517+1)</x:f>
        <x:v>23</x:v>
      </x:c>
      <x:c r="C518" s="48" t="n">
        <x:f>Inputs!$F$22</x:f>
        <x:v>600</x:v>
      </x:c>
      <x:c r="D518" s="50" t="n">
        <x:f>IF(B518=1,0,D517+E517)</x:f>
        <x:v>8000</x:v>
      </x:c>
      <x:c r="E518" s="50" t="n">
        <x:f>MIN(C518,MAX(0,Inputs!$B$7-D518))</x:f>
        <x:v>0</x:v>
      </x:c>
      <x:c r="F518" s="50" t="n">
        <x:f>MIN(C518-E518,MAX(0,Inputs!$B$20-O518))</x:f>
        <x:v>600</x:v>
      </x:c>
      <x:c r="G518" s="50" t="n">
        <x:f>0</x:f>
        <x:v>0</x:v>
      </x:c>
      <x:c r="H518" s="41" t="n">
        <x:f>0</x:f>
        <x:v>0</x:v>
      </x:c>
      <x:c r="I518" s="50" t="n">
        <x:f>(I517*(1+Inputs!$B$12))+E518</x:f>
        <x:v>365038.9202893661</x:v>
      </x:c>
      <x:c r="J518" s="50" t="n">
        <x:f>(J517*(1+Inputs!$B$12))+F518+P518</x:f>
        <x:v>423882.92138092907</x:v>
      </x:c>
      <x:c r="K518" s="50" t="n">
        <x:f>(K517*(1+Inputs!$B$12))*(1-H518)</x:f>
        <x:v>0</x:v>
      </x:c>
      <x:c r="L518" s="50" t="n">
        <x:f>L517*(1+Inputs!$B$13)+Q518</x:f>
        <x:v>33707.12973131348</x:v>
      </x:c>
      <x:c r="M518" s="50" t="n">
        <x:f>I518+J518+L518</x:f>
        <x:v>822628.9714016087</x:v>
      </x:c>
      <x:c r="N518" s="50" t="n">
        <x:f>F518+P518</x:f>
        <x:v>600</x:v>
      </x:c>
      <x:c r="O518" s="50" t="n">
        <x:f>IF(B518=1,0,O517+F517+P517)</x:f>
        <x:v>8457.142858618745</x:v>
      </x:c>
      <x:c r="P518" s="50" t="n">
        <x:f>MIN(G518,MAX(0,Inputs!$B$20-O518-F518))</x:f>
        <x:v>0</x:v>
      </x:c>
      <x:c r="Q518" s="50" t="n">
        <x:f>(C518-E518-F518)+(G518-P518)</x:f>
        <x:v>0</x:v>
      </x:c>
    </x:row>
    <x:row r="519">
      <x:c r="A519" s="41" t="n">
        <x:f>IF(B519=1,A518+1,A518)</x:f>
        <x:v>2046</x:v>
      </x:c>
      <x:c r="B519" s="41" t="n">
        <x:f>IF(B518=26,1,B518+1)</x:f>
        <x:v>24</x:v>
      </x:c>
      <x:c r="C519" s="48" t="n">
        <x:f>Inputs!$F$22</x:f>
        <x:v>600</x:v>
      </x:c>
      <x:c r="D519" s="50" t="n">
        <x:f>IF(B519=1,0,D518+E518)</x:f>
        <x:v>8000</x:v>
      </x:c>
      <x:c r="E519" s="50" t="n">
        <x:f>MIN(C519,MAX(0,Inputs!$B$7-D519))</x:f>
        <x:v>0</x:v>
      </x:c>
      <x:c r="F519" s="50" t="n">
        <x:f>MIN(C519-E519,MAX(0,Inputs!$B$20-O519))</x:f>
        <x:v>600</x:v>
      </x:c>
      <x:c r="G519" s="50" t="n">
        <x:f>0</x:f>
        <x:v>0</x:v>
      </x:c>
      <x:c r="H519" s="41" t="n">
        <x:f>0</x:f>
        <x:v>0</x:v>
      </x:c>
      <x:c r="I519" s="50" t="n">
        <x:f>(I518*(1+Inputs!$B$12))+E519</x:f>
        <x:v>365724.5752981353</x:v>
      </x:c>
      <x:c r="J519" s="50" t="n">
        <x:f>(J518*(1+Inputs!$B$12))+F519+P519</x:f>
        <x:v>425279.1034645988</x:v>
      </x:c>
      <x:c r="K519" s="50" t="n">
        <x:f>(K518*(1+Inputs!$B$12))*(1-H519)</x:f>
        <x:v>0</x:v>
      </x:c>
      <x:c r="L519" s="50" t="n">
        <x:f>L518*(1+Inputs!$B$13)+Q519</x:f>
        <x:v>33766.10555775807</x:v>
      </x:c>
      <x:c r="M519" s="50" t="n">
        <x:f>I519+J519+L519</x:f>
        <x:v>824769.7843204923</x:v>
      </x:c>
      <x:c r="N519" s="50" t="n">
        <x:f>F519+P519</x:f>
        <x:v>600</x:v>
      </x:c>
      <x:c r="O519" s="50" t="n">
        <x:f>IF(B519=1,0,O518+F518+P518)</x:f>
        <x:v>9057.142858618745</x:v>
      </x:c>
      <x:c r="P519" s="50" t="n">
        <x:f>MIN(G519,MAX(0,Inputs!$B$20-O519-F519))</x:f>
        <x:v>0</x:v>
      </x:c>
      <x:c r="Q519" s="50" t="n">
        <x:f>(C519-E519-F519)+(G519-P519)</x:f>
        <x:v>0</x:v>
      </x:c>
    </x:row>
    <x:row r="520">
      <x:c r="A520" s="41" t="n">
        <x:f>IF(B520=1,A519+1,A519)</x:f>
        <x:v>2046</x:v>
      </x:c>
      <x:c r="B520" s="41" t="n">
        <x:f>IF(B519=26,1,B519+1)</x:f>
        <x:v>25</x:v>
      </x:c>
      <x:c r="C520" s="48" t="n">
        <x:f>Inputs!$F$22</x:f>
        <x:v>600</x:v>
      </x:c>
      <x:c r="D520" s="50" t="n">
        <x:f>IF(B520=1,0,D519+E519)</x:f>
        <x:v>8000</x:v>
      </x:c>
      <x:c r="E520" s="50" t="n">
        <x:f>MIN(C520,MAX(0,Inputs!$B$7-D520))</x:f>
        <x:v>0</x:v>
      </x:c>
      <x:c r="F520" s="50" t="n">
        <x:f>MIN(C520-E520,MAX(0,Inputs!$B$20-O520))</x:f>
        <x:v>600</x:v>
      </x:c>
      <x:c r="G520" s="50" t="n">
        <x:f>0</x:f>
        <x:v>0</x:v>
      </x:c>
      <x:c r="H520" s="41" t="n">
        <x:f>0</x:f>
        <x:v>0</x:v>
      </x:c>
      <x:c r="I520" s="50" t="n">
        <x:f>(I519*(1+Inputs!$B$12))+E520</x:f>
        <x:v>366411.5181772244</x:v>
      </x:c>
      <x:c r="J520" s="50" t="n">
        <x:f>(J519*(1+Inputs!$B$12))+F520+P520</x:f>
        <x:v>426677.908006274</x:v>
      </x:c>
      <x:c r="K520" s="50" t="n">
        <x:f>(K519*(1+Inputs!$B$12))*(1-H520)</x:f>
        <x:v>0</x:v>
      </x:c>
      <x:c r="L520" s="50" t="n">
        <x:f>L519*(1+Inputs!$B$13)+Q520</x:f>
        <x:v>33825.184571514445</x:v>
      </x:c>
      <x:c r="M520" s="50" t="n">
        <x:f>I520+J520+L520</x:f>
        <x:v>826914.610755013</x:v>
      </x:c>
      <x:c r="N520" s="50" t="n">
        <x:f>F520+P520</x:f>
        <x:v>600</x:v>
      </x:c>
      <x:c r="O520" s="50" t="n">
        <x:f>IF(B520=1,0,O519+F519+P519)</x:f>
        <x:v>9657.142858618745</x:v>
      </x:c>
      <x:c r="P520" s="50" t="n">
        <x:f>MIN(G520,MAX(0,Inputs!$B$20-O520-F520))</x:f>
        <x:v>0</x:v>
      </x:c>
      <x:c r="Q520" s="50" t="n">
        <x:f>(C520-E520-F520)+(G520-P520)</x:f>
        <x:v>0</x:v>
      </x:c>
    </x:row>
    <x:row r="521">
      <x:c r="A521" s="41" t="n">
        <x:f>IF(B521=1,A520+1,A520)</x:f>
        <x:v>2046</x:v>
      </x:c>
      <x:c r="B521" s="41" t="n">
        <x:f>IF(B520=26,1,B520+1)</x:f>
        <x:v>26</x:v>
      </x:c>
      <x:c r="C521" s="48" t="n">
        <x:f>Inputs!$F$22</x:f>
        <x:v>600</x:v>
      </x:c>
      <x:c r="D521" s="50" t="n">
        <x:f>IF(B521=1,0,D520+E520)</x:f>
        <x:v>8000</x:v>
      </x:c>
      <x:c r="E521" s="50" t="n">
        <x:f>MIN(C521,MAX(0,Inputs!$B$7-D521))</x:f>
        <x:v>0</x:v>
      </x:c>
      <x:c r="F521" s="50" t="n">
        <x:f>MIN(C521-E521,MAX(0,Inputs!$B$20-O521))</x:f>
        <x:v>600</x:v>
      </x:c>
      <x:c r="G521" s="50" t="n">
        <x:f>0</x:f>
        <x:v>0</x:v>
      </x:c>
      <x:c r="H521" s="41" t="n">
        <x:f>IF(A521=Inputs!$B$8,1,0)</x:f>
        <x:v>0</x:v>
      </x:c>
      <x:c r="I521" s="50" t="n">
        <x:f>(I520*(1+Inputs!$B$12))+E521</x:f>
        <x:v>367099.75134564866</x:v>
      </x:c>
      <x:c r="J521" s="50" t="n">
        <x:f>(J520*(1+Inputs!$B$12))+F521+P521</x:f>
        <x:v>428079.33993173484</x:v>
      </x:c>
      <x:c r="K521" s="50" t="n">
        <x:f>(K520*(1+Inputs!$B$12))*(1-H521)</x:f>
        <x:v>0</x:v>
      </x:c>
      <x:c r="L521" s="50" t="n">
        <x:f>L520*(1+Inputs!$B$13)+Q521</x:f>
        <x:v>33884.36695312473</x:v>
      </x:c>
      <x:c r="M521" s="50" t="n">
        <x:f>I521+J521+L521</x:f>
        <x:v>829063.4582305083</x:v>
      </x:c>
      <x:c r="N521" s="50" t="n">
        <x:f>F521+P521</x:f>
        <x:v>600</x:v>
      </x:c>
      <x:c r="O521" s="50" t="n">
        <x:f>IF(B521=1,0,O520+F520+P520)</x:f>
        <x:v>10257.142858618745</x:v>
      </x:c>
      <x:c r="P521" s="50" t="n">
        <x:f>MIN(G521,MAX(0,Inputs!$B$20-O521-F521))</x:f>
        <x:v>0</x:v>
      </x:c>
      <x:c r="Q521" s="50" t="n">
        <x:f>(C521-E521-F521)+(G521-P521)</x:f>
        <x:v>0</x:v>
      </x:c>
    </x:row>
    <x:row r="522">
      <x:c r="A522" s="41" t="n">
        <x:f>IF(B522=1,A521+1,A521)</x:f>
        <x:v>2047</x:v>
      </x:c>
      <x:c r="B522" s="41" t="n">
        <x:f>IF(B521=26,1,B521+1)</x:f>
        <x:v>1</x:v>
      </x:c>
      <x:c r="C522" s="48" t="n">
        <x:f>Inputs!$F$23</x:f>
        <x:v>600</x:v>
      </x:c>
      <x:c r="D522" s="50" t="n">
        <x:f>IF(B522=1,0,D521+E521)</x:f>
        <x:v>0</x:v>
      </x:c>
      <x:c r="E522" s="50" t="n">
        <x:f>MIN(C522,MAX(0,Inputs!$B$7-D522))</x:f>
        <x:v>600</x:v>
      </x:c>
      <x:c r="F522" s="50" t="n">
        <x:f>MIN(C522-E522,MAX(0,Inputs!$B$20-O522))</x:f>
        <x:v>0</x:v>
      </x:c>
      <x:c r="G522" s="50" t="n">
        <x:f>0</x:f>
        <x:v>0</x:v>
      </x:c>
      <x:c r="H522" s="41" t="n">
        <x:f>0</x:f>
        <x:v>0</x:v>
      </x:c>
      <x:c r="I522" s="50" t="n">
        <x:f>(I521*(1+Inputs!$B$12))+E522</x:f>
        <x:v>368389.2772269671</x:v>
      </x:c>
      <x:c r="J522" s="50" t="n">
        <x:f>(J521*(1+Inputs!$B$12))+F522+P522</x:f>
        <x:v>428883.40417601354</x:v>
      </x:c>
      <x:c r="K522" s="50" t="n">
        <x:f>(K521*(1+Inputs!$B$12))*(1-H522)</x:f>
        <x:v>0</x:v>
      </x:c>
      <x:c r="L522" s="50" t="n">
        <x:f>L521*(1+Inputs!$B$13)+Q522</x:f>
        <x:v>33943.652883446935</x:v>
      </x:c>
      <x:c r="M522" s="50" t="n">
        <x:f>I522+J522+L522</x:f>
        <x:v>831216.3342864275</x:v>
      </x:c>
      <x:c r="N522" s="50" t="n">
        <x:f>F522+P522</x:f>
        <x:v>0</x:v>
      </x:c>
      <x:c r="O522" s="50" t="n">
        <x:f>IF(B522=1,0,O521+F521+P521)</x:f>
        <x:v>0</x:v>
      </x:c>
      <x:c r="P522" s="50" t="n">
        <x:f>MIN(G522,MAX(0,Inputs!$B$20-O522-F522))</x:f>
        <x:v>0</x:v>
      </x:c>
      <x:c r="Q522" s="50" t="n">
        <x:f>(C522-E522-F522)+(G522-P522)</x:f>
        <x:v>0</x:v>
      </x:c>
    </x:row>
    <x:row r="523">
      <x:c r="A523" s="41" t="n">
        <x:f>IF(B523=1,A522+1,A522)</x:f>
        <x:v>2047</x:v>
      </x:c>
      <x:c r="B523" s="41" t="n">
        <x:f>IF(B522=26,1,B522+1)</x:f>
        <x:v>2</x:v>
      </x:c>
      <x:c r="C523" s="48" t="n">
        <x:f>Inputs!$F$23</x:f>
        <x:v>600</x:v>
      </x:c>
      <x:c r="D523" s="50" t="n">
        <x:f>IF(B523=1,0,D522+E522)</x:f>
        <x:v>600</x:v>
      </x:c>
      <x:c r="E523" s="50" t="n">
        <x:f>MIN(C523,MAX(0,Inputs!$B$7-D523))</x:f>
        <x:v>600</x:v>
      </x:c>
      <x:c r="F523" s="50" t="n">
        <x:f>MIN(C523-E523,MAX(0,Inputs!$B$20-O523))</x:f>
        <x:v>0</x:v>
      </x:c>
      <x:c r="G523" s="50" t="n">
        <x:f>0</x:f>
        <x:v>0</x:v>
      </x:c>
      <x:c r="H523" s="41" t="n">
        <x:f>0</x:f>
        <x:v>0</x:v>
      </x:c>
      <x:c r="I523" s="50" t="n">
        <x:f>(I522*(1+Inputs!$B$12))+E523</x:f>
        <x:v>369681.2252332435</x:v>
      </x:c>
      <x:c r="J523" s="50" t="n">
        <x:f>(J522*(1+Inputs!$B$12))+F523+P523</x:f>
        <x:v>429688.9786994593</x:v>
      </x:c>
      <x:c r="K523" s="50" t="n">
        <x:f>(K522*(1+Inputs!$B$12))*(1-H523)</x:f>
        <x:v>0</x:v>
      </x:c>
      <x:c r="L523" s="50" t="n">
        <x:f>L522*(1+Inputs!$B$13)+Q523</x:f>
        <x:v>34003.04254365553</x:v>
      </x:c>
      <x:c r="M523" s="50" t="n">
        <x:f>I523+J523+L523</x:f>
        <x:v>833373.2464763583</x:v>
      </x:c>
      <x:c r="N523" s="50" t="n">
        <x:f>F523+P523</x:f>
        <x:v>0</x:v>
      </x:c>
      <x:c r="O523" s="50" t="n">
        <x:f>IF(B523=1,0,O522+F522+P522)</x:f>
        <x:v>0</x:v>
      </x:c>
      <x:c r="P523" s="50" t="n">
        <x:f>MIN(G523,MAX(0,Inputs!$B$20-O523-F523))</x:f>
        <x:v>0</x:v>
      </x:c>
      <x:c r="Q523" s="50" t="n">
        <x:f>(C523-E523-F523)+(G523-P523)</x:f>
        <x:v>0</x:v>
      </x:c>
    </x:row>
    <x:row r="524">
      <x:c r="A524" s="41" t="n">
        <x:f>IF(B524=1,A523+1,A523)</x:f>
        <x:v>2047</x:v>
      </x:c>
      <x:c r="B524" s="41" t="n">
        <x:f>IF(B523=26,1,B523+1)</x:f>
        <x:v>3</x:v>
      </x:c>
      <x:c r="C524" s="48" t="n">
        <x:f>Inputs!$F$23</x:f>
        <x:v>600</x:v>
      </x:c>
      <x:c r="D524" s="50" t="n">
        <x:f>IF(B524=1,0,D523+E523)</x:f>
        <x:v>1200</x:v>
      </x:c>
      <x:c r="E524" s="50" t="n">
        <x:f>MIN(C524,MAX(0,Inputs!$B$7-D524))</x:f>
        <x:v>600</x:v>
      </x:c>
      <x:c r="F524" s="50" t="n">
        <x:f>MIN(C524-E524,MAX(0,Inputs!$B$20-O524))</x:f>
        <x:v>0</x:v>
      </x:c>
      <x:c r="G524" s="50" t="n">
        <x:f>0</x:f>
        <x:v>0</x:v>
      </x:c>
      <x:c r="H524" s="41" t="n">
        <x:f>0</x:f>
        <x:v>0</x:v>
      </x:c>
      <x:c r="I524" s="50" t="n">
        <x:f>(I523*(1+Inputs!$B$12))+E524</x:f>
        <x:v>370975.59991397115</x:v>
      </x:c>
      <x:c r="J524" s="50" t="n">
        <x:f>(J523*(1+Inputs!$B$12))+F524+P524</x:f>
        <x:v>430496.06633883936</x:v>
      </x:c>
      <x:c r="K524" s="50" t="n">
        <x:f>(K523*(1+Inputs!$B$12))*(1-H524)</x:f>
        <x:v>0</x:v>
      </x:c>
      <x:c r="L524" s="50" t="n">
        <x:f>L523*(1+Inputs!$B$13)+Q524</x:f>
        <x:v>34062.53611524195</x:v>
      </x:c>
      <x:c r="M524" s="50" t="n">
        <x:f>I524+J524+L524</x:f>
        <x:v>835534.2023680524</x:v>
      </x:c>
      <x:c r="N524" s="50" t="n">
        <x:f>F524+P524</x:f>
        <x:v>0</x:v>
      </x:c>
      <x:c r="O524" s="50" t="n">
        <x:f>IF(B524=1,0,O523+F523+P523)</x:f>
        <x:v>0</x:v>
      </x:c>
      <x:c r="P524" s="50" t="n">
        <x:f>MIN(G524,MAX(0,Inputs!$B$20-O524-F524))</x:f>
        <x:v>0</x:v>
      </x:c>
      <x:c r="Q524" s="50" t="n">
        <x:f>(C524-E524-F524)+(G524-P524)</x:f>
        <x:v>0</x:v>
      </x:c>
    </x:row>
    <x:row r="525">
      <x:c r="A525" s="41" t="n">
        <x:f>IF(B525=1,A524+1,A524)</x:f>
        <x:v>2047</x:v>
      </x:c>
      <x:c r="B525" s="41" t="n">
        <x:f>IF(B524=26,1,B524+1)</x:f>
        <x:v>4</x:v>
      </x:c>
      <x:c r="C525" s="48" t="n">
        <x:f>Inputs!$F$23</x:f>
        <x:v>600</x:v>
      </x:c>
      <x:c r="D525" s="50" t="n">
        <x:f>IF(B525=1,0,D524+E524)</x:f>
        <x:v>1800</x:v>
      </x:c>
      <x:c r="E525" s="50" t="n">
        <x:f>MIN(C525,MAX(0,Inputs!$B$7-D525))</x:f>
        <x:v>600</x:v>
      </x:c>
      <x:c r="F525" s="50" t="n">
        <x:f>MIN(C525-E525,MAX(0,Inputs!$B$20-O525))</x:f>
        <x:v>0</x:v>
      </x:c>
      <x:c r="G525" s="50" t="n">
        <x:f>0</x:f>
        <x:v>0</x:v>
      </x:c>
      <x:c r="H525" s="41" t="n">
        <x:f>0</x:f>
        <x:v>0</x:v>
      </x:c>
      <x:c r="I525" s="50" t="n">
        <x:f>(I524*(1+Inputs!$B$12))+E525</x:f>
        <x:v>372272.40582718863</x:v>
      </x:c>
      <x:c r="J525" s="50" t="n">
        <x:f>(J524*(1+Inputs!$B$12))+F525+P525</x:f>
        <x:v>431304.6699362494</x:v>
      </x:c>
      <x:c r="K525" s="50" t="n">
        <x:f>(K524*(1+Inputs!$B$12))*(1-H525)</x:f>
        <x:v>0</x:v>
      </x:c>
      <x:c r="L525" s="50" t="n">
        <x:f>L524*(1+Inputs!$B$13)+Q525</x:f>
        <x:v>34122.133780015196</x:v>
      </x:c>
      <x:c r="M525" s="50" t="n">
        <x:f>I525+J525+L525</x:f>
        <x:v>837699.2095434532</x:v>
      </x:c>
      <x:c r="N525" s="50" t="n">
        <x:f>F525+P525</x:f>
        <x:v>0</x:v>
      </x:c>
      <x:c r="O525" s="50" t="n">
        <x:f>IF(B525=1,0,O524+F524+P524)</x:f>
        <x:v>0</x:v>
      </x:c>
      <x:c r="P525" s="50" t="n">
        <x:f>MIN(G525,MAX(0,Inputs!$B$20-O525-F525))</x:f>
        <x:v>0</x:v>
      </x:c>
      <x:c r="Q525" s="50" t="n">
        <x:f>(C525-E525-F525)+(G525-P525)</x:f>
        <x:v>0</x:v>
      </x:c>
    </x:row>
    <x:row r="526">
      <x:c r="A526" s="41" t="n">
        <x:f>IF(B526=1,A525+1,A525)</x:f>
        <x:v>2047</x:v>
      </x:c>
      <x:c r="B526" s="41" t="n">
        <x:f>IF(B525=26,1,B525+1)</x:f>
        <x:v>5</x:v>
      </x:c>
      <x:c r="C526" s="48" t="n">
        <x:f>Inputs!$F$23</x:f>
        <x:v>600</x:v>
      </x:c>
      <x:c r="D526" s="50" t="n">
        <x:f>IF(B526=1,0,D525+E525)</x:f>
        <x:v>2400</x:v>
      </x:c>
      <x:c r="E526" s="50" t="n">
        <x:f>MIN(C526,MAX(0,Inputs!$B$7-D526))</x:f>
        <x:v>600</x:v>
      </x:c>
      <x:c r="F526" s="50" t="n">
        <x:f>MIN(C526-E526,MAX(0,Inputs!$B$20-O526))</x:f>
        <x:v>0</x:v>
      </x:c>
      <x:c r="G526" s="50" t="n">
        <x:f>0</x:f>
        <x:v>0</x:v>
      </x:c>
      <x:c r="H526" s="41" t="n">
        <x:f>0</x:f>
        <x:v>0</x:v>
      </x:c>
      <x:c r="I526" s="50" t="n">
        <x:f>(I525*(1+Inputs!$B$12))+E526</x:f>
        <x:v>373571.64753949596</x:v>
      </x:c>
      <x:c r="J526" s="50" t="n">
        <x:f>(J525*(1+Inputs!$B$12))+F526+P526</x:f>
        <x:v>432114.7923391233</x:v>
      </x:c>
      <x:c r="K526" s="50" t="n">
        <x:f>(K525*(1+Inputs!$B$12))*(1-H526)</x:f>
        <x:v>0</x:v>
      </x:c>
      <x:c r="L526" s="50" t="n">
        <x:f>L525*(1+Inputs!$B$13)+Q526</x:f>
        <x:v>34181.83572010237</x:v>
      </x:c>
      <x:c r="M526" s="50" t="n">
        <x:f>I526+J526+L526</x:f>
        <x:v>839868.2755987217</x:v>
      </x:c>
      <x:c r="N526" s="50" t="n">
        <x:f>F526+P526</x:f>
        <x:v>0</x:v>
      </x:c>
      <x:c r="O526" s="50" t="n">
        <x:f>IF(B526=1,0,O525+F525+P525)</x:f>
        <x:v>0</x:v>
      </x:c>
      <x:c r="P526" s="50" t="n">
        <x:f>MIN(G526,MAX(0,Inputs!$B$20-O526-F526))</x:f>
        <x:v>0</x:v>
      </x:c>
      <x:c r="Q526" s="50" t="n">
        <x:f>(C526-E526-F526)+(G526-P526)</x:f>
        <x:v>0</x:v>
      </x:c>
    </x:row>
    <x:row r="527">
      <x:c r="A527" s="41" t="n">
        <x:f>IF(B527=1,A526+1,A526)</x:f>
        <x:v>2047</x:v>
      </x:c>
      <x:c r="B527" s="41" t="n">
        <x:f>IF(B526=26,1,B526+1)</x:f>
        <x:v>6</x:v>
      </x:c>
      <x:c r="C527" s="48" t="n">
        <x:f>Inputs!$F$23</x:f>
        <x:v>600</x:v>
      </x:c>
      <x:c r="D527" s="50" t="n">
        <x:f>IF(B527=1,0,D526+E526)</x:f>
        <x:v>3000</x:v>
      </x:c>
      <x:c r="E527" s="50" t="n">
        <x:f>MIN(C527,MAX(0,Inputs!$B$7-D527))</x:f>
        <x:v>600</x:v>
      </x:c>
      <x:c r="F527" s="50" t="n">
        <x:f>MIN(C527-E527,MAX(0,Inputs!$B$20-O527))</x:f>
        <x:v>0</x:v>
      </x:c>
      <x:c r="G527" s="50" t="n">
        <x:f>0</x:f>
        <x:v>0</x:v>
      </x:c>
      <x:c r="H527" s="41" t="n">
        <x:f>0</x:f>
        <x:v>0</x:v>
      </x:c>
      <x:c r="I527" s="50" t="n">
        <x:f>(I526*(1+Inputs!$B$12))+E527</x:f>
        <x:v>374873.3296260706</x:v>
      </x:c>
      <x:c r="J527" s="50" t="n">
        <x:f>(J526*(1+Inputs!$B$12))+F527+P527</x:f>
        <x:v>432926.43640024343</x:v>
      </x:c>
      <x:c r="K527" s="50" t="n">
        <x:f>(K526*(1+Inputs!$B$12))*(1-H527)</x:f>
        <x:v>0</x:v>
      </x:c>
      <x:c r="L527" s="50" t="n">
        <x:f>L526*(1+Inputs!$B$13)+Q527</x:f>
        <x:v>34241.64211794922</x:v>
      </x:c>
      <x:c r="M527" s="50" t="n">
        <x:f>I527+J527+L527</x:f>
        <x:v>842041.4081442633</x:v>
      </x:c>
      <x:c r="N527" s="50" t="n">
        <x:f>F527+P527</x:f>
        <x:v>0</x:v>
      </x:c>
      <x:c r="O527" s="50" t="n">
        <x:f>IF(B527=1,0,O526+F526+P526)</x:f>
        <x:v>0</x:v>
      </x:c>
      <x:c r="P527" s="50" t="n">
        <x:f>MIN(G527,MAX(0,Inputs!$B$20-O527-F527))</x:f>
        <x:v>0</x:v>
      </x:c>
      <x:c r="Q527" s="50" t="n">
        <x:f>(C527-E527-F527)+(G527-P527)</x:f>
        <x:v>0</x:v>
      </x:c>
    </x:row>
    <x:row r="528">
      <x:c r="A528" s="41" t="n">
        <x:f>IF(B528=1,A527+1,A527)</x:f>
        <x:v>2047</x:v>
      </x:c>
      <x:c r="B528" s="41" t="n">
        <x:f>IF(B527=26,1,B527+1)</x:f>
        <x:v>7</x:v>
      </x:c>
      <x:c r="C528" s="48" t="n">
        <x:f>Inputs!$F$23</x:f>
        <x:v>600</x:v>
      </x:c>
      <x:c r="D528" s="50" t="n">
        <x:f>IF(B528=1,0,D527+E527)</x:f>
        <x:v>3600</x:v>
      </x:c>
      <x:c r="E528" s="50" t="n">
        <x:f>MIN(C528,MAX(0,Inputs!$B$7-D528))</x:f>
        <x:v>600</x:v>
      </x:c>
      <x:c r="F528" s="50" t="n">
        <x:f>MIN(C528-E528,MAX(0,Inputs!$B$20-O528))</x:f>
        <x:v>0</x:v>
      </x:c>
      <x:c r="G528" s="50" t="n">
        <x:f>0</x:f>
        <x:v>0</x:v>
      </x:c>
      <x:c r="H528" s="41" t="n">
        <x:f>0</x:f>
        <x:v>0</x:v>
      </x:c>
      <x:c r="I528" s="50" t="n">
        <x:f>(I527*(1+Inputs!$B$12))+E528</x:f>
        <x:v>376177.4566706837</x:v>
      </x:c>
      <x:c r="J528" s="50" t="n">
        <x:f>(J527*(1+Inputs!$B$12))+F528+P528</x:f>
        <x:v>433739.60497775045</x:v>
      </x:c>
      <x:c r="K528" s="50" t="n">
        <x:f>(K527*(1+Inputs!$B$12))*(1-H528)</x:f>
        <x:v>0</x:v>
      </x:c>
      <x:c r="L528" s="50" t="n">
        <x:f>L527*(1+Inputs!$B$13)+Q528</x:f>
        <x:v>34301.55315632072</x:v>
      </x:c>
      <x:c r="M528" s="50" t="n">
        <x:f>I528+J528+L528</x:f>
        <x:v>844218.6148047548</x:v>
      </x:c>
      <x:c r="N528" s="50" t="n">
        <x:f>F528+P528</x:f>
        <x:v>0</x:v>
      </x:c>
      <x:c r="O528" s="50" t="n">
        <x:f>IF(B528=1,0,O527+F527+P527)</x:f>
        <x:v>0</x:v>
      </x:c>
      <x:c r="P528" s="50" t="n">
        <x:f>MIN(G528,MAX(0,Inputs!$B$20-O528-F528))</x:f>
        <x:v>0</x:v>
      </x:c>
      <x:c r="Q528" s="50" t="n">
        <x:f>(C528-E528-F528)+(G528-P528)</x:f>
        <x:v>0</x:v>
      </x:c>
    </x:row>
    <x:row r="529">
      <x:c r="A529" s="41" t="n">
        <x:f>IF(B529=1,A528+1,A528)</x:f>
        <x:v>2047</x:v>
      </x:c>
      <x:c r="B529" s="41" t="n">
        <x:f>IF(B528=26,1,B528+1)</x:f>
        <x:v>8</x:v>
      </x:c>
      <x:c r="C529" s="48" t="n">
        <x:f>Inputs!$F$23</x:f>
        <x:v>600</x:v>
      </x:c>
      <x:c r="D529" s="50" t="n">
        <x:f>IF(B529=1,0,D528+E528)</x:f>
        <x:v>4200</x:v>
      </x:c>
      <x:c r="E529" s="50" t="n">
        <x:f>MIN(C529,MAX(0,Inputs!$B$7-D529))</x:f>
        <x:v>600</x:v>
      </x:c>
      <x:c r="F529" s="50" t="n">
        <x:f>MIN(C529-E529,MAX(0,Inputs!$B$20-O529))</x:f>
        <x:v>0</x:v>
      </x:c>
      <x:c r="G529" s="50" t="n">
        <x:f>0</x:f>
        <x:v>0</x:v>
      </x:c>
      <x:c r="H529" s="41" t="n">
        <x:f>0</x:f>
        <x:v>0</x:v>
      </x:c>
      <x:c r="I529" s="50" t="n">
        <x:f>(I528*(1+Inputs!$B$12))+E529</x:f>
        <x:v>377484.03326571593</x:v>
      </x:c>
      <x:c r="J529" s="50" t="n">
        <x:f>(J528*(1+Inputs!$B$12))+F529+P529</x:f>
        <x:v>434554.3009351536</x:v>
      </x:c>
      <x:c r="K529" s="50" t="n">
        <x:f>(K528*(1+Inputs!$B$12))*(1-H529)</x:f>
        <x:v>0</x:v>
      </x:c>
      <x:c r="L529" s="50" t="n">
        <x:f>L528*(1+Inputs!$B$13)+Q529</x:f>
        <x:v>34361.56901830163</x:v>
      </x:c>
      <x:c r="M529" s="50" t="n">
        <x:f>I529+J529+L529</x:f>
        <x:v>846399.9032191712</x:v>
      </x:c>
      <x:c r="N529" s="50" t="n">
        <x:f>F529+P529</x:f>
        <x:v>0</x:v>
      </x:c>
      <x:c r="O529" s="50" t="n">
        <x:f>IF(B529=1,0,O528+F528+P528)</x:f>
        <x:v>0</x:v>
      </x:c>
      <x:c r="P529" s="50" t="n">
        <x:f>MIN(G529,MAX(0,Inputs!$B$20-O529-F529))</x:f>
        <x:v>0</x:v>
      </x:c>
      <x:c r="Q529" s="50" t="n">
        <x:f>(C529-E529-F529)+(G529-P529)</x:f>
        <x:v>0</x:v>
      </x:c>
    </x:row>
    <x:row r="530">
      <x:c r="A530" s="41" t="n">
        <x:f>IF(B530=1,A529+1,A529)</x:f>
        <x:v>2047</x:v>
      </x:c>
      <x:c r="B530" s="41" t="n">
        <x:f>IF(B529=26,1,B529+1)</x:f>
        <x:v>9</x:v>
      </x:c>
      <x:c r="C530" s="48" t="n">
        <x:f>Inputs!$F$23</x:f>
        <x:v>600</x:v>
      </x:c>
      <x:c r="D530" s="50" t="n">
        <x:f>IF(B530=1,0,D529+E529)</x:f>
        <x:v>4800</x:v>
      </x:c>
      <x:c r="E530" s="50" t="n">
        <x:f>MIN(C530,MAX(0,Inputs!$B$7-D530))</x:f>
        <x:v>600</x:v>
      </x:c>
      <x:c r="F530" s="50" t="n">
        <x:f>MIN(C530-E530,MAX(0,Inputs!$B$20-O530))</x:f>
        <x:v>0</x:v>
      </x:c>
      <x:c r="G530" s="50" t="n">
        <x:f>SUM(N496:N521)*Inputs!$B$6</x:f>
        <x:v>3257.1428575856235</x:v>
      </x:c>
      <x:c r="H530" s="41" t="n">
        <x:f>0</x:f>
        <x:v>0</x:v>
      </x:c>
      <x:c r="I530" s="50" t="n">
        <x:f>(I529*(1+Inputs!$B$12))+E530</x:f>
        <x:v>378793.064012174</x:v>
      </x:c>
      <x:c r="J530" s="50" t="n">
        <x:f>(J529*(1+Inputs!$B$12))+F530+P530</x:f>
        <x:v>438627.6699989262</x:v>
      </x:c>
      <x:c r="K530" s="50" t="n">
        <x:f>(K529*(1+Inputs!$B$12))*(1-H530)</x:f>
        <x:v>0</x:v>
      </x:c>
      <x:c r="L530" s="50" t="n">
        <x:f>L529*(1+Inputs!$B$13)+Q530</x:f>
        <x:v>34421.68988729703</x:v>
      </x:c>
      <x:c r="M530" s="50" t="n">
        <x:f>I530+J530+L530</x:f>
        <x:v>851842.4238983972</x:v>
      </x:c>
      <x:c r="N530" s="50" t="n">
        <x:f>F530+P530</x:f>
        <x:v>3257.1428575856235</x:v>
      </x:c>
      <x:c r="O530" s="50" t="n">
        <x:f>IF(B530=1,0,O529+F529+P529)</x:f>
        <x:v>0</x:v>
      </x:c>
      <x:c r="P530" s="50" t="n">
        <x:f>MIN(G530,MAX(0,Inputs!$B$20-O530-F530))</x:f>
        <x:v>3257.1428575856235</x:v>
      </x:c>
      <x:c r="Q530" s="50" t="n">
        <x:f>(C530-E530-F530)+(G530-P530)</x:f>
        <x:v>0</x:v>
      </x:c>
    </x:row>
    <x:row r="531">
      <x:c r="A531" s="41" t="n">
        <x:f>IF(B531=1,A530+1,A530)</x:f>
        <x:v>2047</x:v>
      </x:c>
      <x:c r="B531" s="41" t="n">
        <x:f>IF(B530=26,1,B530+1)</x:f>
        <x:v>10</x:v>
      </x:c>
      <x:c r="C531" s="48" t="n">
        <x:f>Inputs!$F$23</x:f>
        <x:v>600</x:v>
      </x:c>
      <x:c r="D531" s="50" t="n">
        <x:f>IF(B531=1,0,D530+E530)</x:f>
        <x:v>5400</x:v>
      </x:c>
      <x:c r="E531" s="50" t="n">
        <x:f>MIN(C531,MAX(0,Inputs!$B$7-D531))</x:f>
        <x:v>600</x:v>
      </x:c>
      <x:c r="F531" s="50" t="n">
        <x:f>MIN(C531-E531,MAX(0,Inputs!$B$20-O531))</x:f>
        <x:v>0</x:v>
      </x:c>
      <x:c r="G531" s="50" t="n">
        <x:f>0</x:f>
        <x:v>0</x:v>
      </x:c>
      <x:c r="H531" s="41" t="n">
        <x:f>0</x:f>
        <x:v>0</x:v>
      </x:c>
      <x:c r="I531" s="50" t="n">
        <x:f>(I530*(1+Inputs!$B$12))+E531</x:f>
        <x:v>380104.55351970677</x:v>
      </x:c>
      <x:c r="J531" s="50" t="n">
        <x:f>(J530*(1+Inputs!$B$12))+F531+P531</x:f>
        <x:v>439451.54724106006</x:v>
      </x:c>
      <x:c r="K531" s="50" t="n">
        <x:f>(K530*(1+Inputs!$B$12))*(1-H531)</x:f>
        <x:v>0</x:v>
      </x:c>
      <x:c r="L531" s="50" t="n">
        <x:f>L530*(1+Inputs!$B$13)+Q531</x:f>
        <x:v>34481.915947032896</x:v>
      </x:c>
      <x:c r="M531" s="50" t="n">
        <x:f>I531+J531+L531</x:f>
        <x:v>854038.0167077996</x:v>
      </x:c>
      <x:c r="N531" s="50" t="n">
        <x:f>F531+P531</x:f>
        <x:v>0</x:v>
      </x:c>
      <x:c r="O531" s="50" t="n">
        <x:f>IF(B531=1,0,O530+F530+P530)</x:f>
        <x:v>3257.1428575856235</x:v>
      </x:c>
      <x:c r="P531" s="50" t="n">
        <x:f>MIN(G531,MAX(0,Inputs!$B$20-O531-F531))</x:f>
        <x:v>0</x:v>
      </x:c>
      <x:c r="Q531" s="50" t="n">
        <x:f>(C531-E531-F531)+(G531-P531)</x:f>
        <x:v>0</x:v>
      </x:c>
    </x:row>
    <x:row r="532">
      <x:c r="A532" s="41" t="n">
        <x:f>IF(B532=1,A531+1,A531)</x:f>
        <x:v>2047</x:v>
      </x:c>
      <x:c r="B532" s="41" t="n">
        <x:f>IF(B531=26,1,B531+1)</x:f>
        <x:v>11</x:v>
      </x:c>
      <x:c r="C532" s="48" t="n">
        <x:f>Inputs!$F$23</x:f>
        <x:v>600</x:v>
      </x:c>
      <x:c r="D532" s="50" t="n">
        <x:f>IF(B532=1,0,D531+E531)</x:f>
        <x:v>6000</x:v>
      </x:c>
      <x:c r="E532" s="50" t="n">
        <x:f>MIN(C532,MAX(0,Inputs!$B$7-D532))</x:f>
        <x:v>600</x:v>
      </x:c>
      <x:c r="F532" s="50" t="n">
        <x:f>MIN(C532-E532,MAX(0,Inputs!$B$20-O532))</x:f>
        <x:v>0</x:v>
      </x:c>
      <x:c r="G532" s="50" t="n">
        <x:f>0</x:f>
        <x:v>0</x:v>
      </x:c>
      <x:c r="H532" s="41" t="n">
        <x:f>0</x:f>
        <x:v>0</x:v>
      </x:c>
      <x:c r="I532" s="50" t="n">
        <x:f>(I531*(1+Inputs!$B$12))+E532</x:f>
        <x:v>381418.5064066213</x:v>
      </x:c>
      <x:c r="J532" s="50" t="n">
        <x:f>(J531*(1+Inputs!$B$12))+F532+P532</x:f>
        <x:v>440276.9719772453</x:v>
      </x:c>
      <x:c r="K532" s="50" t="n">
        <x:f>(K531*(1+Inputs!$B$12))*(1-H532)</x:f>
        <x:v>0</x:v>
      </x:c>
      <x:c r="L532" s="50" t="n">
        <x:f>L531*(1+Inputs!$B$13)+Q532</x:f>
        <x:v>34542.24738155667</x:v>
      </x:c>
      <x:c r="M532" s="50" t="n">
        <x:f>I532+J532+L532</x:f>
        <x:v>856237.7257654233</x:v>
      </x:c>
      <x:c r="N532" s="50" t="n">
        <x:f>F532+P532</x:f>
        <x:v>0</x:v>
      </x:c>
      <x:c r="O532" s="50" t="n">
        <x:f>IF(B532=1,0,O531+F531+P531)</x:f>
        <x:v>3257.1428575856235</x:v>
      </x:c>
      <x:c r="P532" s="50" t="n">
        <x:f>MIN(G532,MAX(0,Inputs!$B$20-O532-F532))</x:f>
        <x:v>0</x:v>
      </x:c>
      <x:c r="Q532" s="50" t="n">
        <x:f>(C532-E532-F532)+(G532-P532)</x:f>
        <x:v>0</x:v>
      </x:c>
    </x:row>
    <x:row r="533">
      <x:c r="A533" s="41" t="n">
        <x:f>IF(B533=1,A532+1,A532)</x:f>
        <x:v>2047</x:v>
      </x:c>
      <x:c r="B533" s="41" t="n">
        <x:f>IF(B532=26,1,B532+1)</x:f>
        <x:v>12</x:v>
      </x:c>
      <x:c r="C533" s="48" t="n">
        <x:f>Inputs!$F$23</x:f>
        <x:v>600</x:v>
      </x:c>
      <x:c r="D533" s="50" t="n">
        <x:f>IF(B533=1,0,D532+E532)</x:f>
        <x:v>6600</x:v>
      </x:c>
      <x:c r="E533" s="50" t="n">
        <x:f>MIN(C533,MAX(0,Inputs!$B$7-D533))</x:f>
        <x:v>600</x:v>
      </x:c>
      <x:c r="F533" s="50" t="n">
        <x:f>MIN(C533-E533,MAX(0,Inputs!$B$20-O533))</x:f>
        <x:v>0</x:v>
      </x:c>
      <x:c r="G533" s="50" t="n">
        <x:f>0</x:f>
        <x:v>0</x:v>
      </x:c>
      <x:c r="H533" s="41" t="n">
        <x:f>0</x:f>
        <x:v>0</x:v>
      </x:c>
      <x:c r="I533" s="50" t="n">
        <x:f>(I532*(1+Inputs!$B$12))+E533</x:f>
        <x:v>382734.92729989934</x:v>
      </x:c>
      <x:c r="J533" s="50" t="n">
        <x:f>(J532*(1+Inputs!$B$12))+F533+P533</x:f>
        <x:v>441103.9471141502</x:v>
      </x:c>
      <x:c r="K533" s="50" t="n">
        <x:f>(K532*(1+Inputs!$B$12))*(1-H533)</x:f>
        <x:v>0</x:v>
      </x:c>
      <x:c r="L533" s="50" t="n">
        <x:f>L532*(1+Inputs!$B$13)+Q533</x:f>
        <x:v>34602.68437523781</x:v>
      </x:c>
      <x:c r="M533" s="50" t="n">
        <x:f>I533+J533+L533</x:f>
        <x:v>858441.5587892873</x:v>
      </x:c>
      <x:c r="N533" s="50" t="n">
        <x:f>F533+P533</x:f>
        <x:v>0</x:v>
      </x:c>
      <x:c r="O533" s="50" t="n">
        <x:f>IF(B533=1,0,O532+F532+P532)</x:f>
        <x:v>3257.1428575856235</x:v>
      </x:c>
      <x:c r="P533" s="50" t="n">
        <x:f>MIN(G533,MAX(0,Inputs!$B$20-O533-F533))</x:f>
        <x:v>0</x:v>
      </x:c>
      <x:c r="Q533" s="50" t="n">
        <x:f>(C533-E533-F533)+(G533-P533)</x:f>
        <x:v>0</x:v>
      </x:c>
    </x:row>
    <x:row r="534">
      <x:c r="A534" s="41" t="n">
        <x:f>IF(B534=1,A533+1,A533)</x:f>
        <x:v>2047</x:v>
      </x:c>
      <x:c r="B534" s="41" t="n">
        <x:f>IF(B533=26,1,B533+1)</x:f>
        <x:v>13</x:v>
      </x:c>
      <x:c r="C534" s="48" t="n">
        <x:f>Inputs!$F$23</x:f>
        <x:v>600</x:v>
      </x:c>
      <x:c r="D534" s="50" t="n">
        <x:f>IF(B534=1,0,D533+E533)</x:f>
        <x:v>7200</x:v>
      </x:c>
      <x:c r="E534" s="50" t="n">
        <x:f>MIN(C534,MAX(0,Inputs!$B$7-D534))</x:f>
        <x:v>600</x:v>
      </x:c>
      <x:c r="F534" s="50" t="n">
        <x:f>MIN(C534-E534,MAX(0,Inputs!$B$20-O534))</x:f>
        <x:v>0</x:v>
      </x:c>
      <x:c r="G534" s="50" t="n">
        <x:f>0</x:f>
        <x:v>0</x:v>
      </x:c>
      <x:c r="H534" s="41" t="n">
        <x:f>0</x:f>
        <x:v>0</x:v>
      </x:c>
      <x:c r="I534" s="50" t="n">
        <x:f>(I533*(1+Inputs!$B$12))+E534</x:f>
        <x:v>384053.82083521347</x:v>
      </x:c>
      <x:c r="J534" s="50" t="n">
        <x:f>(J533*(1+Inputs!$B$12))+F534+P534</x:f>
        <x:v>441932.4755639027</x:v>
      </x:c>
      <x:c r="K534" s="50" t="n">
        <x:f>(K533*(1+Inputs!$B$12))*(1-H534)</x:f>
        <x:v>0</x:v>
      </x:c>
      <x:c r="L534" s="50" t="n">
        <x:f>L533*(1+Inputs!$B$13)+Q534</x:f>
        <x:v>34663.227112768356</x:v>
      </x:c>
      <x:c r="M534" s="50" t="n">
        <x:f>I534+J534+L534</x:f>
        <x:v>860649.5235118845</x:v>
      </x:c>
      <x:c r="N534" s="50" t="n">
        <x:f>F534+P534</x:f>
        <x:v>0</x:v>
      </x:c>
      <x:c r="O534" s="50" t="n">
        <x:f>IF(B534=1,0,O533+F533+P533)</x:f>
        <x:v>3257.1428575856235</x:v>
      </x:c>
      <x:c r="P534" s="50" t="n">
        <x:f>MIN(G534,MAX(0,Inputs!$B$20-O534-F534))</x:f>
        <x:v>0</x:v>
      </x:c>
      <x:c r="Q534" s="50" t="n">
        <x:f>(C534-E534-F534)+(G534-P534)</x:f>
        <x:v>0</x:v>
      </x:c>
    </x:row>
    <x:row r="535">
      <x:c r="A535" s="41" t="n">
        <x:f>IF(B535=1,A534+1,A534)</x:f>
        <x:v>2047</x:v>
      </x:c>
      <x:c r="B535" s="41" t="n">
        <x:f>IF(B534=26,1,B534+1)</x:f>
        <x:v>14</x:v>
      </x:c>
      <x:c r="C535" s="48" t="n">
        <x:f>Inputs!$F$23</x:f>
        <x:v>600</x:v>
      </x:c>
      <x:c r="D535" s="50" t="n">
        <x:f>IF(B535=1,0,D534+E534)</x:f>
        <x:v>7800</x:v>
      </x:c>
      <x:c r="E535" s="50" t="n">
        <x:f>MIN(C535,MAX(0,Inputs!$B$7-D535))</x:f>
        <x:v>200</x:v>
      </x:c>
      <x:c r="F535" s="50" t="n">
        <x:f>MIN(C535-E535,MAX(0,Inputs!$B$20-O535))</x:f>
        <x:v>400</x:v>
      </x:c>
      <x:c r="G535" s="50" t="n">
        <x:f>0</x:f>
        <x:v>0</x:v>
      </x:c>
      <x:c r="H535" s="41" t="n">
        <x:f>0</x:f>
        <x:v>0</x:v>
      </x:c>
      <x:c r="I535" s="50" t="n">
        <x:f>(I534*(1+Inputs!$B$12))+E535</x:f>
        <x:v>384975.1916569435</x:v>
      </x:c>
      <x:c r="J535" s="50" t="n">
        <x:f>(J534*(1+Inputs!$B$12))+F535+P535</x:f>
        <x:v>443162.5602441005</x:v>
      </x:c>
      <x:c r="K535" s="50" t="n">
        <x:f>(K534*(1+Inputs!$B$12))*(1-H535)</x:f>
        <x:v>0</x:v>
      </x:c>
      <x:c r="L535" s="50" t="n">
        <x:f>L534*(1+Inputs!$B$13)+Q535</x:f>
        <x:v>34723.87577916349</x:v>
      </x:c>
      <x:c r="M535" s="50" t="n">
        <x:f>I535+J535+L535</x:f>
        <x:v>862861.6276802075</x:v>
      </x:c>
      <x:c r="N535" s="50" t="n">
        <x:f>F535+P535</x:f>
        <x:v>400</x:v>
      </x:c>
      <x:c r="O535" s="50" t="n">
        <x:f>IF(B535=1,0,O534+F534+P534)</x:f>
        <x:v>3257.1428575856235</x:v>
      </x:c>
      <x:c r="P535" s="50" t="n">
        <x:f>MIN(G535,MAX(0,Inputs!$B$20-O535-F535))</x:f>
        <x:v>0</x:v>
      </x:c>
      <x:c r="Q535" s="50" t="n">
        <x:f>(C535-E535-F535)+(G535-P535)</x:f>
        <x:v>0</x:v>
      </x:c>
    </x:row>
    <x:row r="536">
      <x:c r="A536" s="41" t="n">
        <x:f>IF(B536=1,A535+1,A535)</x:f>
        <x:v>2047</x:v>
      </x:c>
      <x:c r="B536" s="41" t="n">
        <x:f>IF(B535=26,1,B535+1)</x:f>
        <x:v>15</x:v>
      </x:c>
      <x:c r="C536" s="48" t="n">
        <x:f>Inputs!$F$23</x:f>
        <x:v>600</x:v>
      </x:c>
      <x:c r="D536" s="50" t="n">
        <x:f>IF(B536=1,0,D535+E535)</x:f>
        <x:v>8000</x:v>
      </x:c>
      <x:c r="E536" s="50" t="n">
        <x:f>MIN(C536,MAX(0,Inputs!$B$7-D536))</x:f>
        <x:v>0</x:v>
      </x:c>
      <x:c r="F536" s="50" t="n">
        <x:f>MIN(C536-E536,MAX(0,Inputs!$B$20-O536))</x:f>
        <x:v>600</x:v>
      </x:c>
      <x:c r="G536" s="50" t="n">
        <x:f>0</x:f>
        <x:v>0</x:v>
      </x:c>
      <x:c r="H536" s="41" t="n">
        <x:f>0</x:f>
        <x:v>0</x:v>
      </x:c>
      <x:c r="I536" s="50" t="n">
        <x:f>(I535*(1+Inputs!$B$12))+E536</x:f>
        <x:v>385698.29309555783</x:v>
      </x:c>
      <x:c r="J536" s="50" t="n">
        <x:f>(J535*(1+Inputs!$B$12))+F536+P536</x:f>
        <x:v>444594.9554004566</x:v>
      </x:c>
      <x:c r="K536" s="50" t="n">
        <x:f>(K535*(1+Inputs!$B$12))*(1-H536)</x:f>
        <x:v>0</x:v>
      </x:c>
      <x:c r="L536" s="50" t="n">
        <x:f>L535*(1+Inputs!$B$13)+Q536</x:f>
        <x:v>34784.630559762125</x:v>
      </x:c>
      <x:c r="M536" s="50" t="n">
        <x:f>I536+J536+L536</x:f>
        <x:v>865077.8790557765</x:v>
      </x:c>
      <x:c r="N536" s="50" t="n">
        <x:f>F536+P536</x:f>
        <x:v>600</x:v>
      </x:c>
      <x:c r="O536" s="50" t="n">
        <x:f>IF(B536=1,0,O535+F535+P535)</x:f>
        <x:v>3657.1428575856235</x:v>
      </x:c>
      <x:c r="P536" s="50" t="n">
        <x:f>MIN(G536,MAX(0,Inputs!$B$20-O536-F536))</x:f>
        <x:v>0</x:v>
      </x:c>
      <x:c r="Q536" s="50" t="n">
        <x:f>(C536-E536-F536)+(G536-P536)</x:f>
        <x:v>0</x:v>
      </x:c>
    </x:row>
    <x:row r="537">
      <x:c r="A537" s="41" t="n">
        <x:f>IF(B537=1,A536+1,A536)</x:f>
        <x:v>2047</x:v>
      </x:c>
      <x:c r="B537" s="41" t="n">
        <x:f>IF(B536=26,1,B536+1)</x:f>
        <x:v>16</x:v>
      </x:c>
      <x:c r="C537" s="48" t="n">
        <x:f>Inputs!$F$23</x:f>
        <x:v>600</x:v>
      </x:c>
      <x:c r="D537" s="50" t="n">
        <x:f>IF(B537=1,0,D536+E536)</x:f>
        <x:v>8000</x:v>
      </x:c>
      <x:c r="E537" s="50" t="n">
        <x:f>MIN(C537,MAX(0,Inputs!$B$7-D537))</x:f>
        <x:v>0</x:v>
      </x:c>
      <x:c r="F537" s="50" t="n">
        <x:f>MIN(C537-E537,MAX(0,Inputs!$B$20-O537))</x:f>
        <x:v>600</x:v>
      </x:c>
      <x:c r="G537" s="50" t="n">
        <x:f>0</x:f>
        <x:v>0</x:v>
      </x:c>
      <x:c r="H537" s="41" t="n">
        <x:f>0</x:f>
        <x:v>0</x:v>
      </x:c>
      <x:c r="I537" s="50" t="n">
        <x:f>(I536*(1+Inputs!$B$12))+E537</x:f>
        <x:v>386422.7527403679</x:v>
      </x:c>
      <x:c r="J537" s="50" t="n">
        <x:f>(J536*(1+Inputs!$B$12))+F537+P537</x:f>
        <x:v>446030.0410340712</x:v>
      </x:c>
      <x:c r="K537" s="50" t="n">
        <x:f>(K536*(1+Inputs!$B$12))*(1-H537)</x:f>
        <x:v>0</x:v>
      </x:c>
      <x:c r="L537" s="50" t="n">
        <x:f>L536*(1+Inputs!$B$13)+Q537</x:f>
        <x:v>34845.491640227425</x:v>
      </x:c>
      <x:c r="M537" s="50" t="n">
        <x:f>I537+J537+L537</x:f>
        <x:v>867298.2854146664</x:v>
      </x:c>
      <x:c r="N537" s="50" t="n">
        <x:f>F537+P537</x:f>
        <x:v>600</x:v>
      </x:c>
      <x:c r="O537" s="50" t="n">
        <x:f>IF(B537=1,0,O536+F536+P536)</x:f>
        <x:v>4257.1428575856235</x:v>
      </x:c>
      <x:c r="P537" s="50" t="n">
        <x:f>MIN(G537,MAX(0,Inputs!$B$20-O537-F537))</x:f>
        <x:v>0</x:v>
      </x:c>
      <x:c r="Q537" s="50" t="n">
        <x:f>(C537-E537-F537)+(G537-P537)</x:f>
        <x:v>0</x:v>
      </x:c>
    </x:row>
    <x:row r="538">
      <x:c r="A538" s="41" t="n">
        <x:f>IF(B538=1,A537+1,A537)</x:f>
        <x:v>2047</x:v>
      </x:c>
      <x:c r="B538" s="41" t="n">
        <x:f>IF(B537=26,1,B537+1)</x:f>
        <x:v>17</x:v>
      </x:c>
      <x:c r="C538" s="48" t="n">
        <x:f>Inputs!$F$23</x:f>
        <x:v>600</x:v>
      </x:c>
      <x:c r="D538" s="50" t="n">
        <x:f>IF(B538=1,0,D537+E537)</x:f>
        <x:v>8000</x:v>
      </x:c>
      <x:c r="E538" s="50" t="n">
        <x:f>MIN(C538,MAX(0,Inputs!$B$7-D538))</x:f>
        <x:v>0</x:v>
      </x:c>
      <x:c r="F538" s="50" t="n">
        <x:f>MIN(C538-E538,MAX(0,Inputs!$B$20-O538))</x:f>
        <x:v>600</x:v>
      </x:c>
      <x:c r="G538" s="50" t="n">
        <x:f>0</x:f>
        <x:v>0</x:v>
      </x:c>
      <x:c r="H538" s="41" t="n">
        <x:f>0</x:f>
        <x:v>0</x:v>
      </x:c>
      <x:c r="I538" s="50" t="n">
        <x:f>(I537*(1+Inputs!$B$12))+E538</x:f>
        <x:v>387148.5731425014</x:v>
      </x:c>
      <x:c r="J538" s="50" t="n">
        <x:f>(J537*(1+Inputs!$B$12))+F538+P538</x:f>
        <x:v>447467.8221984854</x:v>
      </x:c>
      <x:c r="K538" s="50" t="n">
        <x:f>(K537*(1+Inputs!$B$12))*(1-H538)</x:f>
        <x:v>0</x:v>
      </x:c>
      <x:c r="L538" s="50" t="n">
        <x:f>L537*(1+Inputs!$B$13)+Q538</x:f>
        <x:v>34906.45920654742</x:v>
      </x:c>
      <x:c r="M538" s="50" t="n">
        <x:f>I538+J538+L538</x:f>
        <x:v>869522.8545475343</x:v>
      </x:c>
      <x:c r="N538" s="50" t="n">
        <x:f>F538+P538</x:f>
        <x:v>600</x:v>
      </x:c>
      <x:c r="O538" s="50" t="n">
        <x:f>IF(B538=1,0,O537+F537+P537)</x:f>
        <x:v>4857.1428575856235</x:v>
      </x:c>
      <x:c r="P538" s="50" t="n">
        <x:f>MIN(G538,MAX(0,Inputs!$B$20-O538-F538))</x:f>
        <x:v>0</x:v>
      </x:c>
      <x:c r="Q538" s="50" t="n">
        <x:f>(C538-E538-F538)+(G538-P538)</x:f>
        <x:v>0</x:v>
      </x:c>
    </x:row>
    <x:row r="539">
      <x:c r="A539" s="41" t="n">
        <x:f>IF(B539=1,A538+1,A538)</x:f>
        <x:v>2047</x:v>
      </x:c>
      <x:c r="B539" s="41" t="n">
        <x:f>IF(B538=26,1,B538+1)</x:f>
        <x:v>18</x:v>
      </x:c>
      <x:c r="C539" s="48" t="n">
        <x:f>Inputs!$F$23</x:f>
        <x:v>600</x:v>
      </x:c>
      <x:c r="D539" s="50" t="n">
        <x:f>IF(B539=1,0,D538+E538)</x:f>
        <x:v>8000</x:v>
      </x:c>
      <x:c r="E539" s="50" t="n">
        <x:f>MIN(C539,MAX(0,Inputs!$B$7-D539))</x:f>
        <x:v>0</x:v>
      </x:c>
      <x:c r="F539" s="50" t="n">
        <x:f>MIN(C539-E539,MAX(0,Inputs!$B$20-O539))</x:f>
        <x:v>600</x:v>
      </x:c>
      <x:c r="G539" s="50" t="n">
        <x:f>0</x:f>
        <x:v>0</x:v>
      </x:c>
      <x:c r="H539" s="41" t="n">
        <x:f>0</x:f>
        <x:v>0</x:v>
      </x:c>
      <x:c r="I539" s="50" t="n">
        <x:f>(I538*(1+Inputs!$B$12))+E539</x:f>
        <x:v>387875.7568578778</x:v>
      </x:c>
      <x:c r="J539" s="50" t="n">
        <x:f>(J538*(1+Inputs!$B$12))+F539+P539</x:f>
        <x:v>448908.30395673244</x:v>
      </x:c>
      <x:c r="K539" s="50" t="n">
        <x:f>(K538*(1+Inputs!$B$12))*(1-H539)</x:f>
        <x:v>0</x:v>
      </x:c>
      <x:c r="L539" s="50" t="n">
        <x:f>L538*(1+Inputs!$B$13)+Q539</x:f>
        <x:v>34967.53344503555</x:v>
      </x:c>
      <x:c r="M539" s="50" t="n">
        <x:f>I539+J539+L539</x:f>
        <x:v>871751.5942596458</x:v>
      </x:c>
      <x:c r="N539" s="50" t="n">
        <x:f>F539+P539</x:f>
        <x:v>600</x:v>
      </x:c>
      <x:c r="O539" s="50" t="n">
        <x:f>IF(B539=1,0,O538+F538+P538)</x:f>
        <x:v>5457.1428575856235</x:v>
      </x:c>
      <x:c r="P539" s="50" t="n">
        <x:f>MIN(G539,MAX(0,Inputs!$B$20-O539-F539))</x:f>
        <x:v>0</x:v>
      </x:c>
      <x:c r="Q539" s="50" t="n">
        <x:f>(C539-E539-F539)+(G539-P539)</x:f>
        <x:v>0</x:v>
      </x:c>
    </x:row>
    <x:row r="540">
      <x:c r="A540" s="41" t="n">
        <x:f>IF(B540=1,A539+1,A539)</x:f>
        <x:v>2047</x:v>
      </x:c>
      <x:c r="B540" s="41" t="n">
        <x:f>IF(B539=26,1,B539+1)</x:f>
        <x:v>19</x:v>
      </x:c>
      <x:c r="C540" s="48" t="n">
        <x:f>Inputs!$F$23</x:f>
        <x:v>600</x:v>
      </x:c>
      <x:c r="D540" s="50" t="n">
        <x:f>IF(B540=1,0,D539+E539)</x:f>
        <x:v>8000</x:v>
      </x:c>
      <x:c r="E540" s="50" t="n">
        <x:f>MIN(C540,MAX(0,Inputs!$B$7-D540))</x:f>
        <x:v>0</x:v>
      </x:c>
      <x:c r="F540" s="50" t="n">
        <x:f>MIN(C540-E540,MAX(0,Inputs!$B$20-O540))</x:f>
        <x:v>600</x:v>
      </x:c>
      <x:c r="G540" s="50" t="n">
        <x:f>0</x:f>
        <x:v>0</x:v>
      </x:c>
      <x:c r="H540" s="41" t="n">
        <x:f>0</x:f>
        <x:v>0</x:v>
      </x:c>
      <x:c r="I540" s="50" t="n">
        <x:f>(I539*(1+Inputs!$B$12))+E540</x:f>
        <x:v>388604.30644721724</x:v>
      </x:c>
      <x:c r="J540" s="50" t="n">
        <x:f>(J539*(1+Inputs!$B$12))+F540+P540</x:f>
        <x:v>450351.4913813556</x:v>
      </x:c>
      <x:c r="K540" s="50" t="n">
        <x:f>(K539*(1+Inputs!$B$12))*(1-H540)</x:f>
        <x:v>0</x:v>
      </x:c>
      <x:c r="L540" s="50" t="n">
        <x:f>L539*(1+Inputs!$B$13)+Q540</x:f>
        <x:v>35028.71454233124</x:v>
      </x:c>
      <x:c r="M540" s="50" t="n">
        <x:f>I540+J540+L540</x:f>
        <x:v>873984.5123709041</x:v>
      </x:c>
      <x:c r="N540" s="50" t="n">
        <x:f>F540+P540</x:f>
        <x:v>600</x:v>
      </x:c>
      <x:c r="O540" s="50" t="n">
        <x:f>IF(B540=1,0,O539+F539+P539)</x:f>
        <x:v>6057.1428575856235</x:v>
      </x:c>
      <x:c r="P540" s="50" t="n">
        <x:f>MIN(G540,MAX(0,Inputs!$B$20-O540-F540))</x:f>
        <x:v>0</x:v>
      </x:c>
      <x:c r="Q540" s="50" t="n">
        <x:f>(C540-E540-F540)+(G540-P540)</x:f>
        <x:v>0</x:v>
      </x:c>
    </x:row>
    <x:row r="541">
      <x:c r="A541" s="41" t="n">
        <x:f>IF(B541=1,A540+1,A540)</x:f>
        <x:v>2047</x:v>
      </x:c>
      <x:c r="B541" s="41" t="n">
        <x:f>IF(B540=26,1,B540+1)</x:f>
        <x:v>20</x:v>
      </x:c>
      <x:c r="C541" s="48" t="n">
        <x:f>Inputs!$F$23</x:f>
        <x:v>600</x:v>
      </x:c>
      <x:c r="D541" s="50" t="n">
        <x:f>IF(B541=1,0,D540+E540)</x:f>
        <x:v>8000</x:v>
      </x:c>
      <x:c r="E541" s="50" t="n">
        <x:f>MIN(C541,MAX(0,Inputs!$B$7-D541))</x:f>
        <x:v>0</x:v>
      </x:c>
      <x:c r="F541" s="50" t="n">
        <x:f>MIN(C541-E541,MAX(0,Inputs!$B$20-O541))</x:f>
        <x:v>600</x:v>
      </x:c>
      <x:c r="G541" s="50" t="n">
        <x:f>0</x:f>
        <x:v>0</x:v>
      </x:c>
      <x:c r="H541" s="41" t="n">
        <x:f>0</x:f>
        <x:v>0</x:v>
      </x:c>
      <x:c r="I541" s="50" t="n">
        <x:f>(I540*(1+Inputs!$B$12))+E541</x:f>
        <x:v>389334.2244760499</x:v>
      </x:c>
      <x:c r="J541" s="50" t="n">
        <x:f>(J540*(1+Inputs!$B$12))+F541+P541</x:f>
        <x:v>451797.38955442584</x:v>
      </x:c>
      <x:c r="K541" s="50" t="n">
        <x:f>(K540*(1+Inputs!$B$12))*(1-H541)</x:f>
        <x:v>0</x:v>
      </x:c>
      <x:c r="L541" s="50" t="n">
        <x:f>L540*(1+Inputs!$B$13)+Q541</x:f>
        <x:v>35090.00268540047</x:v>
      </x:c>
      <x:c r="M541" s="50" t="n">
        <x:f>I541+J541+L541</x:f>
        <x:v>876221.6167158762</x:v>
      </x:c>
      <x:c r="N541" s="50" t="n">
        <x:f>F541+P541</x:f>
        <x:v>600</x:v>
      </x:c>
      <x:c r="O541" s="50" t="n">
        <x:f>IF(B541=1,0,O540+F540+P540)</x:f>
        <x:v>6657.1428575856235</x:v>
      </x:c>
      <x:c r="P541" s="50" t="n">
        <x:f>MIN(G541,MAX(0,Inputs!$B$20-O541-F541))</x:f>
        <x:v>0</x:v>
      </x:c>
      <x:c r="Q541" s="50" t="n">
        <x:f>(C541-E541-F541)+(G541-P541)</x:f>
        <x:v>0</x:v>
      </x:c>
    </x:row>
    <x:row r="542">
      <x:c r="A542" s="41" t="n">
        <x:f>IF(B542=1,A541+1,A541)</x:f>
        <x:v>2047</x:v>
      </x:c>
      <x:c r="B542" s="41" t="n">
        <x:f>IF(B541=26,1,B541+1)</x:f>
        <x:v>21</x:v>
      </x:c>
      <x:c r="C542" s="48" t="n">
        <x:f>Inputs!$F$23</x:f>
        <x:v>600</x:v>
      </x:c>
      <x:c r="D542" s="50" t="n">
        <x:f>IF(B542=1,0,D541+E541)</x:f>
        <x:v>8000</x:v>
      </x:c>
      <x:c r="E542" s="50" t="n">
        <x:f>MIN(C542,MAX(0,Inputs!$B$7-D542))</x:f>
        <x:v>0</x:v>
      </x:c>
      <x:c r="F542" s="50" t="n">
        <x:f>MIN(C542-E542,MAX(0,Inputs!$B$20-O542))</x:f>
        <x:v>600</x:v>
      </x:c>
      <x:c r="G542" s="50" t="n">
        <x:f>0</x:f>
        <x:v>0</x:v>
      </x:c>
      <x:c r="H542" s="41" t="n">
        <x:f>0</x:f>
        <x:v>0</x:v>
      </x:c>
      <x:c r="I542" s="50" t="n">
        <x:f>(I541*(1+Inputs!$B$12))+E542</x:f>
        <x:v>390065.5135147246</x:v>
      </x:c>
      <x:c r="J542" s="50" t="n">
        <x:f>(J541*(1+Inputs!$B$12))+F542+P542</x:f>
        <x:v>453246.00356755976</x:v>
      </x:c>
      <x:c r="K542" s="50" t="n">
        <x:f>(K541*(1+Inputs!$B$12))*(1-H542)</x:f>
        <x:v>0</x:v>
      </x:c>
      <x:c r="L542" s="50" t="n">
        <x:f>L541*(1+Inputs!$B$13)+Q542</x:f>
        <x:v>35151.39806153633</x:v>
      </x:c>
      <x:c r="M542" s="50" t="n">
        <x:f>I542+J542+L542</x:f>
        <x:v>878462.9151438208</x:v>
      </x:c>
      <x:c r="N542" s="50" t="n">
        <x:f>F542+P542</x:f>
        <x:v>600</x:v>
      </x:c>
      <x:c r="O542" s="50" t="n">
        <x:f>IF(B542=1,0,O541+F541+P541)</x:f>
        <x:v>7257.1428575856235</x:v>
      </x:c>
      <x:c r="P542" s="50" t="n">
        <x:f>MIN(G542,MAX(0,Inputs!$B$20-O542-F542))</x:f>
        <x:v>0</x:v>
      </x:c>
      <x:c r="Q542" s="50" t="n">
        <x:f>(C542-E542-F542)+(G542-P542)</x:f>
        <x:v>0</x:v>
      </x:c>
    </x:row>
    <x:row r="543">
      <x:c r="A543" s="41" t="n">
        <x:f>IF(B543=1,A542+1,A542)</x:f>
        <x:v>2047</x:v>
      </x:c>
      <x:c r="B543" s="41" t="n">
        <x:f>IF(B542=26,1,B542+1)</x:f>
        <x:v>22</x:v>
      </x:c>
      <x:c r="C543" s="48" t="n">
        <x:f>Inputs!$F$23</x:f>
        <x:v>600</x:v>
      </x:c>
      <x:c r="D543" s="50" t="n">
        <x:f>IF(B543=1,0,D542+E542)</x:f>
        <x:v>8000</x:v>
      </x:c>
      <x:c r="E543" s="50" t="n">
        <x:f>MIN(C543,MAX(0,Inputs!$B$7-D543))</x:f>
        <x:v>0</x:v>
      </x:c>
      <x:c r="F543" s="50" t="n">
        <x:f>MIN(C543-E543,MAX(0,Inputs!$B$20-O543))</x:f>
        <x:v>600</x:v>
      </x:c>
      <x:c r="G543" s="50" t="n">
        <x:f>0</x:f>
        <x:v>0</x:v>
      </x:c>
      <x:c r="H543" s="41" t="n">
        <x:f>0</x:f>
        <x:v>0</x:v>
      </x:c>
      <x:c r="I543" s="50" t="n">
        <x:f>(I542*(1+Inputs!$B$12))+E543</x:f>
        <x:v>390798.1761384182</x:v>
      </x:c>
      <x:c r="J543" s="50" t="n">
        <x:f>(J542*(1+Inputs!$B$12))+F543+P543</x:f>
        <x:v>454697.33852193767</x:v>
      </x:c>
      <x:c r="K543" s="50" t="n">
        <x:f>(K542*(1+Inputs!$B$12))*(1-H543)</x:f>
        <x:v>0</x:v>
      </x:c>
      <x:c r="L543" s="50" t="n">
        <x:f>L542*(1+Inputs!$B$13)+Q543</x:f>
        <x:v>35212.900858359644</x:v>
      </x:c>
      <x:c r="M543" s="50" t="n">
        <x:f>I543+J543+L543</x:f>
        <x:v>880708.4155187155</x:v>
      </x:c>
      <x:c r="N543" s="50" t="n">
        <x:f>F543+P543</x:f>
        <x:v>600</x:v>
      </x:c>
      <x:c r="O543" s="50" t="n">
        <x:f>IF(B543=1,0,O542+F542+P542)</x:f>
        <x:v>7857.1428575856235</x:v>
      </x:c>
      <x:c r="P543" s="50" t="n">
        <x:f>MIN(G543,MAX(0,Inputs!$B$20-O543-F543))</x:f>
        <x:v>0</x:v>
      </x:c>
      <x:c r="Q543" s="50" t="n">
        <x:f>(C543-E543-F543)+(G543-P543)</x:f>
        <x:v>0</x:v>
      </x:c>
    </x:row>
    <x:row r="544">
      <x:c r="A544" s="41" t="n">
        <x:f>IF(B544=1,A543+1,A543)</x:f>
        <x:v>2047</x:v>
      </x:c>
      <x:c r="B544" s="41" t="n">
        <x:f>IF(B543=26,1,B543+1)</x:f>
        <x:v>23</x:v>
      </x:c>
      <x:c r="C544" s="48" t="n">
        <x:f>Inputs!$F$23</x:f>
        <x:v>600</x:v>
      </x:c>
      <x:c r="D544" s="50" t="n">
        <x:f>IF(B544=1,0,D543+E543)</x:f>
        <x:v>8000</x:v>
      </x:c>
      <x:c r="E544" s="50" t="n">
        <x:f>MIN(C544,MAX(0,Inputs!$B$7-D544))</x:f>
        <x:v>0</x:v>
      </x:c>
      <x:c r="F544" s="50" t="n">
        <x:f>MIN(C544-E544,MAX(0,Inputs!$B$20-O544))</x:f>
        <x:v>600</x:v>
      </x:c>
      <x:c r="G544" s="50" t="n">
        <x:f>0</x:f>
        <x:v>0</x:v>
      </x:c>
      <x:c r="H544" s="41" t="n">
        <x:f>0</x:f>
        <x:v>0</x:v>
      </x:c>
      <x:c r="I544" s="50" t="n">
        <x:f>(I543*(1+Inputs!$B$12))+E544</x:f>
        <x:v>391532.2149271445</x:v>
      </x:c>
      <x:c r="J544" s="50" t="n">
        <x:f>(J543*(1+Inputs!$B$12))+F544+P544</x:f>
        <x:v>456151.3995283214</x:v>
      </x:c>
      <x:c r="K544" s="50" t="n">
        <x:f>(K543*(1+Inputs!$B$12))*(1-H544)</x:f>
        <x:v>0</x:v>
      </x:c>
      <x:c r="L544" s="50" t="n">
        <x:f>L543*(1+Inputs!$B$13)+Q544</x:f>
        <x:v>35274.51126381947</x:v>
      </x:c>
      <x:c r="M544" s="50" t="n">
        <x:f>I544+J544+L544</x:f>
        <x:v>882958.1257192853</x:v>
      </x:c>
      <x:c r="N544" s="50" t="n">
        <x:f>F544+P544</x:f>
        <x:v>600</x:v>
      </x:c>
      <x:c r="O544" s="50" t="n">
        <x:f>IF(B544=1,0,O543+F543+P543)</x:f>
        <x:v>8457.142857585623</x:v>
      </x:c>
      <x:c r="P544" s="50" t="n">
        <x:f>MIN(G544,MAX(0,Inputs!$B$20-O544-F544))</x:f>
        <x:v>0</x:v>
      </x:c>
      <x:c r="Q544" s="50" t="n">
        <x:f>(C544-E544-F544)+(G544-P544)</x:f>
        <x:v>0</x:v>
      </x:c>
    </x:row>
    <x:row r="545">
      <x:c r="A545" s="41" t="n">
        <x:f>IF(B545=1,A544+1,A544)</x:f>
        <x:v>2047</x:v>
      </x:c>
      <x:c r="B545" s="41" t="n">
        <x:f>IF(B544=26,1,B544+1)</x:f>
        <x:v>24</x:v>
      </x:c>
      <x:c r="C545" s="48" t="n">
        <x:f>Inputs!$F$23</x:f>
        <x:v>600</x:v>
      </x:c>
      <x:c r="D545" s="50" t="n">
        <x:f>IF(B545=1,0,D544+E544)</x:f>
        <x:v>8000</x:v>
      </x:c>
      <x:c r="E545" s="50" t="n">
        <x:f>MIN(C545,MAX(0,Inputs!$B$7-D545))</x:f>
        <x:v>0</x:v>
      </x:c>
      <x:c r="F545" s="50" t="n">
        <x:f>MIN(C545-E545,MAX(0,Inputs!$B$20-O545))</x:f>
        <x:v>600</x:v>
      </x:c>
      <x:c r="G545" s="50" t="n">
        <x:f>0</x:f>
        <x:v>0</x:v>
      </x:c>
      <x:c r="H545" s="41" t="n">
        <x:f>0</x:f>
        <x:v>0</x:v>
      </x:c>
      <x:c r="I545" s="50" t="n">
        <x:f>(I544*(1+Inputs!$B$12))+E545</x:f>
        <x:v>392267.63246576337</x:v>
      </x:c>
      <x:c r="J545" s="50" t="n">
        <x:f>(J544*(1+Inputs!$B$12))+F545+P545</x:f>
        <x:v>457608.19170707243</x:v>
      </x:c>
      <x:c r="K545" s="50" t="n">
        <x:f>(K544*(1+Inputs!$B$12))*(1-H545)</x:f>
        <x:v>0</x:v>
      </x:c>
      <x:c r="L545" s="50" t="n">
        <x:f>L544*(1+Inputs!$B$13)+Q545</x:f>
        <x:v>35336.229466193734</x:v>
      </x:c>
      <x:c r="M545" s="50" t="n">
        <x:f>I545+J545+L545</x:f>
        <x:v>885212.0536390295</x:v>
      </x:c>
      <x:c r="N545" s="50" t="n">
        <x:f>F545+P545</x:f>
        <x:v>600</x:v>
      </x:c>
      <x:c r="O545" s="50" t="n">
        <x:f>IF(B545=1,0,O544+F544+P544)</x:f>
        <x:v>9057.142857585623</x:v>
      </x:c>
      <x:c r="P545" s="50" t="n">
        <x:f>MIN(G545,MAX(0,Inputs!$B$20-O545-F545))</x:f>
        <x:v>0</x:v>
      </x:c>
      <x:c r="Q545" s="50" t="n">
        <x:f>(C545-E545-F545)+(G545-P545)</x:f>
        <x:v>0</x:v>
      </x:c>
    </x:row>
    <x:row r="546">
      <x:c r="A546" s="41" t="n">
        <x:f>IF(B546=1,A545+1,A545)</x:f>
        <x:v>2047</x:v>
      </x:c>
      <x:c r="B546" s="41" t="n">
        <x:f>IF(B545=26,1,B545+1)</x:f>
        <x:v>25</x:v>
      </x:c>
      <x:c r="C546" s="48" t="n">
        <x:f>Inputs!$F$23</x:f>
        <x:v>600</x:v>
      </x:c>
      <x:c r="D546" s="50" t="n">
        <x:f>IF(B546=1,0,D545+E545)</x:f>
        <x:v>8000</x:v>
      </x:c>
      <x:c r="E546" s="50" t="n">
        <x:f>MIN(C546,MAX(0,Inputs!$B$7-D546))</x:f>
        <x:v>0</x:v>
      </x:c>
      <x:c r="F546" s="50" t="n">
        <x:f>MIN(C546-E546,MAX(0,Inputs!$B$20-O546))</x:f>
        <x:v>600</x:v>
      </x:c>
      <x:c r="G546" s="50" t="n">
        <x:f>0</x:f>
        <x:v>0</x:v>
      </x:c>
      <x:c r="H546" s="41" t="n">
        <x:f>0</x:f>
        <x:v>0</x:v>
      </x:c>
      <x:c r="I546" s="50" t="n">
        <x:f>(I545*(1+Inputs!$B$12))+E546</x:f>
        <x:v>393004.43134398974</x:v>
      </x:c>
      <x:c r="J546" s="50" t="n">
        <x:f>(J545*(1+Inputs!$B$12))+F546+P546</x:f>
        <x:v>459067.72018816986</x:v>
      </x:c>
      <x:c r="K546" s="50" t="n">
        <x:f>(K545*(1+Inputs!$B$12))*(1-H546)</x:f>
        <x:v>0</x:v>
      </x:c>
      <x:c r="L546" s="50" t="n">
        <x:f>L545*(1+Inputs!$B$13)+Q546</x:f>
        <x:v>35398.055654089774</x:v>
      </x:c>
      <x:c r="M546" s="50" t="n">
        <x:f>I546+J546+L546</x:f>
        <x:v>887470.2071862494</x:v>
      </x:c>
      <x:c r="N546" s="50" t="n">
        <x:f>F546+P546</x:f>
        <x:v>600</x:v>
      </x:c>
      <x:c r="O546" s="50" t="n">
        <x:f>IF(B546=1,0,O545+F545+P545)</x:f>
        <x:v>9657.142857585623</x:v>
      </x:c>
      <x:c r="P546" s="50" t="n">
        <x:f>MIN(G546,MAX(0,Inputs!$B$20-O546-F546))</x:f>
        <x:v>0</x:v>
      </x:c>
      <x:c r="Q546" s="50" t="n">
        <x:f>(C546-E546-F546)+(G546-P546)</x:f>
        <x:v>0</x:v>
      </x:c>
    </x:row>
    <x:row r="547">
      <x:c r="A547" s="41" t="n">
        <x:f>IF(B547=1,A546+1,A546)</x:f>
        <x:v>2047</x:v>
      </x:c>
      <x:c r="B547" s="41" t="n">
        <x:f>IF(B546=26,1,B546+1)</x:f>
        <x:v>26</x:v>
      </x:c>
      <x:c r="C547" s="48" t="n">
        <x:f>Inputs!$F$23</x:f>
        <x:v>600</x:v>
      </x:c>
      <x:c r="D547" s="50" t="n">
        <x:f>IF(B547=1,0,D546+E546)</x:f>
        <x:v>8000</x:v>
      </x:c>
      <x:c r="E547" s="50" t="n">
        <x:f>MIN(C547,MAX(0,Inputs!$B$7-D547))</x:f>
        <x:v>0</x:v>
      </x:c>
      <x:c r="F547" s="50" t="n">
        <x:f>MIN(C547-E547,MAX(0,Inputs!$B$20-O547))</x:f>
        <x:v>600</x:v>
      </x:c>
      <x:c r="G547" s="50" t="n">
        <x:f>0</x:f>
        <x:v>0</x:v>
      </x:c>
      <x:c r="H547" s="41" t="n">
        <x:f>IF(A547=Inputs!$B$8,1,0)</x:f>
        <x:v>0</x:v>
      </x:c>
      <x:c r="I547" s="50" t="n">
        <x:f>(I546*(1+Inputs!$B$12))+E547</x:f>
        <x:v>393742.61415640294</x:v>
      </x:c>
      <x:c r="J547" s="50" t="n">
        <x:f>(J546*(1+Inputs!$B$12))+F547+P547</x:f>
        <x:v>460529.9901112283</x:v>
      </x:c>
      <x:c r="K547" s="50" t="n">
        <x:f>(K546*(1+Inputs!$B$12))*(1-H547)</x:f>
        <x:v>0</x:v>
      </x:c>
      <x:c r="L547" s="50" t="n">
        <x:f>L546*(1+Inputs!$B$13)+Q547</x:f>
        <x:v>35459.990016444935</x:v>
      </x:c>
      <x:c r="M547" s="50" t="n">
        <x:f>I547+J547+L547</x:f>
        <x:v>889732.5942840761</x:v>
      </x:c>
      <x:c r="N547" s="50" t="n">
        <x:f>F547+P547</x:f>
        <x:v>600</x:v>
      </x:c>
      <x:c r="O547" s="50" t="n">
        <x:f>IF(B547=1,0,O546+F546+P546)</x:f>
        <x:v>10257.142857585623</x:v>
      </x:c>
      <x:c r="P547" s="50" t="n">
        <x:f>MIN(G547,MAX(0,Inputs!$B$20-O547-F547))</x:f>
        <x:v>0</x:v>
      </x:c>
      <x:c r="Q547" s="50" t="n">
        <x:f>(C547-E547-F547)+(G547-P547)</x:f>
        <x:v>0</x:v>
      </x:c>
    </x:row>
    <x:row r="548">
      <x:c r="A548" s="41" t="n">
        <x:f>IF(B548=1,A547+1,A547)</x:f>
        <x:v>2048</x:v>
      </x:c>
      <x:c r="B548" s="41" t="n">
        <x:f>IF(B547=26,1,B547+1)</x:f>
        <x:v>1</x:v>
      </x:c>
      <x:c r="C548" s="48" t="n">
        <x:f>Inputs!$F$24</x:f>
        <x:v>600</x:v>
      </x:c>
      <x:c r="D548" s="50" t="n">
        <x:f>IF(B548=1,0,D547+E547)</x:f>
        <x:v>0</x:v>
      </x:c>
      <x:c r="E548" s="50" t="n">
        <x:f>MIN(C548,MAX(0,Inputs!$B$7-D548))</x:f>
        <x:v>600</x:v>
      </x:c>
      <x:c r="F548" s="50" t="n">
        <x:f>MIN(C548-E548,MAX(0,Inputs!$B$20-O548))</x:f>
        <x:v>0</x:v>
      </x:c>
      <x:c r="G548" s="50" t="n">
        <x:f>0</x:f>
        <x:v>0</x:v>
      </x:c>
      <x:c r="H548" s="41" t="n">
        <x:f>0</x:f>
        <x:v>0</x:v>
      </x:c>
      <x:c r="I548" s="50" t="n">
        <x:f>(I547*(1+Inputs!$B$12))+E548</x:f>
        <x:v>395082.18350245565</x:v>
      </x:c>
      <x:c r="J548" s="50" t="n">
        <x:f>(J547*(1+Inputs!$B$12))+F548+P548</x:f>
        <x:v>461395.00662551634</x:v>
      </x:c>
      <x:c r="K548" s="50" t="n">
        <x:f>(K547*(1+Inputs!$B$12))*(1-H548)</x:f>
        <x:v>0</x:v>
      </x:c>
      <x:c r="L548" s="50" t="n">
        <x:f>L547*(1+Inputs!$B$13)+Q548</x:f>
        <x:v>35522.032742527124</x:v>
      </x:c>
      <x:c r="M548" s="50" t="n">
        <x:f>I548+J548+L548</x:f>
        <x:v>891999.2228704991</x:v>
      </x:c>
      <x:c r="N548" s="50" t="n">
        <x:f>F548+P548</x:f>
        <x:v>0</x:v>
      </x:c>
      <x:c r="O548" s="50" t="n">
        <x:f>IF(B548=1,0,O547+F547+P547)</x:f>
        <x:v>0</x:v>
      </x:c>
      <x:c r="P548" s="50" t="n">
        <x:f>MIN(G548,MAX(0,Inputs!$B$20-O548-F548))</x:f>
        <x:v>0</x:v>
      </x:c>
      <x:c r="Q548" s="50" t="n">
        <x:f>(C548-E548-F548)+(G548-P548)</x:f>
        <x:v>0</x:v>
      </x:c>
    </x:row>
    <x:row r="549">
      <x:c r="A549" s="41" t="n">
        <x:f>IF(B549=1,A548+1,A548)</x:f>
        <x:v>2048</x:v>
      </x:c>
      <x:c r="B549" s="41" t="n">
        <x:f>IF(B548=26,1,B548+1)</x:f>
        <x:v>2</x:v>
      </x:c>
      <x:c r="C549" s="48" t="n">
        <x:f>Inputs!$F$24</x:f>
        <x:v>600</x:v>
      </x:c>
      <x:c r="D549" s="50" t="n">
        <x:f>IF(B549=1,0,D548+E548)</x:f>
        <x:v>600</x:v>
      </x:c>
      <x:c r="E549" s="50" t="n">
        <x:f>MIN(C549,MAX(0,Inputs!$B$7-D549))</x:f>
        <x:v>600</x:v>
      </x:c>
      <x:c r="F549" s="50" t="n">
        <x:f>MIN(C549-E549,MAX(0,Inputs!$B$20-O549))</x:f>
        <x:v>0</x:v>
      </x:c>
      <x:c r="G549" s="50" t="n">
        <x:f>0</x:f>
        <x:v>0</x:v>
      </x:c>
      <x:c r="H549" s="41" t="n">
        <x:f>0</x:f>
        <x:v>0</x:v>
      </x:c>
      <x:c r="I549" s="50" t="n">
        <x:f>(I548*(1+Inputs!$B$12))+E549</x:f>
        <x:v>396424.26897043583</x:v>
      </x:c>
      <x:c r="J549" s="50" t="n">
        <x:f>(J548*(1+Inputs!$B$12))+F549+P549</x:f>
        <x:v>462261.6479060217</x:v>
      </x:c>
      <x:c r="K549" s="50" t="n">
        <x:f>(K548*(1+Inputs!$B$12))*(1-H549)</x:f>
        <x:v>0</x:v>
      </x:c>
      <x:c r="L549" s="50" t="n">
        <x:f>L548*(1+Inputs!$B$13)+Q549</x:f>
        <x:v>35584.18402193541</x:v>
      </x:c>
      <x:c r="M549" s="50" t="n">
        <x:f>I549+J549+L549</x:f>
        <x:v>894270.100898393</x:v>
      </x:c>
      <x:c r="N549" s="50" t="n">
        <x:f>F549+P549</x:f>
        <x:v>0</x:v>
      </x:c>
      <x:c r="O549" s="50" t="n">
        <x:f>IF(B549=1,0,O548+F548+P548)</x:f>
        <x:v>0</x:v>
      </x:c>
      <x:c r="P549" s="50" t="n">
        <x:f>MIN(G549,MAX(0,Inputs!$B$20-O549-F549))</x:f>
        <x:v>0</x:v>
      </x:c>
      <x:c r="Q549" s="50" t="n">
        <x:f>(C549-E549-F549)+(G549-P549)</x:f>
        <x:v>0</x:v>
      </x:c>
    </x:row>
    <x:row r="550">
      <x:c r="A550" s="41" t="n">
        <x:f>IF(B550=1,A549+1,A549)</x:f>
        <x:v>2048</x:v>
      </x:c>
      <x:c r="B550" s="41" t="n">
        <x:f>IF(B549=26,1,B549+1)</x:f>
        <x:v>3</x:v>
      </x:c>
      <x:c r="C550" s="48" t="n">
        <x:f>Inputs!$F$24</x:f>
        <x:v>600</x:v>
      </x:c>
      <x:c r="D550" s="50" t="n">
        <x:f>IF(B550=1,0,D549+E549)</x:f>
        <x:v>1200</x:v>
      </x:c>
      <x:c r="E550" s="50" t="n">
        <x:f>MIN(C550,MAX(0,Inputs!$B$7-D550))</x:f>
        <x:v>600</x:v>
      </x:c>
      <x:c r="F550" s="50" t="n">
        <x:f>MIN(C550-E550,MAX(0,Inputs!$B$20-O550))</x:f>
        <x:v>0</x:v>
      </x:c>
      <x:c r="G550" s="50" t="n">
        <x:f>0</x:f>
        <x:v>0</x:v>
      </x:c>
      <x:c r="H550" s="41" t="n">
        <x:f>0</x:f>
        <x:v>0</x:v>
      </x:c>
      <x:c r="I550" s="50" t="n">
        <x:f>(I549*(1+Inputs!$B$12))+E550</x:f>
        <x:v>397768.8752863919</x:v>
      </x:c>
      <x:c r="J550" s="50" t="n">
        <x:f>(J549*(1+Inputs!$B$12))+F550+P550</x:f>
        <x:v>463129.9170045534</x:v>
      </x:c>
      <x:c r="K550" s="50" t="n">
        <x:f>(K549*(1+Inputs!$B$12))*(1-H550)</x:f>
        <x:v>0</x:v>
      </x:c>
      <x:c r="L550" s="50" t="n">
        <x:f>L549*(1+Inputs!$B$13)+Q550</x:f>
        <x:v>35646.444044600605</x:v>
      </x:c>
      <x:c r="M550" s="50" t="n">
        <x:f>I550+J550+L550</x:f>
        <x:v>896545.2363355459</x:v>
      </x:c>
      <x:c r="N550" s="50" t="n">
        <x:f>F550+P550</x:f>
        <x:v>0</x:v>
      </x:c>
      <x:c r="O550" s="50" t="n">
        <x:f>IF(B550=1,0,O549+F549+P549)</x:f>
        <x:v>0</x:v>
      </x:c>
      <x:c r="P550" s="50" t="n">
        <x:f>MIN(G550,MAX(0,Inputs!$B$20-O550-F550))</x:f>
        <x:v>0</x:v>
      </x:c>
      <x:c r="Q550" s="50" t="n">
        <x:f>(C550-E550-F550)+(G550-P550)</x:f>
        <x:v>0</x:v>
      </x:c>
    </x:row>
    <x:row r="551">
      <x:c r="A551" s="41" t="n">
        <x:f>IF(B551=1,A550+1,A550)</x:f>
        <x:v>2048</x:v>
      </x:c>
      <x:c r="B551" s="41" t="n">
        <x:f>IF(B550=26,1,B550+1)</x:f>
        <x:v>4</x:v>
      </x:c>
      <x:c r="C551" s="48" t="n">
        <x:f>Inputs!$F$24</x:f>
        <x:v>600</x:v>
      </x:c>
      <x:c r="D551" s="50" t="n">
        <x:f>IF(B551=1,0,D550+E550)</x:f>
        <x:v>1800</x:v>
      </x:c>
      <x:c r="E551" s="50" t="n">
        <x:f>MIN(C551,MAX(0,Inputs!$B$7-D551))</x:f>
        <x:v>600</x:v>
      </x:c>
      <x:c r="F551" s="50" t="n">
        <x:f>MIN(C551-E551,MAX(0,Inputs!$B$20-O551))</x:f>
        <x:v>0</x:v>
      </x:c>
      <x:c r="G551" s="50" t="n">
        <x:f>0</x:f>
        <x:v>0</x:v>
      </x:c>
      <x:c r="H551" s="41" t="n">
        <x:f>0</x:f>
        <x:v>0</x:v>
      </x:c>
      <x:c r="I551" s="50" t="n">
        <x:f>(I550*(1+Inputs!$B$12))+E551</x:f>
        <x:v>399116.0071852491</x:v>
      </x:c>
      <x:c r="J551" s="50" t="n">
        <x:f>(J550*(1+Inputs!$B$12))+F551+P551</x:f>
        <x:v>463999.8169786529</x:v>
      </x:c>
      <x:c r="K551" s="50" t="n">
        <x:f>(K550*(1+Inputs!$B$12))*(1-H551)</x:f>
        <x:v>0</x:v>
      </x:c>
      <x:c r="L551" s="50" t="n">
        <x:f>L550*(1+Inputs!$B$13)+Q551</x:f>
        <x:v>35708.813000785805</x:v>
      </x:c>
      <x:c r="M551" s="50" t="n">
        <x:f>I551+J551+L551</x:f>
        <x:v>898824.6371646879</x:v>
      </x:c>
      <x:c r="N551" s="50" t="n">
        <x:f>F551+P551</x:f>
        <x:v>0</x:v>
      </x:c>
      <x:c r="O551" s="50" t="n">
        <x:f>IF(B551=1,0,O550+F550+P550)</x:f>
        <x:v>0</x:v>
      </x:c>
      <x:c r="P551" s="50" t="n">
        <x:f>MIN(G551,MAX(0,Inputs!$B$20-O551-F551))</x:f>
        <x:v>0</x:v>
      </x:c>
      <x:c r="Q551" s="50" t="n">
        <x:f>(C551-E551-F551)+(G551-P551)</x:f>
        <x:v>0</x:v>
      </x:c>
    </x:row>
    <x:row r="552">
      <x:c r="A552" s="41" t="n">
        <x:f>IF(B552=1,A551+1,A551)</x:f>
        <x:v>2048</x:v>
      </x:c>
      <x:c r="B552" s="41" t="n">
        <x:f>IF(B551=26,1,B551+1)</x:f>
        <x:v>5</x:v>
      </x:c>
      <x:c r="C552" s="48" t="n">
        <x:f>Inputs!$F$24</x:f>
        <x:v>600</x:v>
      </x:c>
      <x:c r="D552" s="50" t="n">
        <x:f>IF(B552=1,0,D551+E551)</x:f>
        <x:v>2400</x:v>
      </x:c>
      <x:c r="E552" s="50" t="n">
        <x:f>MIN(C552,MAX(0,Inputs!$B$7-D552))</x:f>
        <x:v>600</x:v>
      </x:c>
      <x:c r="F552" s="50" t="n">
        <x:f>MIN(C552-E552,MAX(0,Inputs!$B$20-O552))</x:f>
        <x:v>0</x:v>
      </x:c>
      <x:c r="G552" s="50" t="n">
        <x:f>0</x:f>
        <x:v>0</x:v>
      </x:c>
      <x:c r="H552" s="41" t="n">
        <x:f>0</x:f>
        <x:v>0</x:v>
      </x:c>
      <x:c r="I552" s="50" t="n">
        <x:f>(I551*(1+Inputs!$B$12))+E552</x:f>
        <x:v>400465.6694108266</x:v>
      </x:c>
      <x:c r="J552" s="50" t="n">
        <x:f>(J551*(1+Inputs!$B$12))+F552+P552</x:f>
        <x:v>464871.35089160444</x:v>
      </x:c>
      <x:c r="K552" s="50" t="n">
        <x:f>(K551*(1+Inputs!$B$12))*(1-H552)</x:f>
        <x:v>0</x:v>
      </x:c>
      <x:c r="L552" s="50" t="n">
        <x:f>L551*(1+Inputs!$B$13)+Q552</x:f>
        <x:v>35771.29108108703</x:v>
      </x:c>
      <x:c r="M552" s="50" t="n">
        <x:f>I552+J552+L552</x:f>
        <x:v>901108.311383518</x:v>
      </x:c>
      <x:c r="N552" s="50" t="n">
        <x:f>F552+P552</x:f>
        <x:v>0</x:v>
      </x:c>
      <x:c r="O552" s="50" t="n">
        <x:f>IF(B552=1,0,O551+F551+P551)</x:f>
        <x:v>0</x:v>
      </x:c>
      <x:c r="P552" s="50" t="n">
        <x:f>MIN(G552,MAX(0,Inputs!$B$20-O552-F552))</x:f>
        <x:v>0</x:v>
      </x:c>
      <x:c r="Q552" s="50" t="n">
        <x:f>(C552-E552-F552)+(G552-P552)</x:f>
        <x:v>0</x:v>
      </x:c>
    </x:row>
    <x:row r="553">
      <x:c r="A553" s="41" t="n">
        <x:f>IF(B553=1,A552+1,A552)</x:f>
        <x:v>2048</x:v>
      </x:c>
      <x:c r="B553" s="41" t="n">
        <x:f>IF(B552=26,1,B552+1)</x:f>
        <x:v>6</x:v>
      </x:c>
      <x:c r="C553" s="48" t="n">
        <x:f>Inputs!$F$24</x:f>
        <x:v>600</x:v>
      </x:c>
      <x:c r="D553" s="50" t="n">
        <x:f>IF(B553=1,0,D552+E552)</x:f>
        <x:v>3000</x:v>
      </x:c>
      <x:c r="E553" s="50" t="n">
        <x:f>MIN(C553,MAX(0,Inputs!$B$7-D553))</x:f>
        <x:v>600</x:v>
      </x:c>
      <x:c r="F553" s="50" t="n">
        <x:f>MIN(C553-E553,MAX(0,Inputs!$B$20-O553))</x:f>
        <x:v>0</x:v>
      </x:c>
      <x:c r="G553" s="50" t="n">
        <x:f>0</x:f>
        <x:v>0</x:v>
      </x:c>
      <x:c r="H553" s="41" t="n">
        <x:f>0</x:f>
        <x:v>0</x:v>
      </x:c>
      <x:c r="I553" s="50" t="n">
        <x:f>(I552*(1+Inputs!$B$12))+E553</x:f>
        <x:v>401817.86671585357</x:v>
      </x:c>
      <x:c r="J553" s="50" t="n">
        <x:f>(J552*(1+Inputs!$B$12))+F553+P553</x:f>
        <x:v>465744.5218124461</x:v>
      </x:c>
      <x:c r="K553" s="50" t="n">
        <x:f>(K552*(1+Inputs!$B$12))*(1-H553)</x:f>
        <x:v>0</x:v>
      </x:c>
      <x:c r="L553" s="50" t="n">
        <x:f>L552*(1+Inputs!$B$13)+Q553</x:f>
        <x:v>35833.87847643376</x:v>
      </x:c>
      <x:c r="M553" s="50" t="n">
        <x:f>I553+J553+L553</x:f>
        <x:v>903396.2670047336</x:v>
      </x:c>
      <x:c r="N553" s="50" t="n">
        <x:f>F553+P553</x:f>
        <x:v>0</x:v>
      </x:c>
      <x:c r="O553" s="50" t="n">
        <x:f>IF(B553=1,0,O552+F552+P552)</x:f>
        <x:v>0</x:v>
      </x:c>
      <x:c r="P553" s="50" t="n">
        <x:f>MIN(G553,MAX(0,Inputs!$B$20-O553-F553))</x:f>
        <x:v>0</x:v>
      </x:c>
      <x:c r="Q553" s="50" t="n">
        <x:f>(C553-E553-F553)+(G553-P553)</x:f>
        <x:v>0</x:v>
      </x:c>
    </x:row>
    <x:row r="554">
      <x:c r="A554" s="41" t="n">
        <x:f>IF(B554=1,A553+1,A553)</x:f>
        <x:v>2048</x:v>
      </x:c>
      <x:c r="B554" s="41" t="n">
        <x:f>IF(B553=26,1,B553+1)</x:f>
        <x:v>7</x:v>
      </x:c>
      <x:c r="C554" s="48" t="n">
        <x:f>Inputs!$F$24</x:f>
        <x:v>600</x:v>
      </x:c>
      <x:c r="D554" s="50" t="n">
        <x:f>IF(B554=1,0,D553+E553)</x:f>
        <x:v>3600</x:v>
      </x:c>
      <x:c r="E554" s="50" t="n">
        <x:f>MIN(C554,MAX(0,Inputs!$B$7-D554))</x:f>
        <x:v>600</x:v>
      </x:c>
      <x:c r="F554" s="50" t="n">
        <x:f>MIN(C554-E554,MAX(0,Inputs!$B$20-O554))</x:f>
        <x:v>0</x:v>
      </x:c>
      <x:c r="G554" s="50" t="n">
        <x:f>0</x:f>
        <x:v>0</x:v>
      </x:c>
      <x:c r="H554" s="41" t="n">
        <x:f>0</x:f>
        <x:v>0</x:v>
      </x:c>
      <x:c r="I554" s="50" t="n">
        <x:f>(I553*(1+Inputs!$B$12))+E554</x:f>
        <x:v>403172.60386198654</x:v>
      </x:c>
      <x:c r="J554" s="50" t="n">
        <x:f>(J553*(1+Inputs!$B$12))+F554+P554</x:f>
        <x:v>466619.33281598066</x:v>
      </x:c>
      <x:c r="K554" s="50" t="n">
        <x:f>(K553*(1+Inputs!$B$12))*(1-H554)</x:f>
        <x:v>0</x:v>
      </x:c>
      <x:c r="L554" s="50" t="n">
        <x:f>L553*(1+Inputs!$B$13)+Q554</x:f>
        <x:v>35896.57537808954</x:v>
      </x:c>
      <x:c r="M554" s="50" t="n">
        <x:f>I554+J554+L554</x:f>
        <x:v>905688.5120560568</x:v>
      </x:c>
      <x:c r="N554" s="50" t="n">
        <x:f>F554+P554</x:f>
        <x:v>0</x:v>
      </x:c>
      <x:c r="O554" s="50" t="n">
        <x:f>IF(B554=1,0,O553+F553+P553)</x:f>
        <x:v>0</x:v>
      </x:c>
      <x:c r="P554" s="50" t="n">
        <x:f>MIN(G554,MAX(0,Inputs!$B$20-O554-F554))</x:f>
        <x:v>0</x:v>
      </x:c>
      <x:c r="Q554" s="50" t="n">
        <x:f>(C554-E554-F554)+(G554-P554)</x:f>
        <x:v>0</x:v>
      </x:c>
    </x:row>
    <x:row r="555">
      <x:c r="A555" s="41" t="n">
        <x:f>IF(B555=1,A554+1,A554)</x:f>
        <x:v>2048</x:v>
      </x:c>
      <x:c r="B555" s="41" t="n">
        <x:f>IF(B554=26,1,B554+1)</x:f>
        <x:v>8</x:v>
      </x:c>
      <x:c r="C555" s="48" t="n">
        <x:f>Inputs!$F$24</x:f>
        <x:v>600</x:v>
      </x:c>
      <x:c r="D555" s="50" t="n">
        <x:f>IF(B555=1,0,D554+E554)</x:f>
        <x:v>4200</x:v>
      </x:c>
      <x:c r="E555" s="50" t="n">
        <x:f>MIN(C555,MAX(0,Inputs!$B$7-D555))</x:f>
        <x:v>600</x:v>
      </x:c>
      <x:c r="F555" s="50" t="n">
        <x:f>MIN(C555-E555,MAX(0,Inputs!$B$20-O555))</x:f>
        <x:v>0</x:v>
      </x:c>
      <x:c r="G555" s="50" t="n">
        <x:f>0</x:f>
        <x:v>0</x:v>
      </x:c>
      <x:c r="H555" s="41" t="n">
        <x:f>0</x:f>
        <x:v>0</x:v>
      </x:c>
      <x:c r="I555" s="50" t="n">
        <x:f>(I554*(1+Inputs!$B$12))+E555</x:f>
        <x:v>404529.8856198258</x:v>
      </x:c>
      <x:c r="J555" s="50" t="n">
        <x:f>(J554*(1+Inputs!$B$12))+F555+P555</x:f>
        <x:v>467495.7869827862</x:v>
      </x:c>
      <x:c r="K555" s="50" t="n">
        <x:f>(K554*(1+Inputs!$B$12))*(1-H555)</x:f>
        <x:v>0</x:v>
      </x:c>
      <x:c r="L555" s="50" t="n">
        <x:f>L554*(1+Inputs!$B$13)+Q555</x:f>
        <x:v>35959.38197765256</x:v>
      </x:c>
      <x:c r="M555" s="50" t="n">
        <x:f>I555+J555+L555</x:f>
        <x:v>907985.0545802646</x:v>
      </x:c>
      <x:c r="N555" s="50" t="n">
        <x:f>F555+P555</x:f>
        <x:v>0</x:v>
      </x:c>
      <x:c r="O555" s="50" t="n">
        <x:f>IF(B555=1,0,O554+F554+P554)</x:f>
        <x:v>0</x:v>
      </x:c>
      <x:c r="P555" s="50" t="n">
        <x:f>MIN(G555,MAX(0,Inputs!$B$20-O555-F555))</x:f>
        <x:v>0</x:v>
      </x:c>
      <x:c r="Q555" s="50" t="n">
        <x:f>(C555-E555-F555)+(G555-P555)</x:f>
        <x:v>0</x:v>
      </x:c>
    </x:row>
    <x:row r="556">
      <x:c r="A556" s="41" t="n">
        <x:f>IF(B556=1,A555+1,A555)</x:f>
        <x:v>2048</x:v>
      </x:c>
      <x:c r="B556" s="41" t="n">
        <x:f>IF(B555=26,1,B555+1)</x:f>
        <x:v>9</x:v>
      </x:c>
      <x:c r="C556" s="48" t="n">
        <x:f>Inputs!$F$24</x:f>
        <x:v>600</x:v>
      </x:c>
      <x:c r="D556" s="50" t="n">
        <x:f>IF(B556=1,0,D555+E555)</x:f>
        <x:v>4800</x:v>
      </x:c>
      <x:c r="E556" s="50" t="n">
        <x:f>MIN(C556,MAX(0,Inputs!$B$7-D556))</x:f>
        <x:v>600</x:v>
      </x:c>
      <x:c r="F556" s="50" t="n">
        <x:f>MIN(C556-E556,MAX(0,Inputs!$B$20-O556))</x:f>
        <x:v>0</x:v>
      </x:c>
      <x:c r="G556" s="50" t="n">
        <x:f>SUM(N522:N547)*Inputs!$B$6</x:f>
        <x:v>3257.1428572756868</x:v>
      </x:c>
      <x:c r="H556" s="41" t="n">
        <x:f>0</x:f>
        <x:v>0</x:v>
      </x:c>
      <x:c r="I556" s="50" t="n">
        <x:f>(I555*(1+Inputs!$B$12))+E556</x:f>
        <x:v>405889.71676893224</x:v>
      </x:c>
      <x:c r="J556" s="50" t="n">
        <x:f>(J555*(1+Inputs!$B$12))+F556+P556</x:f>
        <x:v>471631.0302565028</x:v>
      </x:c>
      <x:c r="K556" s="50" t="n">
        <x:f>(K555*(1+Inputs!$B$12))*(1-H556)</x:f>
        <x:v>0</x:v>
      </x:c>
      <x:c r="L556" s="50" t="n">
        <x:f>L555*(1+Inputs!$B$13)+Q556</x:f>
        <x:v>36022.29846705625</x:v>
      </x:c>
      <x:c r="M556" s="50" t="n">
        <x:f>I556+J556+L556</x:f>
        <x:v>913543.0454924913</x:v>
      </x:c>
      <x:c r="N556" s="50" t="n">
        <x:f>F556+P556</x:f>
        <x:v>3257.1428572756868</x:v>
      </x:c>
      <x:c r="O556" s="50" t="n">
        <x:f>IF(B556=1,0,O555+F555+P555)</x:f>
        <x:v>0</x:v>
      </x:c>
      <x:c r="P556" s="50" t="n">
        <x:f>MIN(G556,MAX(0,Inputs!$B$20-O556-F556))</x:f>
        <x:v>3257.1428572756868</x:v>
      </x:c>
      <x:c r="Q556" s="50" t="n">
        <x:f>(C556-E556-F556)+(G556-P556)</x:f>
        <x:v>0</x:v>
      </x:c>
    </x:row>
    <x:row r="557">
      <x:c r="A557" s="41" t="n">
        <x:f>IF(B557=1,A556+1,A556)</x:f>
        <x:v>2048</x:v>
      </x:c>
      <x:c r="B557" s="41" t="n">
        <x:f>IF(B556=26,1,B556+1)</x:f>
        <x:v>10</x:v>
      </x:c>
      <x:c r="C557" s="48" t="n">
        <x:f>Inputs!$F$24</x:f>
        <x:v>600</x:v>
      </x:c>
      <x:c r="D557" s="50" t="n">
        <x:f>IF(B557=1,0,D556+E556)</x:f>
        <x:v>5400</x:v>
      </x:c>
      <x:c r="E557" s="50" t="n">
        <x:f>MIN(C557,MAX(0,Inputs!$B$7-D557))</x:f>
        <x:v>600</x:v>
      </x:c>
      <x:c r="F557" s="50" t="n">
        <x:f>MIN(C557-E557,MAX(0,Inputs!$B$20-O557))</x:f>
        <x:v>0</x:v>
      </x:c>
      <x:c r="G557" s="50" t="n">
        <x:f>0</x:f>
        <x:v>0</x:v>
      </x:c>
      <x:c r="H557" s="41" t="n">
        <x:f>0</x:f>
        <x:v>0</x:v>
      </x:c>
      <x:c r="I557" s="50" t="n">
        <x:f>(I556*(1+Inputs!$B$12))+E557</x:f>
        <x:v>407252.1020978443</x:v>
      </x:c>
      <x:c r="J557" s="50" t="n">
        <x:f>(J556*(1+Inputs!$B$12))+F557+P557</x:f>
        <x:v>472516.89792762673</x:v>
      </x:c>
      <x:c r="K557" s="50" t="n">
        <x:f>(K556*(1+Inputs!$B$12))*(1-H557)</x:f>
        <x:v>0</x:v>
      </x:c>
      <x:c r="L557" s="50" t="n">
        <x:f>L556*(1+Inputs!$B$13)+Q557</x:f>
        <x:v>36085.32503856984</x:v>
      </x:c>
      <x:c r="M557" s="50" t="n">
        <x:f>I557+J557+L557</x:f>
        <x:v>915854.3250640408</x:v>
      </x:c>
      <x:c r="N557" s="50" t="n">
        <x:f>F557+P557</x:f>
        <x:v>0</x:v>
      </x:c>
      <x:c r="O557" s="50" t="n">
        <x:f>IF(B557=1,0,O556+F556+P556)</x:f>
        <x:v>3257.1428572756868</x:v>
      </x:c>
      <x:c r="P557" s="50" t="n">
        <x:f>MIN(G557,MAX(0,Inputs!$B$20-O557-F557))</x:f>
        <x:v>0</x:v>
      </x:c>
      <x:c r="Q557" s="50" t="n">
        <x:f>(C557-E557-F557)+(G557-P557)</x:f>
        <x:v>0</x:v>
      </x:c>
    </x:row>
    <x:row r="558">
      <x:c r="A558" s="41" t="n">
        <x:f>IF(B558=1,A557+1,A557)</x:f>
        <x:v>2048</x:v>
      </x:c>
      <x:c r="B558" s="41" t="n">
        <x:f>IF(B557=26,1,B557+1)</x:f>
        <x:v>11</x:v>
      </x:c>
      <x:c r="C558" s="48" t="n">
        <x:f>Inputs!$F$24</x:f>
        <x:v>600</x:v>
      </x:c>
      <x:c r="D558" s="50" t="n">
        <x:f>IF(B558=1,0,D557+E557)</x:f>
        <x:v>6000</x:v>
      </x:c>
      <x:c r="E558" s="50" t="n">
        <x:f>MIN(C558,MAX(0,Inputs!$B$7-D558))</x:f>
        <x:v>600</x:v>
      </x:c>
      <x:c r="F558" s="50" t="n">
        <x:f>MIN(C558-E558,MAX(0,Inputs!$B$20-O558))</x:f>
        <x:v>0</x:v>
      </x:c>
      <x:c r="G558" s="50" t="n">
        <x:f>0</x:f>
        <x:v>0</x:v>
      </x:c>
      <x:c r="H558" s="41" t="n">
        <x:f>0</x:f>
        <x:v>0</x:v>
      </x:c>
      <x:c r="I558" s="50" t="n">
        <x:f>(I557*(1+Inputs!$B$12))+E558</x:f>
        <x:v>408617.0464040947</x:v>
      </x:c>
      <x:c r="J558" s="50" t="n">
        <x:f>(J557*(1+Inputs!$B$12))+F558+P558</x:f>
        <x:v>473404.4295298332</x:v>
      </x:c>
      <x:c r="K558" s="50" t="n">
        <x:f>(K557*(1+Inputs!$B$12))*(1-H558)</x:f>
        <x:v>0</x:v>
      </x:c>
      <x:c r="L558" s="50" t="n">
        <x:f>L557*(1+Inputs!$B$13)+Q558</x:f>
        <x:v>36148.46188479898</x:v>
      </x:c>
      <x:c r="M558" s="50" t="n">
        <x:f>I558+J558+L558</x:f>
        <x:v>918169.9378187269</x:v>
      </x:c>
      <x:c r="N558" s="50" t="n">
        <x:f>F558+P558</x:f>
        <x:v>0</x:v>
      </x:c>
      <x:c r="O558" s="50" t="n">
        <x:f>IF(B558=1,0,O557+F557+P557)</x:f>
        <x:v>3257.1428572756868</x:v>
      </x:c>
      <x:c r="P558" s="50" t="n">
        <x:f>MIN(G558,MAX(0,Inputs!$B$20-O558-F558))</x:f>
        <x:v>0</x:v>
      </x:c>
      <x:c r="Q558" s="50" t="n">
        <x:f>(C558-E558-F558)+(G558-P558)</x:f>
        <x:v>0</x:v>
      </x:c>
    </x:row>
    <x:row r="559">
      <x:c r="A559" s="41" t="n">
        <x:f>IF(B559=1,A558+1,A558)</x:f>
        <x:v>2048</x:v>
      </x:c>
      <x:c r="B559" s="41" t="n">
        <x:f>IF(B558=26,1,B558+1)</x:f>
        <x:v>12</x:v>
      </x:c>
      <x:c r="C559" s="48" t="n">
        <x:f>Inputs!$F$24</x:f>
        <x:v>600</x:v>
      </x:c>
      <x:c r="D559" s="50" t="n">
        <x:f>IF(B559=1,0,D558+E558)</x:f>
        <x:v>6600</x:v>
      </x:c>
      <x:c r="E559" s="50" t="n">
        <x:f>MIN(C559,MAX(0,Inputs!$B$7-D559))</x:f>
        <x:v>600</x:v>
      </x:c>
      <x:c r="F559" s="50" t="n">
        <x:f>MIN(C559-E559,MAX(0,Inputs!$B$20-O559))</x:f>
        <x:v>0</x:v>
      </x:c>
      <x:c r="G559" s="50" t="n">
        <x:f>0</x:f>
        <x:v>0</x:v>
      </x:c>
      <x:c r="H559" s="41" t="n">
        <x:f>0</x:f>
        <x:v>0</x:v>
      </x:c>
      <x:c r="I559" s="50" t="n">
        <x:f>(I558*(1+Inputs!$B$12))+E559</x:f>
        <x:v>409984.5544942275</x:v>
      </x:c>
      <x:c r="J559" s="50" t="n">
        <x:f>(J558*(1+Inputs!$B$12))+F559+P559</x:f>
        <x:v>474293.62818849494</x:v>
      </x:c>
      <x:c r="K559" s="50" t="n">
        <x:f>(K558*(1+Inputs!$B$12))*(1-H559)</x:f>
        <x:v>0</x:v>
      </x:c>
      <x:c r="L559" s="50" t="n">
        <x:f>L558*(1+Inputs!$B$13)+Q559</x:f>
        <x:v>36211.709198686294</x:v>
      </x:c>
      <x:c r="M559" s="50" t="n">
        <x:f>I559+J559+L559</x:f>
        <x:v>920489.8918814088</x:v>
      </x:c>
      <x:c r="N559" s="50" t="n">
        <x:f>F559+P559</x:f>
        <x:v>0</x:v>
      </x:c>
      <x:c r="O559" s="50" t="n">
        <x:f>IF(B559=1,0,O558+F558+P558)</x:f>
        <x:v>3257.1428572756868</x:v>
      </x:c>
      <x:c r="P559" s="50" t="n">
        <x:f>MIN(G559,MAX(0,Inputs!$B$20-O559-F559))</x:f>
        <x:v>0</x:v>
      </x:c>
      <x:c r="Q559" s="50" t="n">
        <x:f>(C559-E559-F559)+(G559-P559)</x:f>
        <x:v>0</x:v>
      </x:c>
    </x:row>
    <x:row r="560">
      <x:c r="A560" s="41" t="n">
        <x:f>IF(B560=1,A559+1,A559)</x:f>
        <x:v>2048</x:v>
      </x:c>
      <x:c r="B560" s="41" t="n">
        <x:f>IF(B559=26,1,B559+1)</x:f>
        <x:v>13</x:v>
      </x:c>
      <x:c r="C560" s="48" t="n">
        <x:f>Inputs!$F$24</x:f>
        <x:v>600</x:v>
      </x:c>
      <x:c r="D560" s="50" t="n">
        <x:f>IF(B560=1,0,D559+E559)</x:f>
        <x:v>7200</x:v>
      </x:c>
      <x:c r="E560" s="50" t="n">
        <x:f>MIN(C560,MAX(0,Inputs!$B$7-D560))</x:f>
        <x:v>600</x:v>
      </x:c>
      <x:c r="F560" s="50" t="n">
        <x:f>MIN(C560-E560,MAX(0,Inputs!$B$20-O560))</x:f>
        <x:v>0</x:v>
      </x:c>
      <x:c r="G560" s="50" t="n">
        <x:f>0</x:f>
        <x:v>0</x:v>
      </x:c>
      <x:c r="H560" s="41" t="n">
        <x:f>0</x:f>
        <x:v>0</x:v>
      </x:c>
      <x:c r="I560" s="50" t="n">
        <x:f>(I559*(1+Inputs!$B$12))+E560</x:f>
        <x:v>411354.63118381484</x:v>
      </x:c>
      <x:c r="J560" s="50" t="n">
        <x:f>(J559*(1+Inputs!$B$12))+F560+P560</x:f>
        <x:v>475184.49703485507</x:v>
      </x:c>
      <x:c r="K560" s="50" t="n">
        <x:f>(K559*(1+Inputs!$B$12))*(1-H560)</x:f>
        <x:v>0</x:v>
      </x:c>
      <x:c r="L560" s="50" t="n">
        <x:f>L559*(1+Inputs!$B$13)+Q560</x:f>
        <x:v>36275.06717351201</x:v>
      </x:c>
      <x:c r="M560" s="50" t="n">
        <x:f>I560+J560+L560</x:f>
        <x:v>922814.1953921819</x:v>
      </x:c>
      <x:c r="N560" s="50" t="n">
        <x:f>F560+P560</x:f>
        <x:v>0</x:v>
      </x:c>
      <x:c r="O560" s="50" t="n">
        <x:f>IF(B560=1,0,O559+F559+P559)</x:f>
        <x:v>3257.1428572756868</x:v>
      </x:c>
      <x:c r="P560" s="50" t="n">
        <x:f>MIN(G560,MAX(0,Inputs!$B$20-O560-F560))</x:f>
        <x:v>0</x:v>
      </x:c>
      <x:c r="Q560" s="50" t="n">
        <x:f>(C560-E560-F560)+(G560-P560)</x:f>
        <x:v>0</x:v>
      </x:c>
    </x:row>
    <x:row r="561">
      <x:c r="A561" s="41" t="n">
        <x:f>IF(B561=1,A560+1,A560)</x:f>
        <x:v>2048</x:v>
      </x:c>
      <x:c r="B561" s="41" t="n">
        <x:f>IF(B560=26,1,B560+1)</x:f>
        <x:v>14</x:v>
      </x:c>
      <x:c r="C561" s="48" t="n">
        <x:f>Inputs!$F$24</x:f>
        <x:v>600</x:v>
      </x:c>
      <x:c r="D561" s="50" t="n">
        <x:f>IF(B561=1,0,D560+E560)</x:f>
        <x:v>7800</x:v>
      </x:c>
      <x:c r="E561" s="50" t="n">
        <x:f>MIN(C561,MAX(0,Inputs!$B$7-D561))</x:f>
        <x:v>200</x:v>
      </x:c>
      <x:c r="F561" s="50" t="n">
        <x:f>MIN(C561-E561,MAX(0,Inputs!$B$20-O561))</x:f>
        <x:v>400</x:v>
      </x:c>
      <x:c r="G561" s="50" t="n">
        <x:f>0</x:f>
        <x:v>0</x:v>
      </x:c>
      <x:c r="H561" s="41" t="n">
        <x:f>0</x:f>
        <x:v>0</x:v>
      </x:c>
      <x:c r="I561" s="50" t="n">
        <x:f>(I560*(1+Inputs!$B$12))+E561</x:f>
        <x:v>412327.28129747394</x:v>
      </x:c>
      <x:c r="J561" s="50" t="n">
        <x:f>(J560*(1+Inputs!$B$12))+F561+P561</x:f>
        <x:v>476477.0392060382</x:v>
      </x:c>
      <x:c r="K561" s="50" t="n">
        <x:f>(K560*(1+Inputs!$B$12))*(1-H561)</x:f>
        <x:v>0</x:v>
      </x:c>
      <x:c r="L561" s="50" t="n">
        <x:f>L560*(1+Inputs!$B$13)+Q561</x:f>
        <x:v>36338.53600289452</x:v>
      </x:c>
      <x:c r="M561" s="50" t="n">
        <x:f>I561+J561+L561</x:f>
        <x:v>925142.8565064067</x:v>
      </x:c>
      <x:c r="N561" s="50" t="n">
        <x:f>F561+P561</x:f>
        <x:v>400</x:v>
      </x:c>
      <x:c r="O561" s="50" t="n">
        <x:f>IF(B561=1,0,O560+F560+P560)</x:f>
        <x:v>3257.1428572756868</x:v>
      </x:c>
      <x:c r="P561" s="50" t="n">
        <x:f>MIN(G561,MAX(0,Inputs!$B$20-O561-F561))</x:f>
        <x:v>0</x:v>
      </x:c>
      <x:c r="Q561" s="50" t="n">
        <x:f>(C561-E561-F561)+(G561-P561)</x:f>
        <x:v>0</x:v>
      </x:c>
    </x:row>
    <x:row r="562">
      <x:c r="A562" s="41" t="n">
        <x:f>IF(B562=1,A561+1,A561)</x:f>
        <x:v>2048</x:v>
      </x:c>
      <x:c r="B562" s="41" t="n">
        <x:f>IF(B561=26,1,B561+1)</x:f>
        <x:v>15</x:v>
      </x:c>
      <x:c r="C562" s="48" t="n">
        <x:f>Inputs!$F$24</x:f>
        <x:v>600</x:v>
      </x:c>
      <x:c r="D562" s="50" t="n">
        <x:f>IF(B562=1,0,D561+E561)</x:f>
        <x:v>8000</x:v>
      </x:c>
      <x:c r="E562" s="50" t="n">
        <x:f>MIN(C562,MAX(0,Inputs!$B$7-D562))</x:f>
        <x:v>0</x:v>
      </x:c>
      <x:c r="F562" s="50" t="n">
        <x:f>MIN(C562-E562,MAX(0,Inputs!$B$20-O562))</x:f>
        <x:v>600</x:v>
      </x:c>
      <x:c r="G562" s="50" t="n">
        <x:f>0</x:f>
        <x:v>0</x:v>
      </x:c>
      <x:c r="H562" s="41" t="n">
        <x:f>0</x:f>
        <x:v>0</x:v>
      </x:c>
      <x:c r="I562" s="50" t="n">
        <x:f>(I561*(1+Inputs!$B$12))+E562</x:f>
        <x:v>413101.7583462491</x:v>
      </x:c>
      <x:c r="J562" s="50" t="n">
        <x:f>(J561*(1+Inputs!$B$12))+F562+P562</x:f>
        <x:v>477972.00916769635</x:v>
      </x:c>
      <x:c r="K562" s="50" t="n">
        <x:f>(K561*(1+Inputs!$B$12))*(1-H562)</x:f>
        <x:v>0</x:v>
      </x:c>
      <x:c r="L562" s="50" t="n">
        <x:f>L561*(1+Inputs!$B$13)+Q562</x:f>
        <x:v>36402.11588079099</x:v>
      </x:c>
      <x:c r="M562" s="50" t="n">
        <x:f>I562+J562+L562</x:f>
        <x:v>927475.8833947364</x:v>
      </x:c>
      <x:c r="N562" s="50" t="n">
        <x:f>F562+P562</x:f>
        <x:v>600</x:v>
      </x:c>
      <x:c r="O562" s="50" t="n">
        <x:f>IF(B562=1,0,O561+F561+P561)</x:f>
        <x:v>3657.1428572756868</x:v>
      </x:c>
      <x:c r="P562" s="50" t="n">
        <x:f>MIN(G562,MAX(0,Inputs!$B$20-O562-F562))</x:f>
        <x:v>0</x:v>
      </x:c>
      <x:c r="Q562" s="50" t="n">
        <x:f>(C562-E562-F562)+(G562-P562)</x:f>
        <x:v>0</x:v>
      </x:c>
    </x:row>
    <x:row r="563">
      <x:c r="A563" s="41" t="n">
        <x:f>IF(B563=1,A562+1,A562)</x:f>
        <x:v>2048</x:v>
      </x:c>
      <x:c r="B563" s="41" t="n">
        <x:f>IF(B562=26,1,B562+1)</x:f>
        <x:v>16</x:v>
      </x:c>
      <x:c r="C563" s="48" t="n">
        <x:f>Inputs!$F$24</x:f>
        <x:v>600</x:v>
      </x:c>
      <x:c r="D563" s="50" t="n">
        <x:f>IF(B563=1,0,D562+E562)</x:f>
        <x:v>8000</x:v>
      </x:c>
      <x:c r="E563" s="50" t="n">
        <x:f>MIN(C563,MAX(0,Inputs!$B$7-D563))</x:f>
        <x:v>0</x:v>
      </x:c>
      <x:c r="F563" s="50" t="n">
        <x:f>MIN(C563-E563,MAX(0,Inputs!$B$20-O563))</x:f>
        <x:v>600</x:v>
      </x:c>
      <x:c r="G563" s="50" t="n">
        <x:f>0</x:f>
        <x:v>0</x:v>
      </x:c>
      <x:c r="H563" s="41" t="n">
        <x:f>0</x:f>
        <x:v>0</x:v>
      </x:c>
      <x:c r="I563" s="50" t="n">
        <x:f>(I562*(1+Inputs!$B$12))+E563</x:f>
        <x:v>413877.69010036706</x:v>
      </x:c>
      <x:c r="J563" s="50" t="n">
        <x:f>(J562*(1+Inputs!$B$12))+F563+P563</x:f>
        <x:v>479469.78714128205</x:v>
      </x:c>
      <x:c r="K563" s="50" t="n">
        <x:f>(K562*(1+Inputs!$B$12))*(1-H563)</x:f>
        <x:v>0</x:v>
      </x:c>
      <x:c r="L563" s="50" t="n">
        <x:f>L562*(1+Inputs!$B$13)+Q563</x:f>
        <x:v>36465.807001497924</x:v>
      </x:c>
      <x:c r="M563" s="50" t="n">
        <x:f>I563+J563+L563</x:f>
        <x:v>929813.284243147</x:v>
      </x:c>
      <x:c r="N563" s="50" t="n">
        <x:f>F563+P563</x:f>
        <x:v>600</x:v>
      </x:c>
      <x:c r="O563" s="50" t="n">
        <x:f>IF(B563=1,0,O562+F562+P562)</x:f>
        <x:v>4257.142857275687</x:v>
      </x:c>
      <x:c r="P563" s="50" t="n">
        <x:f>MIN(G563,MAX(0,Inputs!$B$20-O563-F563))</x:f>
        <x:v>0</x:v>
      </x:c>
      <x:c r="Q563" s="50" t="n">
        <x:f>(C563-E563-F563)+(G563-P563)</x:f>
        <x:v>0</x:v>
      </x:c>
    </x:row>
    <x:row r="564">
      <x:c r="A564" s="41" t="n">
        <x:f>IF(B564=1,A563+1,A563)</x:f>
        <x:v>2048</x:v>
      </x:c>
      <x:c r="B564" s="41" t="n">
        <x:f>IF(B563=26,1,B563+1)</x:f>
        <x:v>17</x:v>
      </x:c>
      <x:c r="C564" s="48" t="n">
        <x:f>Inputs!$F$24</x:f>
        <x:v>600</x:v>
      </x:c>
      <x:c r="D564" s="50" t="n">
        <x:f>IF(B564=1,0,D563+E563)</x:f>
        <x:v>8000</x:v>
      </x:c>
      <x:c r="E564" s="50" t="n">
        <x:f>MIN(C564,MAX(0,Inputs!$B$7-D564))</x:f>
        <x:v>0</x:v>
      </x:c>
      <x:c r="F564" s="50" t="n">
        <x:f>MIN(C564-E564,MAX(0,Inputs!$B$20-O564))</x:f>
        <x:v>600</x:v>
      </x:c>
      <x:c r="G564" s="50" t="n">
        <x:f>0</x:f>
        <x:v>0</x:v>
      </x:c>
      <x:c r="H564" s="41" t="n">
        <x:f>0</x:f>
        <x:v>0</x:v>
      </x:c>
      <x:c r="I564" s="50" t="n">
        <x:f>(I563*(1+Inputs!$B$12))+E564</x:f>
        <x:v>414655.07929221046</x:v>
      </x:c>
      <x:c r="J564" s="50" t="n">
        <x:f>(J563*(1+Inputs!$B$12))+F564+P564</x:f>
        <x:v>480970.37840110256</x:v>
      </x:c>
      <x:c r="K564" s="50" t="n">
        <x:f>(K563*(1+Inputs!$B$12))*(1-H564)</x:f>
        <x:v>0</x:v>
      </x:c>
      <x:c r="L564" s="50" t="n">
        <x:f>L563*(1+Inputs!$B$13)+Q564</x:f>
        <x:v>36529.6095596518</x:v>
      </x:c>
      <x:c r="M564" s="50" t="n">
        <x:f>I564+J564+L564</x:f>
        <x:v>932155.0672529648</x:v>
      </x:c>
      <x:c r="N564" s="50" t="n">
        <x:f>F564+P564</x:f>
        <x:v>600</x:v>
      </x:c>
      <x:c r="O564" s="50" t="n">
        <x:f>IF(B564=1,0,O563+F563+P563)</x:f>
        <x:v>4857.142857275687</x:v>
      </x:c>
      <x:c r="P564" s="50" t="n">
        <x:f>MIN(G564,MAX(0,Inputs!$B$20-O564-F564))</x:f>
        <x:v>0</x:v>
      </x:c>
      <x:c r="Q564" s="50" t="n">
        <x:f>(C564-E564-F564)+(G564-P564)</x:f>
        <x:v>0</x:v>
      </x:c>
    </x:row>
    <x:row r="565">
      <x:c r="A565" s="41" t="n">
        <x:f>IF(B565=1,A564+1,A564)</x:f>
        <x:v>2048</x:v>
      </x:c>
      <x:c r="B565" s="41" t="n">
        <x:f>IF(B564=26,1,B564+1)</x:f>
        <x:v>18</x:v>
      </x:c>
      <x:c r="C565" s="48" t="n">
        <x:f>Inputs!$F$24</x:f>
        <x:v>600</x:v>
      </x:c>
      <x:c r="D565" s="50" t="n">
        <x:f>IF(B565=1,0,D564+E564)</x:f>
        <x:v>8000</x:v>
      </x:c>
      <x:c r="E565" s="50" t="n">
        <x:f>MIN(C565,MAX(0,Inputs!$B$7-D565))</x:f>
        <x:v>0</x:v>
      </x:c>
      <x:c r="F565" s="50" t="n">
        <x:f>MIN(C565-E565,MAX(0,Inputs!$B$20-O565))</x:f>
        <x:v>600</x:v>
      </x:c>
      <x:c r="G565" s="50" t="n">
        <x:f>0</x:f>
        <x:v>0</x:v>
      </x:c>
      <x:c r="H565" s="41" t="n">
        <x:f>0</x:f>
        <x:v>0</x:v>
      </x:c>
      <x:c r="I565" s="50" t="n">
        <x:f>(I564*(1+Inputs!$B$12))+E565</x:f>
        <x:v>415433.92865929415</x:v>
      </x:c>
      <x:c r="J565" s="50" t="n">
        <x:f>(J564*(1+Inputs!$B$12))+F565+P565</x:f>
        <x:v>482473.7882313719</x:v>
      </x:c>
      <x:c r="K565" s="50" t="n">
        <x:f>(K564*(1+Inputs!$B$12))*(1-H565)</x:f>
        <x:v>0</x:v>
      </x:c>
      <x:c r="L565" s="50" t="n">
        <x:f>L564*(1+Inputs!$B$13)+Q565</x:f>
        <x:v>36593.52375022963</x:v>
      </x:c>
      <x:c r="M565" s="50" t="n">
        <x:f>I565+J565+L565</x:f>
        <x:v>934501.2406408957</x:v>
      </x:c>
      <x:c r="N565" s="50" t="n">
        <x:f>F565+P565</x:f>
        <x:v>600</x:v>
      </x:c>
      <x:c r="O565" s="50" t="n">
        <x:f>IF(B565=1,0,O564+F564+P564)</x:f>
        <x:v>5457.142857275687</x:v>
      </x:c>
      <x:c r="P565" s="50" t="n">
        <x:f>MIN(G565,MAX(0,Inputs!$B$20-O565-F565))</x:f>
        <x:v>0</x:v>
      </x:c>
      <x:c r="Q565" s="50" t="n">
        <x:f>(C565-E565-F565)+(G565-P565)</x:f>
        <x:v>0</x:v>
      </x:c>
    </x:row>
    <x:row r="566">
      <x:c r="A566" s="41" t="n">
        <x:f>IF(B566=1,A565+1,A565)</x:f>
        <x:v>2048</x:v>
      </x:c>
      <x:c r="B566" s="41" t="n">
        <x:f>IF(B565=26,1,B565+1)</x:f>
        <x:v>19</x:v>
      </x:c>
      <x:c r="C566" s="48" t="n">
        <x:f>Inputs!$F$24</x:f>
        <x:v>600</x:v>
      </x:c>
      <x:c r="D566" s="50" t="n">
        <x:f>IF(B566=1,0,D565+E565)</x:f>
        <x:v>8000</x:v>
      </x:c>
      <x:c r="E566" s="50" t="n">
        <x:f>MIN(C566,MAX(0,Inputs!$B$7-D566))</x:f>
        <x:v>0</x:v>
      </x:c>
      <x:c r="F566" s="50" t="n">
        <x:f>MIN(C566-E566,MAX(0,Inputs!$B$20-O566))</x:f>
        <x:v>600</x:v>
      </x:c>
      <x:c r="G566" s="50" t="n">
        <x:f>0</x:f>
        <x:v>0</x:v>
      </x:c>
      <x:c r="H566" s="41" t="n">
        <x:f>0</x:f>
        <x:v>0</x:v>
      </x:c>
      <x:c r="I566" s="50" t="n">
        <x:f>(I565*(1+Inputs!$B$12))+E566</x:f>
        <x:v>416214.2409442749</x:v>
      </x:c>
      <x:c r="J566" s="50" t="n">
        <x:f>(J565*(1+Inputs!$B$12))+F566+P566</x:f>
        <x:v>483980.0219262295</x:v>
      </x:c>
      <x:c r="K566" s="50" t="n">
        <x:f>(K565*(1+Inputs!$B$12))*(1-H566)</x:f>
        <x:v>0</x:v>
      </x:c>
      <x:c r="L566" s="50" t="n">
        <x:f>L565*(1+Inputs!$B$13)+Q566</x:f>
        <x:v>36657.549768549565</x:v>
      </x:c>
      <x:c r="M566" s="50" t="n">
        <x:f>I566+J566+L566</x:f>
        <x:v>936851.8126390539</x:v>
      </x:c>
      <x:c r="N566" s="50" t="n">
        <x:f>F566+P566</x:f>
        <x:v>600</x:v>
      </x:c>
      <x:c r="O566" s="50" t="n">
        <x:f>IF(B566=1,0,O565+F565+P565)</x:f>
        <x:v>6057.142857275687</x:v>
      </x:c>
      <x:c r="P566" s="50" t="n">
        <x:f>MIN(G566,MAX(0,Inputs!$B$20-O566-F566))</x:f>
        <x:v>0</x:v>
      </x:c>
      <x:c r="Q566" s="50" t="n">
        <x:f>(C566-E566-F566)+(G566-P566)</x:f>
        <x:v>0</x:v>
      </x:c>
    </x:row>
    <x:row r="567">
      <x:c r="A567" s="41" t="n">
        <x:f>IF(B567=1,A566+1,A566)</x:f>
        <x:v>2048</x:v>
      </x:c>
      <x:c r="B567" s="41" t="n">
        <x:f>IF(B566=26,1,B566+1)</x:f>
        <x:v>20</x:v>
      </x:c>
      <x:c r="C567" s="48" t="n">
        <x:f>Inputs!$F$24</x:f>
        <x:v>600</x:v>
      </x:c>
      <x:c r="D567" s="50" t="n">
        <x:f>IF(B567=1,0,D566+E566)</x:f>
        <x:v>8000</x:v>
      </x:c>
      <x:c r="E567" s="50" t="n">
        <x:f>MIN(C567,MAX(0,Inputs!$B$7-D567))</x:f>
        <x:v>0</x:v>
      </x:c>
      <x:c r="F567" s="50" t="n">
        <x:f>MIN(C567-E567,MAX(0,Inputs!$B$20-O567))</x:f>
        <x:v>600</x:v>
      </x:c>
      <x:c r="G567" s="50" t="n">
        <x:f>0</x:f>
        <x:v>0</x:v>
      </x:c>
      <x:c r="H567" s="41" t="n">
        <x:f>0</x:f>
        <x:v>0</x:v>
      </x:c>
      <x:c r="I567" s="50" t="n">
        <x:f>(I566*(1+Inputs!$B$12))+E567</x:f>
        <x:v>416996.018894961</x:v>
      </x:c>
      <x:c r="J567" s="50" t="n">
        <x:f>(J566*(1+Inputs!$B$12))+F567+P567</x:f>
        <x:v>485489.0847897589</x:v>
      </x:c>
      <x:c r="K567" s="50" t="n">
        <x:f>(K566*(1+Inputs!$B$12))*(1-H567)</x:f>
        <x:v>0</x:v>
      </x:c>
      <x:c r="L567" s="50" t="n">
        <x:f>L566*(1+Inputs!$B$13)+Q567</x:f>
        <x:v>36721.687810271505</x:v>
      </x:c>
      <x:c r="M567" s="50" t="n">
        <x:f>I567+J567+L567</x:f>
        <x:v>939206.7914949914</x:v>
      </x:c>
      <x:c r="N567" s="50" t="n">
        <x:f>F567+P567</x:f>
        <x:v>600</x:v>
      </x:c>
      <x:c r="O567" s="50" t="n">
        <x:f>IF(B567=1,0,O566+F566+P566)</x:f>
        <x:v>6657.142857275687</x:v>
      </x:c>
      <x:c r="P567" s="50" t="n">
        <x:f>MIN(G567,MAX(0,Inputs!$B$20-O567-F567))</x:f>
        <x:v>0</x:v>
      </x:c>
      <x:c r="Q567" s="50" t="n">
        <x:f>(C567-E567-F567)+(G567-P567)</x:f>
        <x:v>0</x:v>
      </x:c>
    </x:row>
    <x:row r="568">
      <x:c r="A568" s="41" t="n">
        <x:f>IF(B568=1,A567+1,A567)</x:f>
        <x:v>2048</x:v>
      </x:c>
      <x:c r="B568" s="41" t="n">
        <x:f>IF(B567=26,1,B567+1)</x:f>
        <x:v>21</x:v>
      </x:c>
      <x:c r="C568" s="48" t="n">
        <x:f>Inputs!$F$24</x:f>
        <x:v>600</x:v>
      </x:c>
      <x:c r="D568" s="50" t="n">
        <x:f>IF(B568=1,0,D567+E567)</x:f>
        <x:v>8000</x:v>
      </x:c>
      <x:c r="E568" s="50" t="n">
        <x:f>MIN(C568,MAX(0,Inputs!$B$7-D568))</x:f>
        <x:v>0</x:v>
      </x:c>
      <x:c r="F568" s="50" t="n">
        <x:f>MIN(C568-E568,MAX(0,Inputs!$B$20-O568))</x:f>
        <x:v>600</x:v>
      </x:c>
      <x:c r="G568" s="50" t="n">
        <x:f>0</x:f>
        <x:v>0</x:v>
      </x:c>
      <x:c r="H568" s="41" t="n">
        <x:f>0</x:f>
        <x:v>0</x:v>
      </x:c>
      <x:c r="I568" s="50" t="n">
        <x:f>(I567*(1+Inputs!$B$12))+E568</x:f>
        <x:v>417779.26526432205</x:v>
      </x:c>
      <x:c r="J568" s="50" t="n">
        <x:f>(J567*(1+Inputs!$B$12))+F568+P568</x:f>
        <x:v>487000.98213600623</x:v>
      </x:c>
      <x:c r="K568" s="50" t="n">
        <x:f>(K567*(1+Inputs!$B$12))*(1-H568)</x:f>
        <x:v>0</x:v>
      </x:c>
      <x:c r="L568" s="50" t="n">
        <x:f>L567*(1+Inputs!$B$13)+Q568</x:f>
        <x:v>36785.938071397686</x:v>
      </x:c>
      <x:c r="M568" s="50" t="n">
        <x:f>I568+J568+L568</x:f>
        <x:v>941566.185471726</x:v>
      </x:c>
      <x:c r="N568" s="50" t="n">
        <x:f>F568+P568</x:f>
        <x:v>600</x:v>
      </x:c>
      <x:c r="O568" s="50" t="n">
        <x:f>IF(B568=1,0,O567+F567+P567)</x:f>
        <x:v>7257.142857275687</x:v>
      </x:c>
      <x:c r="P568" s="50" t="n">
        <x:f>MIN(G568,MAX(0,Inputs!$B$20-O568-F568))</x:f>
        <x:v>0</x:v>
      </x:c>
      <x:c r="Q568" s="50" t="n">
        <x:f>(C568-E568-F568)+(G568-P568)</x:f>
        <x:v>0</x:v>
      </x:c>
    </x:row>
    <x:row r="569">
      <x:c r="A569" s="41" t="n">
        <x:f>IF(B569=1,A568+1,A568)</x:f>
        <x:v>2048</x:v>
      </x:c>
      <x:c r="B569" s="41" t="n">
        <x:f>IF(B568=26,1,B568+1)</x:f>
        <x:v>22</x:v>
      </x:c>
      <x:c r="C569" s="48" t="n">
        <x:f>Inputs!$F$24</x:f>
        <x:v>600</x:v>
      </x:c>
      <x:c r="D569" s="50" t="n">
        <x:f>IF(B569=1,0,D568+E568)</x:f>
        <x:v>8000</x:v>
      </x:c>
      <x:c r="E569" s="50" t="n">
        <x:f>MIN(C569,MAX(0,Inputs!$B$7-D569))</x:f>
        <x:v>0</x:v>
      </x:c>
      <x:c r="F569" s="50" t="n">
        <x:f>MIN(C569-E569,MAX(0,Inputs!$B$20-O569))</x:f>
        <x:v>600</x:v>
      </x:c>
      <x:c r="G569" s="50" t="n">
        <x:f>0</x:f>
        <x:v>0</x:v>
      </x:c>
      <x:c r="H569" s="41" t="n">
        <x:f>0</x:f>
        <x:v>0</x:v>
      </x:c>
      <x:c r="I569" s="50" t="n">
        <x:f>(I568*(1+Inputs!$B$12))+E569</x:f>
        <x:v>418563.9828104985</x:v>
      </x:c>
      <x:c r="J569" s="50" t="n">
        <x:f>(J568*(1+Inputs!$B$12))+F569+P569</x:f>
        <x:v>488515.71928899904</x:v>
      </x:c>
      <x:c r="K569" s="50" t="n">
        <x:f>(K568*(1+Inputs!$B$12))*(1-H569)</x:f>
        <x:v>0</x:v>
      </x:c>
      <x:c r="L569" s="50" t="n">
        <x:f>L568*(1+Inputs!$B$13)+Q569</x:f>
        <x:v>36850.30074827328</x:v>
      </x:c>
      <x:c r="M569" s="50" t="n">
        <x:f>I569+J569+L569</x:f>
        <x:v>943930.0028477708</x:v>
      </x:c>
      <x:c r="N569" s="50" t="n">
        <x:f>F569+P569</x:f>
        <x:v>600</x:v>
      </x:c>
      <x:c r="O569" s="50" t="n">
        <x:f>IF(B569=1,0,O568+F568+P568)</x:f>
        <x:v>7857.142857275687</x:v>
      </x:c>
      <x:c r="P569" s="50" t="n">
        <x:f>MIN(G569,MAX(0,Inputs!$B$20-O569-F569))</x:f>
        <x:v>0</x:v>
      </x:c>
      <x:c r="Q569" s="50" t="n">
        <x:f>(C569-E569-F569)+(G569-P569)</x:f>
        <x:v>0</x:v>
      </x:c>
    </x:row>
    <x:row r="570">
      <x:c r="A570" s="41" t="n">
        <x:f>IF(B570=1,A569+1,A569)</x:f>
        <x:v>2048</x:v>
      </x:c>
      <x:c r="B570" s="41" t="n">
        <x:f>IF(B569=26,1,B569+1)</x:f>
        <x:v>23</x:v>
      </x:c>
      <x:c r="C570" s="48" t="n">
        <x:f>Inputs!$F$24</x:f>
        <x:v>600</x:v>
      </x:c>
      <x:c r="D570" s="50" t="n">
        <x:f>IF(B570=1,0,D569+E569)</x:f>
        <x:v>8000</x:v>
      </x:c>
      <x:c r="E570" s="50" t="n">
        <x:f>MIN(C570,MAX(0,Inputs!$B$7-D570))</x:f>
        <x:v>0</x:v>
      </x:c>
      <x:c r="F570" s="50" t="n">
        <x:f>MIN(C570-E570,MAX(0,Inputs!$B$20-O570))</x:f>
        <x:v>600</x:v>
      </x:c>
      <x:c r="G570" s="50" t="n">
        <x:f>0</x:f>
        <x:v>0</x:v>
      </x:c>
      <x:c r="H570" s="41" t="n">
        <x:f>0</x:f>
        <x:v>0</x:v>
      </x:c>
      <x:c r="I570" s="50" t="n">
        <x:f>(I569*(1+Inputs!$B$12))+E570</x:f>
        <x:v>419350.1742968115</x:v>
      </x:c>
      <x:c r="J570" s="50" t="n">
        <x:f>(J569*(1+Inputs!$B$12))+F570+P570</x:f>
        <x:v>490033.301582765</x:v>
      </x:c>
      <x:c r="K570" s="50" t="n">
        <x:f>(K569*(1+Inputs!$B$12))*(1-H570)</x:f>
        <x:v>0</x:v>
      </x:c>
      <x:c r="L570" s="50" t="n">
        <x:f>L569*(1+Inputs!$B$13)+Q570</x:f>
        <x:v>36914.77603758699</x:v>
      </x:c>
      <x:c r="M570" s="50" t="n">
        <x:f>I570+J570+L570</x:f>
        <x:v>946298.2519171635</x:v>
      </x:c>
      <x:c r="N570" s="50" t="n">
        <x:f>F570+P570</x:f>
        <x:v>600</x:v>
      </x:c>
      <x:c r="O570" s="50" t="n">
        <x:f>IF(B570=1,0,O569+F569+P569)</x:f>
        <x:v>8457.142857275687</x:v>
      </x:c>
      <x:c r="P570" s="50" t="n">
        <x:f>MIN(G570,MAX(0,Inputs!$B$20-O570-F570))</x:f>
        <x:v>0</x:v>
      </x:c>
      <x:c r="Q570" s="50" t="n">
        <x:f>(C570-E570-F570)+(G570-P570)</x:f>
        <x:v>0</x:v>
      </x:c>
    </x:row>
    <x:row r="571">
      <x:c r="A571" s="41" t="n">
        <x:f>IF(B571=1,A570+1,A570)</x:f>
        <x:v>2048</x:v>
      </x:c>
      <x:c r="B571" s="41" t="n">
        <x:f>IF(B570=26,1,B570+1)</x:f>
        <x:v>24</x:v>
      </x:c>
      <x:c r="C571" s="48" t="n">
        <x:f>Inputs!$F$24</x:f>
        <x:v>600</x:v>
      </x:c>
      <x:c r="D571" s="50" t="n">
        <x:f>IF(B571=1,0,D570+E570)</x:f>
        <x:v>8000</x:v>
      </x:c>
      <x:c r="E571" s="50" t="n">
        <x:f>MIN(C571,MAX(0,Inputs!$B$7-D571))</x:f>
        <x:v>0</x:v>
      </x:c>
      <x:c r="F571" s="50" t="n">
        <x:f>MIN(C571-E571,MAX(0,Inputs!$B$20-O571))</x:f>
        <x:v>600</x:v>
      </x:c>
      <x:c r="G571" s="50" t="n">
        <x:f>0</x:f>
        <x:v>0</x:v>
      </x:c>
      <x:c r="H571" s="41" t="n">
        <x:f>0</x:f>
        <x:v>0</x:v>
      </x:c>
      <x:c r="I571" s="50" t="n">
        <x:f>(I570*(1+Inputs!$B$12))+E571</x:f>
        <x:v>420137.8424917725</x:v>
      </x:c>
      <x:c r="J571" s="50" t="n">
        <x:f>(J570*(1+Inputs!$B$12))+F571+P571</x:f>
        <x:v>491553.7343613508</x:v>
      </x:c>
      <x:c r="K571" s="50" t="n">
        <x:f>(K570*(1+Inputs!$B$12))*(1-H571)</x:f>
        <x:v>0</x:v>
      </x:c>
      <x:c r="L571" s="50" t="n">
        <x:f>L570*(1+Inputs!$B$13)+Q571</x:f>
        <x:v>36979.36413637166</x:v>
      </x:c>
      <x:c r="M571" s="50" t="n">
        <x:f>I571+J571+L571</x:f>
        <x:v>948670.9409894949</x:v>
      </x:c>
      <x:c r="N571" s="50" t="n">
        <x:f>F571+P571</x:f>
        <x:v>600</x:v>
      </x:c>
      <x:c r="O571" s="50" t="n">
        <x:f>IF(B571=1,0,O570+F570+P570)</x:f>
        <x:v>9057.142857275687</x:v>
      </x:c>
      <x:c r="P571" s="50" t="n">
        <x:f>MIN(G571,MAX(0,Inputs!$B$20-O571-F571))</x:f>
        <x:v>0</x:v>
      </x:c>
      <x:c r="Q571" s="50" t="n">
        <x:f>(C571-E571-F571)+(G571-P571)</x:f>
        <x:v>0</x:v>
      </x:c>
    </x:row>
    <x:row r="572">
      <x:c r="A572" s="41" t="n">
        <x:f>IF(B572=1,A571+1,A571)</x:f>
        <x:v>2048</x:v>
      </x:c>
      <x:c r="B572" s="41" t="n">
        <x:f>IF(B571=26,1,B571+1)</x:f>
        <x:v>25</x:v>
      </x:c>
      <x:c r="C572" s="48" t="n">
        <x:f>Inputs!$F$24</x:f>
        <x:v>600</x:v>
      </x:c>
      <x:c r="D572" s="50" t="n">
        <x:f>IF(B572=1,0,D571+E571)</x:f>
        <x:v>8000</x:v>
      </x:c>
      <x:c r="E572" s="50" t="n">
        <x:f>MIN(C572,MAX(0,Inputs!$B$7-D572))</x:f>
        <x:v>0</x:v>
      </x:c>
      <x:c r="F572" s="50" t="n">
        <x:f>MIN(C572-E572,MAX(0,Inputs!$B$20-O572))</x:f>
        <x:v>600</x:v>
      </x:c>
      <x:c r="G572" s="50" t="n">
        <x:f>0</x:f>
        <x:v>0</x:v>
      </x:c>
      <x:c r="H572" s="41" t="n">
        <x:f>0</x:f>
        <x:v>0</x:v>
      </x:c>
      <x:c r="I572" s="50" t="n">
        <x:f>(I571*(1+Inputs!$B$12))+E572</x:f>
        <x:v>420926.9901690931</x:v>
      </x:c>
      <x:c r="J572" s="50" t="n">
        <x:f>(J571*(1+Inputs!$B$12))+F572+P572</x:f>
        <x:v>493077.0229788409</x:v>
      </x:c>
      <x:c r="K572" s="50" t="n">
        <x:f>(K571*(1+Inputs!$B$12))*(1-H572)</x:f>
        <x:v>0</x:v>
      </x:c>
      <x:c r="L572" s="50" t="n">
        <x:f>L571*(1+Inputs!$B$13)+Q572</x:f>
        <x:v>37044.06524200487</x:v>
      </x:c>
      <x:c r="M572" s="50" t="n">
        <x:f>I572+J572+L572</x:f>
        <x:v>951048.0783899389</x:v>
      </x:c>
      <x:c r="N572" s="50" t="n">
        <x:f>F572+P572</x:f>
        <x:v>600</x:v>
      </x:c>
      <x:c r="O572" s="50" t="n">
        <x:f>IF(B572=1,0,O571+F571+P571)</x:f>
        <x:v>9657.142857275687</x:v>
      </x:c>
      <x:c r="P572" s="50" t="n">
        <x:f>MIN(G572,MAX(0,Inputs!$B$20-O572-F572))</x:f>
        <x:v>0</x:v>
      </x:c>
      <x:c r="Q572" s="50" t="n">
        <x:f>(C572-E572-F572)+(G572-P572)</x:f>
        <x:v>0</x:v>
      </x:c>
    </x:row>
    <x:row r="573">
      <x:c r="A573" s="41" t="n">
        <x:f>IF(B573=1,A572+1,A572)</x:f>
        <x:v>2048</x:v>
      </x:c>
      <x:c r="B573" s="41" t="n">
        <x:f>IF(B572=26,1,B572+1)</x:f>
        <x:v>26</x:v>
      </x:c>
      <x:c r="C573" s="48" t="n">
        <x:f>Inputs!$F$24</x:f>
        <x:v>600</x:v>
      </x:c>
      <x:c r="D573" s="50" t="n">
        <x:f>IF(B573=1,0,D572+E572)</x:f>
        <x:v>8000</x:v>
      </x:c>
      <x:c r="E573" s="50" t="n">
        <x:f>MIN(C573,MAX(0,Inputs!$B$7-D573))</x:f>
        <x:v>0</x:v>
      </x:c>
      <x:c r="F573" s="50" t="n">
        <x:f>MIN(C573-E573,MAX(0,Inputs!$B$20-O573))</x:f>
        <x:v>600</x:v>
      </x:c>
      <x:c r="G573" s="50" t="n">
        <x:f>0</x:f>
        <x:v>0</x:v>
      </x:c>
      <x:c r="H573" s="41" t="n">
        <x:f>IF(A573=Inputs!$B$8,1,0)</x:f>
        <x:v>0</x:v>
      </x:c>
      <x:c r="I573" s="50" t="n">
        <x:f>(I572*(1+Inputs!$B$12))+E573</x:f>
        <x:v>421717.62010769465</x:v>
      </x:c>
      <x:c r="J573" s="50" t="n">
        <x:f>(J572*(1+Inputs!$B$12))+F573+P573</x:f>
        <x:v>494603.1727993763</x:v>
      </x:c>
      <x:c r="K573" s="50" t="n">
        <x:f>(K572*(1+Inputs!$B$12))*(1-H573)</x:f>
        <x:v>0</x:v>
      </x:c>
      <x:c r="L573" s="50" t="n">
        <x:f>L572*(1+Inputs!$B$13)+Q573</x:f>
        <x:v>37108.879552209546</x:v>
      </x:c>
      <x:c r="M573" s="50" t="n">
        <x:f>I573+J573+L573</x:f>
        <x:v>953429.6724592805</x:v>
      </x:c>
      <x:c r="N573" s="50" t="n">
        <x:f>F573+P573</x:f>
        <x:v>600</x:v>
      </x:c>
      <x:c r="O573" s="50" t="n">
        <x:f>IF(B573=1,0,O572+F572+P572)</x:f>
        <x:v>10257.142857275687</x:v>
      </x:c>
      <x:c r="P573" s="50" t="n">
        <x:f>MIN(G573,MAX(0,Inputs!$B$20-O573-F573))</x:f>
        <x:v>0</x:v>
      </x:c>
      <x:c r="Q573" s="50" t="n">
        <x:f>(C573-E573-F573)+(G573-P573)</x:f>
        <x:v>0</x:v>
      </x:c>
    </x:row>
    <x:row r="574">
      <x:c r="A574" s="41" t="n">
        <x:f>IF(B574=1,A573+1,A573)</x:f>
        <x:v>2049</x:v>
      </x:c>
      <x:c r="B574" s="41" t="n">
        <x:f>IF(B573=26,1,B573+1)</x:f>
        <x:v>1</x:v>
      </x:c>
      <x:c r="C574" s="48" t="n">
        <x:f>Inputs!$F$25</x:f>
        <x:v>600</x:v>
      </x:c>
      <x:c r="D574" s="50" t="n">
        <x:f>IF(B574=1,0,D573+E573)</x:f>
        <x:v>0</x:v>
      </x:c>
      <x:c r="E574" s="50" t="n">
        <x:f>MIN(C574,MAX(0,Inputs!$B$7-D574))</x:f>
        <x:v>600</x:v>
      </x:c>
      <x:c r="F574" s="50" t="n">
        <x:f>MIN(C574-E574,MAX(0,Inputs!$B$20-O574))</x:f>
        <x:v>0</x:v>
      </x:c>
      <x:c r="G574" s="50" t="n">
        <x:f>0</x:f>
        <x:v>0</x:v>
      </x:c>
      <x:c r="H574" s="41" t="n">
        <x:f>0</x:f>
        <x:v>0</x:v>
      </x:c>
      <x:c r="I574" s="50" t="n">
        <x:f>(I573*(1+Inputs!$B$12))+E574</x:f>
        <x:v>423109.7350917184</x:v>
      </x:c>
      <x:c r="J574" s="50" t="n">
        <x:f>(J573*(1+Inputs!$B$12))+F574+P574</x:f>
        <x:v>495532.1891971735</x:v>
      </x:c>
      <x:c r="K574" s="50" t="n">
        <x:f>(K573*(1+Inputs!$B$12))*(1-H574)</x:f>
        <x:v>0</x:v>
      </x:c>
      <x:c r="L574" s="50" t="n">
        <x:f>L573*(1+Inputs!$B$13)+Q574</x:f>
        <x:v>37173.80726505456</x:v>
      </x:c>
      <x:c r="M574" s="50" t="n">
        <x:f>I574+J574+L574</x:f>
        <x:v>955815.7315539465</x:v>
      </x:c>
      <x:c r="N574" s="50" t="n">
        <x:f>F574+P574</x:f>
        <x:v>0</x:v>
      </x:c>
      <x:c r="O574" s="50" t="n">
        <x:f>IF(B574=1,0,O573+F573+P573)</x:f>
        <x:v>0</x:v>
      </x:c>
      <x:c r="P574" s="50" t="n">
        <x:f>MIN(G574,MAX(0,Inputs!$B$20-O574-F574))</x:f>
        <x:v>0</x:v>
      </x:c>
      <x:c r="Q574" s="50" t="n">
        <x:f>(C574-E574-F574)+(G574-P574)</x:f>
        <x:v>0</x:v>
      </x:c>
    </x:row>
    <x:row r="575">
      <x:c r="A575" s="41" t="n">
        <x:f>IF(B575=1,A574+1,A574)</x:f>
        <x:v>2049</x:v>
      </x:c>
      <x:c r="B575" s="41" t="n">
        <x:f>IF(B574=26,1,B574+1)</x:f>
        <x:v>2</x:v>
      </x:c>
      <x:c r="C575" s="48" t="n">
        <x:f>Inputs!$F$25</x:f>
        <x:v>600</x:v>
      </x:c>
      <x:c r="D575" s="50" t="n">
        <x:f>IF(B575=1,0,D574+E574)</x:f>
        <x:v>600</x:v>
      </x:c>
      <x:c r="E575" s="50" t="n">
        <x:f>MIN(C575,MAX(0,Inputs!$B$7-D575))</x:f>
        <x:v>600</x:v>
      </x:c>
      <x:c r="F575" s="50" t="n">
        <x:f>MIN(C575-E575,MAX(0,Inputs!$B$20-O575))</x:f>
        <x:v>0</x:v>
      </x:c>
      <x:c r="G575" s="50" t="n">
        <x:f>0</x:f>
        <x:v>0</x:v>
      </x:c>
      <x:c r="H575" s="41" t="n">
        <x:f>0</x:f>
        <x:v>0</x:v>
      </x:c>
      <x:c r="I575" s="50" t="n">
        <x:f>(I574*(1+Inputs!$B$12))+E575</x:f>
        <x:v>424504.4648944875</x:v>
      </x:c>
      <x:c r="J575" s="50" t="n">
        <x:f>(J574*(1+Inputs!$B$12))+F575+P575</x:f>
        <x:v>496462.95057259087</x:v>
      </x:c>
      <x:c r="K575" s="50" t="n">
        <x:f>(K574*(1+Inputs!$B$12))*(1-H575)</x:f>
        <x:v>0</x:v>
      </x:c>
      <x:c r="L575" s="50" t="n">
        <x:f>L574*(1+Inputs!$B$13)+Q575</x:f>
        <x:v>37238.84857895534</x:v>
      </x:c>
      <x:c r="M575" s="50" t="n">
        <x:f>I575+J575+L575</x:f>
        <x:v>958206.2640460336</x:v>
      </x:c>
      <x:c r="N575" s="50" t="n">
        <x:f>F575+P575</x:f>
        <x:v>0</x:v>
      </x:c>
      <x:c r="O575" s="50" t="n">
        <x:f>IF(B575=1,0,O574+F574+P574)</x:f>
        <x:v>0</x:v>
      </x:c>
      <x:c r="P575" s="50" t="n">
        <x:f>MIN(G575,MAX(0,Inputs!$B$20-O575-F575))</x:f>
        <x:v>0</x:v>
      </x:c>
      <x:c r="Q575" s="50" t="n">
        <x:f>(C575-E575-F575)+(G575-P575)</x:f>
        <x:v>0</x:v>
      </x:c>
    </x:row>
    <x:row r="576">
      <x:c r="A576" s="41" t="n">
        <x:f>IF(B576=1,A575+1,A575)</x:f>
        <x:v>2049</x:v>
      </x:c>
      <x:c r="B576" s="41" t="n">
        <x:f>IF(B575=26,1,B575+1)</x:f>
        <x:v>3</x:v>
      </x:c>
      <x:c r="C576" s="48" t="n">
        <x:f>Inputs!$F$25</x:f>
        <x:v>600</x:v>
      </x:c>
      <x:c r="D576" s="50" t="n">
        <x:f>IF(B576=1,0,D575+E575)</x:f>
        <x:v>1200</x:v>
      </x:c>
      <x:c r="E576" s="50" t="n">
        <x:f>MIN(C576,MAX(0,Inputs!$B$7-D576))</x:f>
        <x:v>600</x:v>
      </x:c>
      <x:c r="F576" s="50" t="n">
        <x:f>MIN(C576-E576,MAX(0,Inputs!$B$20-O576))</x:f>
        <x:v>0</x:v>
      </x:c>
      <x:c r="G576" s="50" t="n">
        <x:f>0</x:f>
        <x:v>0</x:v>
      </x:c>
      <x:c r="H576" s="41" t="n">
        <x:f>0</x:f>
        <x:v>0</x:v>
      </x:c>
      <x:c r="I576" s="50" t="n">
        <x:f>(I575*(1+Inputs!$B$12))+E576</x:f>
        <x:v>425901.81442743336</x:v>
      </x:c>
      <x:c r="J576" s="50" t="n">
        <x:f>(J575*(1+Inputs!$B$12))+F576+P576</x:f>
        <x:v>497395.4602032313</x:v>
      </x:c>
      <x:c r="K576" s="50" t="n">
        <x:f>(K575*(1+Inputs!$B$12))*(1-H576)</x:f>
        <x:v>0</x:v>
      </x:c>
      <x:c r="L576" s="50" t="n">
        <x:f>L575*(1+Inputs!$B$13)+Q576</x:f>
        <x:v>37304.00369267446</x:v>
      </x:c>
      <x:c r="M576" s="50" t="n">
        <x:f>I576+J576+L576</x:f>
        <x:v>960601.2783233391</x:v>
      </x:c>
      <x:c r="N576" s="50" t="n">
        <x:f>F576+P576</x:f>
        <x:v>0</x:v>
      </x:c>
      <x:c r="O576" s="50" t="n">
        <x:f>IF(B576=1,0,O575+F575+P575)</x:f>
        <x:v>0</x:v>
      </x:c>
      <x:c r="P576" s="50" t="n">
        <x:f>MIN(G576,MAX(0,Inputs!$B$20-O576-F576))</x:f>
        <x:v>0</x:v>
      </x:c>
      <x:c r="Q576" s="50" t="n">
        <x:f>(C576-E576-F576)+(G576-P576)</x:f>
        <x:v>0</x:v>
      </x:c>
    </x:row>
    <x:row r="577">
      <x:c r="A577" s="41" t="n">
        <x:f>IF(B577=1,A576+1,A576)</x:f>
        <x:v>2049</x:v>
      </x:c>
      <x:c r="B577" s="41" t="n">
        <x:f>IF(B576=26,1,B576+1)</x:f>
        <x:v>4</x:v>
      </x:c>
      <x:c r="C577" s="48" t="n">
        <x:f>Inputs!$F$25</x:f>
        <x:v>600</x:v>
      </x:c>
      <x:c r="D577" s="50" t="n">
        <x:f>IF(B577=1,0,D576+E576)</x:f>
        <x:v>1800</x:v>
      </x:c>
      <x:c r="E577" s="50" t="n">
        <x:f>MIN(C577,MAX(0,Inputs!$B$7-D577))</x:f>
        <x:v>600</x:v>
      </x:c>
      <x:c r="F577" s="50" t="n">
        <x:f>MIN(C577-E577,MAX(0,Inputs!$B$20-O577))</x:f>
        <x:v>0</x:v>
      </x:c>
      <x:c r="G577" s="50" t="n">
        <x:f>0</x:f>
        <x:v>0</x:v>
      </x:c>
      <x:c r="H577" s="41" t="n">
        <x:f>0</x:f>
        <x:v>0</x:v>
      </x:c>
      <x:c r="I577" s="50" t="n">
        <x:f>(I576*(1+Inputs!$B$12))+E577</x:f>
        <x:v>427301.78861121234</x:v>
      </x:c>
      <x:c r="J577" s="50" t="n">
        <x:f>(J576*(1+Inputs!$B$12))+F577+P577</x:f>
        <x:v>498329.72137285414</x:v>
      </x:c>
      <x:c r="K577" s="50" t="n">
        <x:f>(K576*(1+Inputs!$B$12))*(1-H577)</x:f>
        <x:v>0</x:v>
      </x:c>
      <x:c r="L577" s="50" t="n">
        <x:f>L576*(1+Inputs!$B$13)+Q577</x:f>
        <x:v>37369.272805322275</x:v>
      </x:c>
      <x:c r="M577" s="50" t="n">
        <x:f>I577+J577+L577</x:f>
        <x:v>963000.7827893888</x:v>
      </x:c>
      <x:c r="N577" s="50" t="n">
        <x:f>F577+P577</x:f>
        <x:v>0</x:v>
      </x:c>
      <x:c r="O577" s="50" t="n">
        <x:f>IF(B577=1,0,O576+F576+P576)</x:f>
        <x:v>0</x:v>
      </x:c>
      <x:c r="P577" s="50" t="n">
        <x:f>MIN(G577,MAX(0,Inputs!$B$20-O577-F577))</x:f>
        <x:v>0</x:v>
      </x:c>
      <x:c r="Q577" s="50" t="n">
        <x:f>(C577-E577-F577)+(G577-P577)</x:f>
        <x:v>0</x:v>
      </x:c>
    </x:row>
    <x:row r="578">
      <x:c r="A578" s="41" t="n">
        <x:f>IF(B578=1,A577+1,A577)</x:f>
        <x:v>2049</x:v>
      </x:c>
      <x:c r="B578" s="41" t="n">
        <x:f>IF(B577=26,1,B577+1)</x:f>
        <x:v>5</x:v>
      </x:c>
      <x:c r="C578" s="48" t="n">
        <x:f>Inputs!$F$25</x:f>
        <x:v>600</x:v>
      </x:c>
      <x:c r="D578" s="50" t="n">
        <x:f>IF(B578=1,0,D577+E577)</x:f>
        <x:v>2400</x:v>
      </x:c>
      <x:c r="E578" s="50" t="n">
        <x:f>MIN(C578,MAX(0,Inputs!$B$7-D578))</x:f>
        <x:v>600</x:v>
      </x:c>
      <x:c r="F578" s="50" t="n">
        <x:f>MIN(C578-E578,MAX(0,Inputs!$B$20-O578))</x:f>
        <x:v>0</x:v>
      </x:c>
      <x:c r="G578" s="50" t="n">
        <x:f>0</x:f>
        <x:v>0</x:v>
      </x:c>
      <x:c r="H578" s="41" t="n">
        <x:f>0</x:f>
        <x:v>0</x:v>
      </x:c>
      <x:c r="I578" s="50" t="n">
        <x:f>(I577*(1+Inputs!$B$12))+E578</x:f>
        <x:v>428704.3923757234</x:v>
      </x:c>
      <x:c r="J578" s="50" t="n">
        <x:f>(J577*(1+Inputs!$B$12))+F578+P578</x:f>
        <x:v>499265.73737138655</x:v>
      </x:c>
      <x:c r="K578" s="50" t="n">
        <x:f>(K577*(1+Inputs!$B$12))*(1-H578)</x:f>
        <x:v>0</x:v>
      </x:c>
      <x:c r="L578" s="50" t="n">
        <x:f>L577*(1+Inputs!$B$13)+Q578</x:f>
        <x:v>37434.6561163575</x:v>
      </x:c>
      <x:c r="M578" s="50" t="n">
        <x:f>I578+J578+L578</x:f>
        <x:v>965404.7858634675</x:v>
      </x:c>
      <x:c r="N578" s="50" t="n">
        <x:f>F578+P578</x:f>
        <x:v>0</x:v>
      </x:c>
      <x:c r="O578" s="50" t="n">
        <x:f>IF(B578=1,0,O577+F577+P577)</x:f>
        <x:v>0</x:v>
      </x:c>
      <x:c r="P578" s="50" t="n">
        <x:f>MIN(G578,MAX(0,Inputs!$B$20-O578-F578))</x:f>
        <x:v>0</x:v>
      </x:c>
      <x:c r="Q578" s="50" t="n">
        <x:f>(C578-E578-F578)+(G578-P578)</x:f>
        <x:v>0</x:v>
      </x:c>
    </x:row>
    <x:row r="579">
      <x:c r="A579" s="41" t="n">
        <x:f>IF(B579=1,A578+1,A578)</x:f>
        <x:v>2049</x:v>
      </x:c>
      <x:c r="B579" s="41" t="n">
        <x:f>IF(B578=26,1,B578+1)</x:f>
        <x:v>6</x:v>
      </x:c>
      <x:c r="C579" s="48" t="n">
        <x:f>Inputs!$F$25</x:f>
        <x:v>600</x:v>
      </x:c>
      <x:c r="D579" s="50" t="n">
        <x:f>IF(B579=1,0,D578+E578)</x:f>
        <x:v>3000</x:v>
      </x:c>
      <x:c r="E579" s="50" t="n">
        <x:f>MIN(C579,MAX(0,Inputs!$B$7-D579))</x:f>
        <x:v>600</x:v>
      </x:c>
      <x:c r="F579" s="50" t="n">
        <x:f>MIN(C579-E579,MAX(0,Inputs!$B$20-O579))</x:f>
        <x:v>0</x:v>
      </x:c>
      <x:c r="G579" s="50" t="n">
        <x:f>0</x:f>
        <x:v>0</x:v>
      </x:c>
      <x:c r="H579" s="41" t="n">
        <x:f>0</x:f>
        <x:v>0</x:v>
      </x:c>
      <x:c r="I579" s="50" t="n">
        <x:f>(I578*(1+Inputs!$B$12))+E579</x:f>
        <x:v>430109.63066012535</x:v>
      </x:c>
      <x:c r="J579" s="50" t="n">
        <x:f>(J578*(1+Inputs!$B$12))+F579+P579</x:f>
        <x:v>500203.51149493526</x:v>
      </x:c>
      <x:c r="K579" s="50" t="n">
        <x:f>(K578*(1+Inputs!$B$12))*(1-H579)</x:f>
        <x:v>0</x:v>
      </x:c>
      <x:c r="L579" s="50" t="n">
        <x:f>L578*(1+Inputs!$B$13)+Q579</x:f>
        <x:v>37500.153825587855</x:v>
      </x:c>
      <x:c r="M579" s="50" t="n">
        <x:f>I579+J579+L579</x:f>
        <x:v>967813.2959806484</x:v>
      </x:c>
      <x:c r="N579" s="50" t="n">
        <x:f>F579+P579</x:f>
        <x:v>0</x:v>
      </x:c>
      <x:c r="O579" s="50" t="n">
        <x:f>IF(B579=1,0,O578+F578+P578)</x:f>
        <x:v>0</x:v>
      </x:c>
      <x:c r="P579" s="50" t="n">
        <x:f>MIN(G579,MAX(0,Inputs!$B$20-O579-F579))</x:f>
        <x:v>0</x:v>
      </x:c>
      <x:c r="Q579" s="50" t="n">
        <x:f>(C579-E579-F579)+(G579-P579)</x:f>
        <x:v>0</x:v>
      </x:c>
    </x:row>
    <x:row r="580">
      <x:c r="A580" s="41" t="n">
        <x:f>IF(B580=1,A579+1,A579)</x:f>
        <x:v>2049</x:v>
      </x:c>
      <x:c r="B580" s="41" t="n">
        <x:f>IF(B579=26,1,B579+1)</x:f>
        <x:v>7</x:v>
      </x:c>
      <x:c r="C580" s="48" t="n">
        <x:f>Inputs!$F$25</x:f>
        <x:v>600</x:v>
      </x:c>
      <x:c r="D580" s="50" t="n">
        <x:f>IF(B580=1,0,D579+E579)</x:f>
        <x:v>3600</x:v>
      </x:c>
      <x:c r="E580" s="50" t="n">
        <x:f>MIN(C580,MAX(0,Inputs!$B$7-D580))</x:f>
        <x:v>600</x:v>
      </x:c>
      <x:c r="F580" s="50" t="n">
        <x:f>MIN(C580-E580,MAX(0,Inputs!$B$20-O580))</x:f>
        <x:v>0</x:v>
      </x:c>
      <x:c r="G580" s="50" t="n">
        <x:f>0</x:f>
        <x:v>0</x:v>
      </x:c>
      <x:c r="H580" s="41" t="n">
        <x:f>0</x:f>
        <x:v>0</x:v>
      </x:c>
      <x:c r="I580" s="50" t="n">
        <x:f>(I579*(1+Inputs!$B$12))+E580</x:f>
        <x:v>431517.5084128543</x:v>
      </x:c>
      <x:c r="J580" s="50" t="n">
        <x:f>(J579*(1+Inputs!$B$12))+F580+P580</x:f>
        <x:v>501143.04704579804</x:v>
      </x:c>
      <x:c r="K580" s="50" t="n">
        <x:f>(K579*(1+Inputs!$B$12))*(1-H580)</x:f>
        <x:v>0</x:v>
      </x:c>
      <x:c r="L580" s="50" t="n">
        <x:f>L579*(1+Inputs!$B$13)+Q580</x:f>
        <x:v>37565.766133170626</x:v>
      </x:c>
      <x:c r="M580" s="50" t="n">
        <x:f>I580+J580+L580</x:f>
        <x:v>970226.3215918229</x:v>
      </x:c>
      <x:c r="N580" s="50" t="n">
        <x:f>F580+P580</x:f>
        <x:v>0</x:v>
      </x:c>
      <x:c r="O580" s="50" t="n">
        <x:f>IF(B580=1,0,O579+F579+P579)</x:f>
        <x:v>0</x:v>
      </x:c>
      <x:c r="P580" s="50" t="n">
        <x:f>MIN(G580,MAX(0,Inputs!$B$20-O580-F580))</x:f>
        <x:v>0</x:v>
      </x:c>
      <x:c r="Q580" s="50" t="n">
        <x:f>(C580-E580-F580)+(G580-P580)</x:f>
        <x:v>0</x:v>
      </x:c>
    </x:row>
    <x:row r="581">
      <x:c r="A581" s="41" t="n">
        <x:f>IF(B581=1,A580+1,A580)</x:f>
        <x:v>2049</x:v>
      </x:c>
      <x:c r="B581" s="41" t="n">
        <x:f>IF(B580=26,1,B580+1)</x:f>
        <x:v>8</x:v>
      </x:c>
      <x:c r="C581" s="48" t="n">
        <x:f>Inputs!$F$25</x:f>
        <x:v>600</x:v>
      </x:c>
      <x:c r="D581" s="50" t="n">
        <x:f>IF(B581=1,0,D580+E580)</x:f>
        <x:v>4200</x:v>
      </x:c>
      <x:c r="E581" s="50" t="n">
        <x:f>MIN(C581,MAX(0,Inputs!$B$7-D581))</x:f>
        <x:v>600</x:v>
      </x:c>
      <x:c r="F581" s="50" t="n">
        <x:f>MIN(C581-E581,MAX(0,Inputs!$B$20-O581))</x:f>
        <x:v>0</x:v>
      </x:c>
      <x:c r="G581" s="50" t="n">
        <x:f>0</x:f>
        <x:v>0</x:v>
      </x:c>
      <x:c r="H581" s="41" t="n">
        <x:f>0</x:f>
        <x:v>0</x:v>
      </x:c>
      <x:c r="I581" s="50" t="n">
        <x:f>(I580*(1+Inputs!$B$12))+E581</x:f>
        <x:v>432928.0305916409</x:v>
      </x:c>
      <x:c r="J581" s="50" t="n">
        <x:f>(J580*(1+Inputs!$B$12))+F581+P581</x:f>
        <x:v>502084.3473324755</x:v>
      </x:c>
      <x:c r="K581" s="50" t="n">
        <x:f>(K580*(1+Inputs!$B$12))*(1-H581)</x:f>
        <x:v>0</x:v>
      </x:c>
      <x:c r="L581" s="50" t="n">
        <x:f>L580*(1+Inputs!$B$13)+Q581</x:f>
        <x:v>37631.49323961333</x:v>
      </x:c>
      <x:c r="M581" s="50" t="n">
        <x:f>I581+J581+L581</x:f>
        <x:v>972643.8711637297</x:v>
      </x:c>
      <x:c r="N581" s="50" t="n">
        <x:f>F581+P581</x:f>
        <x:v>0</x:v>
      </x:c>
      <x:c r="O581" s="50" t="n">
        <x:f>IF(B581=1,0,O580+F580+P580)</x:f>
        <x:v>0</x:v>
      </x:c>
      <x:c r="P581" s="50" t="n">
        <x:f>MIN(G581,MAX(0,Inputs!$B$20-O581-F581))</x:f>
        <x:v>0</x:v>
      </x:c>
      <x:c r="Q581" s="50" t="n">
        <x:f>(C581-E581-F581)+(G581-P581)</x:f>
        <x:v>0</x:v>
      </x:c>
    </x:row>
    <x:row r="582">
      <x:c r="A582" s="41" t="n">
        <x:f>IF(B582=1,A581+1,A581)</x:f>
        <x:v>2049</x:v>
      </x:c>
      <x:c r="B582" s="41" t="n">
        <x:f>IF(B581=26,1,B581+1)</x:f>
        <x:v>9</x:v>
      </x:c>
      <x:c r="C582" s="48" t="n">
        <x:f>Inputs!$F$25</x:f>
        <x:v>600</x:v>
      </x:c>
      <x:c r="D582" s="50" t="n">
        <x:f>IF(B582=1,0,D581+E581)</x:f>
        <x:v>4800</x:v>
      </x:c>
      <x:c r="E582" s="50" t="n">
        <x:f>MIN(C582,MAX(0,Inputs!$B$7-D582))</x:f>
        <x:v>600</x:v>
      </x:c>
      <x:c r="F582" s="50" t="n">
        <x:f>MIN(C582-E582,MAX(0,Inputs!$B$20-O582))</x:f>
        <x:v>0</x:v>
      </x:c>
      <x:c r="G582" s="50" t="n">
        <x:f>SUM(N548:N573)*Inputs!$B$6</x:f>
        <x:v>3257.142857182706</x:v>
      </x:c>
      <x:c r="H582" s="41" t="n">
        <x:f>0</x:f>
        <x:v>0</x:v>
      </x:c>
      <x:c r="I582" s="50" t="n">
        <x:f>(I581*(1+Inputs!$B$12))+E582</x:f>
        <x:v>434341.2021635282</x:v>
      </x:c>
      <x:c r="J582" s="50" t="n">
        <x:f>(J581*(1+Inputs!$B$12))+F582+P582</x:f>
        <x:v>506284.55852686515</x:v>
      </x:c>
      <x:c r="K582" s="50" t="n">
        <x:f>(K581*(1+Inputs!$B$12))*(1-H582)</x:f>
        <x:v>0</x:v>
      </x:c>
      <x:c r="L582" s="50" t="n">
        <x:f>L581*(1+Inputs!$B$13)+Q582</x:f>
        <x:v>37697.335345774285</x:v>
      </x:c>
      <x:c r="M582" s="50" t="n">
        <x:f>I582+J582+L582</x:f>
        <x:v>978323.0960361677</x:v>
      </x:c>
      <x:c r="N582" s="50" t="n">
        <x:f>F582+P582</x:f>
        <x:v>3257.142857182706</x:v>
      </x:c>
      <x:c r="O582" s="50" t="n">
        <x:f>IF(B582=1,0,O581+F581+P581)</x:f>
        <x:v>0</x:v>
      </x:c>
      <x:c r="P582" s="50" t="n">
        <x:f>MIN(G582,MAX(0,Inputs!$B$20-O582-F582))</x:f>
        <x:v>3257.142857182706</x:v>
      </x:c>
      <x:c r="Q582" s="50" t="n">
        <x:f>(C582-E582-F582)+(G582-P582)</x:f>
        <x:v>0</x:v>
      </x:c>
    </x:row>
    <x:row r="583">
      <x:c r="A583" s="41" t="n">
        <x:f>IF(B583=1,A582+1,A582)</x:f>
        <x:v>2049</x:v>
      </x:c>
      <x:c r="B583" s="41" t="n">
        <x:f>IF(B582=26,1,B582+1)</x:f>
        <x:v>10</x:v>
      </x:c>
      <x:c r="C583" s="48" t="n">
        <x:f>Inputs!$F$25</x:f>
        <x:v>600</x:v>
      </x:c>
      <x:c r="D583" s="50" t="n">
        <x:f>IF(B583=1,0,D582+E582)</x:f>
        <x:v>5400</x:v>
      </x:c>
      <x:c r="E583" s="50" t="n">
        <x:f>MIN(C583,MAX(0,Inputs!$B$7-D583))</x:f>
        <x:v>600</x:v>
      </x:c>
      <x:c r="F583" s="50" t="n">
        <x:f>MIN(C583-E583,MAX(0,Inputs!$B$20-O583))</x:f>
        <x:v>0</x:v>
      </x:c>
      <x:c r="G583" s="50" t="n">
        <x:f>0</x:f>
        <x:v>0</x:v>
      </x:c>
      <x:c r="H583" s="41" t="n">
        <x:f>0</x:f>
        <x:v>0</x:v>
      </x:c>
      <x:c r="I583" s="50" t="n">
        <x:f>(I582*(1+Inputs!$B$12))+E583</x:f>
        <x:v>435757.02810488857</x:v>
      </x:c>
      <x:c r="J583" s="50" t="n">
        <x:f>(J582*(1+Inputs!$B$12))+F583+P583</x:f>
        <x:v>507235.5161484285</x:v>
      </x:c>
      <x:c r="K583" s="50" t="n">
        <x:f>(K582*(1+Inputs!$B$12))*(1-H583)</x:f>
        <x:v>0</x:v>
      </x:c>
      <x:c r="L583" s="50" t="n">
        <x:f>L582*(1+Inputs!$B$13)+Q583</x:f>
        <x:v>37763.29265286325</x:v>
      </x:c>
      <x:c r="M583" s="50" t="n">
        <x:f>I583+J583+L583</x:f>
        <x:v>980755.8369061803</x:v>
      </x:c>
      <x:c r="N583" s="50" t="n">
        <x:f>F583+P583</x:f>
        <x:v>0</x:v>
      </x:c>
      <x:c r="O583" s="50" t="n">
        <x:f>IF(B583=1,0,O582+F582+P582)</x:f>
        <x:v>3257.142857182706</x:v>
      </x:c>
      <x:c r="P583" s="50" t="n">
        <x:f>MIN(G583,MAX(0,Inputs!$B$20-O583-F583))</x:f>
        <x:v>0</x:v>
      </x:c>
      <x:c r="Q583" s="50" t="n">
        <x:f>(C583-E583-F583)+(G583-P583)</x:f>
        <x:v>0</x:v>
      </x:c>
    </x:row>
    <x:row r="584">
      <x:c r="A584" s="41" t="n">
        <x:f>IF(B584=1,A583+1,A583)</x:f>
        <x:v>2049</x:v>
      </x:c>
      <x:c r="B584" s="41" t="n">
        <x:f>IF(B583=26,1,B583+1)</x:f>
        <x:v>11</x:v>
      </x:c>
      <x:c r="C584" s="48" t="n">
        <x:f>Inputs!$F$25</x:f>
        <x:v>600</x:v>
      </x:c>
      <x:c r="D584" s="50" t="n">
        <x:f>IF(B584=1,0,D583+E583)</x:f>
        <x:v>6000</x:v>
      </x:c>
      <x:c r="E584" s="50" t="n">
        <x:f>MIN(C584,MAX(0,Inputs!$B$7-D584))</x:f>
        <x:v>600</x:v>
      </x:c>
      <x:c r="F584" s="50" t="n">
        <x:f>MIN(C584-E584,MAX(0,Inputs!$B$20-O584))</x:f>
        <x:v>0</x:v>
      </x:c>
      <x:c r="G584" s="50" t="n">
        <x:f>0</x:f>
        <x:v>0</x:v>
      </x:c>
      <x:c r="H584" s="41" t="n">
        <x:f>0</x:f>
        <x:v>0</x:v>
      </x:c>
      <x:c r="I584" s="50" t="n">
        <x:f>(I583*(1+Inputs!$B$12))+E584</x:f>
        <x:v>437175.51340144174</x:v>
      </x:c>
      <x:c r="J584" s="50" t="n">
        <x:f>(J583*(1+Inputs!$B$12))+F584+P584</x:f>
        <x:v>508188.2599599571</x:v>
      </x:c>
      <x:c r="K584" s="50" t="n">
        <x:f>(K583*(1+Inputs!$B$12))*(1-H584)</x:f>
        <x:v>0</x:v>
      </x:c>
      <x:c r="L584" s="50" t="n">
        <x:f>L583*(1+Inputs!$B$13)+Q584</x:f>
        <x:v>37829.36536244204</x:v>
      </x:c>
      <x:c r="M584" s="50" t="n">
        <x:f>I584+J584+L584</x:f>
        <x:v>983193.1387238409</x:v>
      </x:c>
      <x:c r="N584" s="50" t="n">
        <x:f>F584+P584</x:f>
        <x:v>0</x:v>
      </x:c>
      <x:c r="O584" s="50" t="n">
        <x:f>IF(B584=1,0,O583+F583+P583)</x:f>
        <x:v>3257.142857182706</x:v>
      </x:c>
      <x:c r="P584" s="50" t="n">
        <x:f>MIN(G584,MAX(0,Inputs!$B$20-O584-F584))</x:f>
        <x:v>0</x:v>
      </x:c>
      <x:c r="Q584" s="50" t="n">
        <x:f>(C584-E584-F584)+(G584-P584)</x:f>
        <x:v>0</x:v>
      </x:c>
    </x:row>
    <x:row r="585">
      <x:c r="A585" s="41" t="n">
        <x:f>IF(B585=1,A584+1,A584)</x:f>
        <x:v>2049</x:v>
      </x:c>
      <x:c r="B585" s="41" t="n">
        <x:f>IF(B584=26,1,B584+1)</x:f>
        <x:v>12</x:v>
      </x:c>
      <x:c r="C585" s="48" t="n">
        <x:f>Inputs!$F$25</x:f>
        <x:v>600</x:v>
      </x:c>
      <x:c r="D585" s="50" t="n">
        <x:f>IF(B585=1,0,D584+E584)</x:f>
        <x:v>6600</x:v>
      </x:c>
      <x:c r="E585" s="50" t="n">
        <x:f>MIN(C585,MAX(0,Inputs!$B$7-D585))</x:f>
        <x:v>600</x:v>
      </x:c>
      <x:c r="F585" s="50" t="n">
        <x:f>MIN(C585-E585,MAX(0,Inputs!$B$20-O585))</x:f>
        <x:v>0</x:v>
      </x:c>
      <x:c r="G585" s="50" t="n">
        <x:f>0</x:f>
        <x:v>0</x:v>
      </x:c>
      <x:c r="H585" s="41" t="n">
        <x:f>0</x:f>
        <x:v>0</x:v>
      </x:c>
      <x:c r="I585" s="50" t="n">
        <x:f>(I584*(1+Inputs!$B$12))+E585</x:f>
        <x:v>438596.6630482721</x:v>
      </x:c>
      <x:c r="J585" s="50" t="n">
        <x:f>(J584*(1+Inputs!$B$12))+F585+P585</x:f>
        <x:v>509142.79331646336</x:v>
      </x:c>
      <x:c r="K585" s="50" t="n">
        <x:f>(K584*(1+Inputs!$B$12))*(1-H585)</x:f>
        <x:v>0</x:v>
      </x:c>
      <x:c r="L585" s="50" t="n">
        <x:f>L584*(1+Inputs!$B$13)+Q585</x:f>
        <x:v>37895.553676425116</x:v>
      </x:c>
      <x:c r="M585" s="50" t="n">
        <x:f>I585+J585+L585</x:f>
        <x:v>985635.0100411606</x:v>
      </x:c>
      <x:c r="N585" s="50" t="n">
        <x:f>F585+P585</x:f>
        <x:v>0</x:v>
      </x:c>
      <x:c r="O585" s="50" t="n">
        <x:f>IF(B585=1,0,O584+F584+P584)</x:f>
        <x:v>3257.142857182706</x:v>
      </x:c>
      <x:c r="P585" s="50" t="n">
        <x:f>MIN(G585,MAX(0,Inputs!$B$20-O585-F585))</x:f>
        <x:v>0</x:v>
      </x:c>
      <x:c r="Q585" s="50" t="n">
        <x:f>(C585-E585-F585)+(G585-P585)</x:f>
        <x:v>0</x:v>
      </x:c>
    </x:row>
    <x:row r="586">
      <x:c r="A586" s="41" t="n">
        <x:f>IF(B586=1,A585+1,A585)</x:f>
        <x:v>2049</x:v>
      </x:c>
      <x:c r="B586" s="41" t="n">
        <x:f>IF(B585=26,1,B585+1)</x:f>
        <x:v>13</x:v>
      </x:c>
      <x:c r="C586" s="48" t="n">
        <x:f>Inputs!$F$25</x:f>
        <x:v>600</x:v>
      </x:c>
      <x:c r="D586" s="50" t="n">
        <x:f>IF(B586=1,0,D585+E585)</x:f>
        <x:v>7200</x:v>
      </x:c>
      <x:c r="E586" s="50" t="n">
        <x:f>MIN(C586,MAX(0,Inputs!$B$7-D586))</x:f>
        <x:v>600</x:v>
      </x:c>
      <x:c r="F586" s="50" t="n">
        <x:f>MIN(C586-E586,MAX(0,Inputs!$B$20-O586))</x:f>
        <x:v>0</x:v>
      </x:c>
      <x:c r="G586" s="50" t="n">
        <x:f>0</x:f>
        <x:v>0</x:v>
      </x:c>
      <x:c r="H586" s="41" t="n">
        <x:f>0</x:f>
        <x:v>0</x:v>
      </x:c>
      <x:c r="I586" s="50" t="n">
        <x:f>(I585*(1+Inputs!$B$12))+E586</x:f>
        <x:v>440020.4820498462</x:v>
      </x:c>
      <x:c r="J586" s="50" t="n">
        <x:f>(J585*(1+Inputs!$B$12))+F586+P586</x:f>
        <x:v>510099.1195792614</x:v>
      </x:c>
      <x:c r="K586" s="50" t="n">
        <x:f>(K585*(1+Inputs!$B$12))*(1-H586)</x:f>
        <x:v>0</x:v>
      </x:c>
      <x:c r="L586" s="50" t="n">
        <x:f>L585*(1+Inputs!$B$13)+Q586</x:f>
        <x:v>37961.85779708023</x:v>
      </x:c>
      <x:c r="M586" s="50" t="n">
        <x:f>I586+J586+L586</x:f>
        <x:v>988081.4594261878</x:v>
      </x:c>
      <x:c r="N586" s="50" t="n">
        <x:f>F586+P586</x:f>
        <x:v>0</x:v>
      </x:c>
      <x:c r="O586" s="50" t="n">
        <x:f>IF(B586=1,0,O585+F585+P585)</x:f>
        <x:v>3257.142857182706</x:v>
      </x:c>
      <x:c r="P586" s="50" t="n">
        <x:f>MIN(G586,MAX(0,Inputs!$B$20-O586-F586))</x:f>
        <x:v>0</x:v>
      </x:c>
      <x:c r="Q586" s="50" t="n">
        <x:f>(C586-E586-F586)+(G586-P586)</x:f>
        <x:v>0</x:v>
      </x:c>
    </x:row>
    <x:row r="587">
      <x:c r="A587" s="41" t="n">
        <x:f>IF(B587=1,A586+1,A586)</x:f>
        <x:v>2049</x:v>
      </x:c>
      <x:c r="B587" s="41" t="n">
        <x:f>IF(B586=26,1,B586+1)</x:f>
        <x:v>14</x:v>
      </x:c>
      <x:c r="C587" s="48" t="n">
        <x:f>Inputs!$F$25</x:f>
        <x:v>600</x:v>
      </x:c>
      <x:c r="D587" s="50" t="n">
        <x:f>IF(B587=1,0,D586+E586)</x:f>
        <x:v>7800</x:v>
      </x:c>
      <x:c r="E587" s="50" t="n">
        <x:f>MIN(C587,MAX(0,Inputs!$B$7-D587))</x:f>
        <x:v>200</x:v>
      </x:c>
      <x:c r="F587" s="50" t="n">
        <x:f>MIN(C587-E587,MAX(0,Inputs!$B$20-O587))</x:f>
        <x:v>400</x:v>
      </x:c>
      <x:c r="G587" s="50" t="n">
        <x:f>0</x:f>
        <x:v>0</x:v>
      </x:c>
      <x:c r="H587" s="41" t="n">
        <x:f>0</x:f>
        <x:v>0</x:v>
      </x:c>
      <x:c r="I587" s="50" t="n">
        <x:f>(I586*(1+Inputs!$B$12))+E587</x:f>
        <x:v>441046.97542003077</x:v>
      </x:c>
      <x:c r="J587" s="50" t="n">
        <x:f>(J586*(1+Inputs!$B$12))+F587+P587</x:f>
        <x:v>511457.2421159789</x:v>
      </x:c>
      <x:c r="K587" s="50" t="n">
        <x:f>(K586*(1+Inputs!$B$12))*(1-H587)</x:f>
        <x:v>0</x:v>
      </x:c>
      <x:c r="L587" s="50" t="n">
        <x:f>L586*(1+Inputs!$B$13)+Q587</x:f>
        <x:v>38028.27792702903</x:v>
      </x:c>
      <x:c r="M587" s="50" t="n">
        <x:f>I587+J587+L587</x:f>
        <x:v>990532.4954630387</x:v>
      </x:c>
      <x:c r="N587" s="50" t="n">
        <x:f>F587+P587</x:f>
        <x:v>400</x:v>
      </x:c>
      <x:c r="O587" s="50" t="n">
        <x:f>IF(B587=1,0,O586+F586+P586)</x:f>
        <x:v>3257.142857182706</x:v>
      </x:c>
      <x:c r="P587" s="50" t="n">
        <x:f>MIN(G587,MAX(0,Inputs!$B$20-O587-F587))</x:f>
        <x:v>0</x:v>
      </x:c>
      <x:c r="Q587" s="50" t="n">
        <x:f>(C587-E587-F587)+(G587-P587)</x:f>
        <x:v>0</x:v>
      </x:c>
    </x:row>
    <x:row r="588">
      <x:c r="A588" s="41" t="n">
        <x:f>IF(B588=1,A587+1,A587)</x:f>
        <x:v>2049</x:v>
      </x:c>
      <x:c r="B588" s="41" t="n">
        <x:f>IF(B587=26,1,B587+1)</x:f>
        <x:v>15</x:v>
      </x:c>
      <x:c r="C588" s="48" t="n">
        <x:f>Inputs!$F$25</x:f>
        <x:v>600</x:v>
      </x:c>
      <x:c r="D588" s="50" t="n">
        <x:f>IF(B588=1,0,D587+E587)</x:f>
        <x:v>8000</x:v>
      </x:c>
      <x:c r="E588" s="50" t="n">
        <x:f>MIN(C588,MAX(0,Inputs!$B$7-D588))</x:f>
        <x:v>0</x:v>
      </x:c>
      <x:c r="F588" s="50" t="n">
        <x:f>MIN(C588-E588,MAX(0,Inputs!$B$20-O588))</x:f>
        <x:v>600</x:v>
      </x:c>
      <x:c r="G588" s="50" t="n">
        <x:f>0</x:f>
        <x:v>0</x:v>
      </x:c>
      <x:c r="H588" s="41" t="n">
        <x:f>0</x:f>
        <x:v>0</x:v>
      </x:c>
      <x:c r="I588" s="50" t="n">
        <x:f>(I587*(1+Inputs!$B$12))+E588</x:f>
        <x:v>441875.3968594749</x:v>
      </x:c>
      <x:c r="J588" s="50" t="n">
        <x:f>(J587*(1+Inputs!$B$12))+F588+P588</x:f>
        <x:v>513017.9156232041</x:v>
      </x:c>
      <x:c r="K588" s="50" t="n">
        <x:f>(K587*(1+Inputs!$B$12))*(1-H588)</x:f>
        <x:v>0</x:v>
      </x:c>
      <x:c r="L588" s="50" t="n">
        <x:f>L587*(1+Inputs!$B$13)+Q588</x:f>
        <x:v>38094.814269247676</x:v>
      </x:c>
      <x:c r="M588" s="50" t="n">
        <x:f>I588+J588+L588</x:f>
        <x:v>992988.1267519267</x:v>
      </x:c>
      <x:c r="N588" s="50" t="n">
        <x:f>F588+P588</x:f>
        <x:v>600</x:v>
      </x:c>
      <x:c r="O588" s="50" t="n">
        <x:f>IF(B588=1,0,O587+F587+P587)</x:f>
        <x:v>3657.142857182706</x:v>
      </x:c>
      <x:c r="P588" s="50" t="n">
        <x:f>MIN(G588,MAX(0,Inputs!$B$20-O588-F588))</x:f>
        <x:v>0</x:v>
      </x:c>
      <x:c r="Q588" s="50" t="n">
        <x:f>(C588-E588-F588)+(G588-P588)</x:f>
        <x:v>0</x:v>
      </x:c>
    </x:row>
    <x:row r="589">
      <x:c r="A589" s="41" t="n">
        <x:f>IF(B589=1,A588+1,A588)</x:f>
        <x:v>2049</x:v>
      </x:c>
      <x:c r="B589" s="41" t="n">
        <x:f>IF(B588=26,1,B588+1)</x:f>
        <x:v>16</x:v>
      </x:c>
      <x:c r="C589" s="48" t="n">
        <x:f>Inputs!$F$25</x:f>
        <x:v>600</x:v>
      </x:c>
      <x:c r="D589" s="50" t="n">
        <x:f>IF(B589=1,0,D588+E588)</x:f>
        <x:v>8000</x:v>
      </x:c>
      <x:c r="E589" s="50" t="n">
        <x:f>MIN(C589,MAX(0,Inputs!$B$7-D589))</x:f>
        <x:v>0</x:v>
      </x:c>
      <x:c r="F589" s="50" t="n">
        <x:f>MIN(C589-E589,MAX(0,Inputs!$B$20-O589))</x:f>
        <x:v>600</x:v>
      </x:c>
      <x:c r="G589" s="50" t="n">
        <x:f>0</x:f>
        <x:v>0</x:v>
      </x:c>
      <x:c r="H589" s="41" t="n">
        <x:f>0</x:f>
        <x:v>0</x:v>
      </x:c>
      <x:c r="I589" s="50" t="n">
        <x:f>(I588*(1+Inputs!$B$12))+E589</x:f>
        <x:v>442705.37432836613</x:v>
      </x:c>
      <x:c r="J589" s="50" t="n">
        <x:f>(J588*(1+Inputs!$B$12))+F589+P589</x:f>
        <x:v>514581.52055375924</x:v>
      </x:c>
      <x:c r="K589" s="50" t="n">
        <x:f>(K588*(1+Inputs!$B$12))*(1-H589)</x:f>
        <x:v>0</x:v>
      </x:c>
      <x:c r="L589" s="50" t="n">
        <x:f>L588*(1+Inputs!$B$13)+Q589</x:f>
        <x:v>38161.46702706748</x:v>
      </x:c>
      <x:c r="M589" s="50" t="n">
        <x:f>I589+J589+L589</x:f>
        <x:v>995448.3619091928</x:v>
      </x:c>
      <x:c r="N589" s="50" t="n">
        <x:f>F589+P589</x:f>
        <x:v>600</x:v>
      </x:c>
      <x:c r="O589" s="50" t="n">
        <x:f>IF(B589=1,0,O588+F588+P588)</x:f>
        <x:v>4257.1428571827055</x:v>
      </x:c>
      <x:c r="P589" s="50" t="n">
        <x:f>MIN(G589,MAX(0,Inputs!$B$20-O589-F589))</x:f>
        <x:v>0</x:v>
      </x:c>
      <x:c r="Q589" s="50" t="n">
        <x:f>(C589-E589-F589)+(G589-P589)</x:f>
        <x:v>0</x:v>
      </x:c>
    </x:row>
    <x:row r="590">
      <x:c r="A590" s="41" t="n">
        <x:f>IF(B590=1,A589+1,A589)</x:f>
        <x:v>2049</x:v>
      </x:c>
      <x:c r="B590" s="41" t="n">
        <x:f>IF(B589=26,1,B589+1)</x:f>
        <x:v>17</x:v>
      </x:c>
      <x:c r="C590" s="48" t="n">
        <x:f>Inputs!$F$25</x:f>
        <x:v>600</x:v>
      </x:c>
      <x:c r="D590" s="50" t="n">
        <x:f>IF(B590=1,0,D589+E589)</x:f>
        <x:v>8000</x:v>
      </x:c>
      <x:c r="E590" s="50" t="n">
        <x:f>MIN(C590,MAX(0,Inputs!$B$7-D590))</x:f>
        <x:v>0</x:v>
      </x:c>
      <x:c r="F590" s="50" t="n">
        <x:f>MIN(C590-E590,MAX(0,Inputs!$B$20-O590))</x:f>
        <x:v>600</x:v>
      </x:c>
      <x:c r="G590" s="50" t="n">
        <x:f>0</x:f>
        <x:v>0</x:v>
      </x:c>
      <x:c r="H590" s="41" t="n">
        <x:f>0</x:f>
        <x:v>0</x:v>
      </x:c>
      <x:c r="I590" s="50" t="n">
        <x:f>(I589*(1+Inputs!$B$12))+E590</x:f>
        <x:v>443536.91074940487</x:v>
      </x:c>
      <x:c r="J590" s="50" t="n">
        <x:f>(J589*(1+Inputs!$B$12))+F590+P590</x:f>
        <x:v>516148.06241375615</x:v>
      </x:c>
      <x:c r="K590" s="50" t="n">
        <x:f>(K589*(1+Inputs!$B$12))*(1-H590)</x:f>
        <x:v>0</x:v>
      </x:c>
      <x:c r="L590" s="50" t="n">
        <x:f>L589*(1+Inputs!$B$13)+Q590</x:f>
        <x:v>38228.23640417551</x:v>
      </x:c>
      <x:c r="M590" s="50" t="n">
        <x:f>I590+J590+L590</x:f>
        <x:v>997913.2095673365</x:v>
      </x:c>
      <x:c r="N590" s="50" t="n">
        <x:f>F590+P590</x:f>
        <x:v>600</x:v>
      </x:c>
      <x:c r="O590" s="50" t="n">
        <x:f>IF(B590=1,0,O589+F589+P589)</x:f>
        <x:v>4857.1428571827055</x:v>
      </x:c>
      <x:c r="P590" s="50" t="n">
        <x:f>MIN(G590,MAX(0,Inputs!$B$20-O590-F590))</x:f>
        <x:v>0</x:v>
      </x:c>
      <x:c r="Q590" s="50" t="n">
        <x:f>(C590-E590-F590)+(G590-P590)</x:f>
        <x:v>0</x:v>
      </x:c>
    </x:row>
    <x:row r="591">
      <x:c r="A591" s="41" t="n">
        <x:f>IF(B591=1,A590+1,A590)</x:f>
        <x:v>2049</x:v>
      </x:c>
      <x:c r="B591" s="41" t="n">
        <x:f>IF(B590=26,1,B590+1)</x:f>
        <x:v>18</x:v>
      </x:c>
      <x:c r="C591" s="48" t="n">
        <x:f>Inputs!$F$25</x:f>
        <x:v>600</x:v>
      </x:c>
      <x:c r="D591" s="50" t="n">
        <x:f>IF(B591=1,0,D590+E590)</x:f>
        <x:v>8000</x:v>
      </x:c>
      <x:c r="E591" s="50" t="n">
        <x:f>MIN(C591,MAX(0,Inputs!$B$7-D591))</x:f>
        <x:v>0</x:v>
      </x:c>
      <x:c r="F591" s="50" t="n">
        <x:f>MIN(C591-E591,MAX(0,Inputs!$B$20-O591))</x:f>
        <x:v>600</x:v>
      </x:c>
      <x:c r="G591" s="50" t="n">
        <x:f>0</x:f>
        <x:v>0</x:v>
      </x:c>
      <x:c r="H591" s="41" t="n">
        <x:f>0</x:f>
        <x:v>0</x:v>
      </x:c>
      <x:c r="I591" s="50" t="n">
        <x:f>(I590*(1+Inputs!$B$12))+E591</x:f>
        <x:v>444370.00905078126</x:v>
      </x:c>
      <x:c r="J591" s="50" t="n">
        <x:f>(J590*(1+Inputs!$B$12))+F591+P591</x:f>
        <x:v>517717.5467196487</x:v>
      </x:c>
      <x:c r="K591" s="50" t="n">
        <x:f>(K590*(1+Inputs!$B$12))*(1-H591)</x:f>
        <x:v>0</x:v>
      </x:c>
      <x:c r="L591" s="50" t="n">
        <x:f>L590*(1+Inputs!$B$13)+Q591</x:f>
        <x:v>38295.12260461521</x:v>
      </x:c>
      <x:c r="M591" s="50" t="n">
        <x:f>I591+J591+L591</x:f>
        <x:v>1000382.6783750452</x:v>
      </x:c>
      <x:c r="N591" s="50" t="n">
        <x:f>F591+P591</x:f>
        <x:v>600</x:v>
      </x:c>
      <x:c r="O591" s="50" t="n">
        <x:f>IF(B591=1,0,O590+F590+P590)</x:f>
        <x:v>5457.1428571827055</x:v>
      </x:c>
      <x:c r="P591" s="50" t="n">
        <x:f>MIN(G591,MAX(0,Inputs!$B$20-O591-F591))</x:f>
        <x:v>0</x:v>
      </x:c>
      <x:c r="Q591" s="50" t="n">
        <x:f>(C591-E591-F591)+(G591-P591)</x:f>
        <x:v>0</x:v>
      </x:c>
    </x:row>
    <x:row r="592">
      <x:c r="A592" s="41" t="n">
        <x:f>IF(B592=1,A591+1,A591)</x:f>
        <x:v>2049</x:v>
      </x:c>
      <x:c r="B592" s="41" t="n">
        <x:f>IF(B591=26,1,B591+1)</x:f>
        <x:v>19</x:v>
      </x:c>
      <x:c r="C592" s="48" t="n">
        <x:f>Inputs!$F$25</x:f>
        <x:v>600</x:v>
      </x:c>
      <x:c r="D592" s="50" t="n">
        <x:f>IF(B592=1,0,D591+E591)</x:f>
        <x:v>8000</x:v>
      </x:c>
      <x:c r="E592" s="50" t="n">
        <x:f>MIN(C592,MAX(0,Inputs!$B$7-D592))</x:f>
        <x:v>0</x:v>
      </x:c>
      <x:c r="F592" s="50" t="n">
        <x:f>MIN(C592-E592,MAX(0,Inputs!$B$20-O592))</x:f>
        <x:v>600</x:v>
      </x:c>
      <x:c r="G592" s="50" t="n">
        <x:f>0</x:f>
        <x:v>0</x:v>
      </x:c>
      <x:c r="H592" s="41" t="n">
        <x:f>0</x:f>
        <x:v>0</x:v>
      </x:c>
      <x:c r="I592" s="50" t="n">
        <x:f>(I591*(1+Inputs!$B$12))+E592</x:f>
        <x:v>445204.67216618534</x:v>
      </x:c>
      <x:c r="J592" s="50" t="n">
        <x:f>(J591*(1+Inputs!$B$12))+F592+P592</x:f>
        <x:v>519289.97899825237</x:v>
      </x:c>
      <x:c r="K592" s="50" t="n">
        <x:f>(K591*(1+Inputs!$B$12))*(1-H592)</x:f>
        <x:v>0</x:v>
      </x:c>
      <x:c r="L592" s="50" t="n">
        <x:f>L591*(1+Inputs!$B$13)+Q592</x:f>
        <x:v>38362.125832787024</x:v>
      </x:c>
      <x:c r="M592" s="50" t="n">
        <x:f>I592+J592+L592</x:f>
        <x:v>1002856.7769972247</x:v>
      </x:c>
      <x:c r="N592" s="50" t="n">
        <x:f>F592+P592</x:f>
        <x:v>600</x:v>
      </x:c>
      <x:c r="O592" s="50" t="n">
        <x:f>IF(B592=1,0,O591+F591+P591)</x:f>
        <x:v>6057.1428571827055</x:v>
      </x:c>
      <x:c r="P592" s="50" t="n">
        <x:f>MIN(G592,MAX(0,Inputs!$B$20-O592-F592))</x:f>
        <x:v>0</x:v>
      </x:c>
      <x:c r="Q592" s="50" t="n">
        <x:f>(C592-E592-F592)+(G592-P592)</x:f>
        <x:v>0</x:v>
      </x:c>
    </x:row>
    <x:row r="593">
      <x:c r="A593" s="41" t="n">
        <x:f>IF(B593=1,A592+1,A592)</x:f>
        <x:v>2049</x:v>
      </x:c>
      <x:c r="B593" s="41" t="n">
        <x:f>IF(B592=26,1,B592+1)</x:f>
        <x:v>20</x:v>
      </x:c>
      <x:c r="C593" s="48" t="n">
        <x:f>Inputs!$F$25</x:f>
        <x:v>600</x:v>
      </x:c>
      <x:c r="D593" s="50" t="n">
        <x:f>IF(B593=1,0,D592+E592)</x:f>
        <x:v>8000</x:v>
      </x:c>
      <x:c r="E593" s="50" t="n">
        <x:f>MIN(C593,MAX(0,Inputs!$B$7-D593))</x:f>
        <x:v>0</x:v>
      </x:c>
      <x:c r="F593" s="50" t="n">
        <x:f>MIN(C593-E593,MAX(0,Inputs!$B$20-O593))</x:f>
        <x:v>600</x:v>
      </x:c>
      <x:c r="G593" s="50" t="n">
        <x:f>0</x:f>
        <x:v>0</x:v>
      </x:c>
      <x:c r="H593" s="41" t="n">
        <x:f>0</x:f>
        <x:v>0</x:v>
      </x:c>
      <x:c r="I593" s="50" t="n">
        <x:f>(I592*(1+Inputs!$B$12))+E593</x:f>
        <x:v>446040.90303481766</x:v>
      </x:c>
      <x:c r="J593" s="50" t="n">
        <x:f>(J592*(1+Inputs!$B$12))+F593+P593</x:f>
        <x:v>520865.36478676373</x:v>
      </x:c>
      <x:c r="K593" s="50" t="n">
        <x:f>(K592*(1+Inputs!$B$12))*(1-H593)</x:f>
        <x:v>0</x:v>
      </x:c>
      <x:c r="L593" s="50" t="n">
        <x:f>L592*(1+Inputs!$B$13)+Q593</x:f>
        <x:v>38429.24629344904</x:v>
      </x:c>
      <x:c r="M593" s="50" t="n">
        <x:f>I593+J593+L593</x:f>
        <x:v>1005335.5141150304</x:v>
      </x:c>
      <x:c r="N593" s="50" t="n">
        <x:f>F593+P593</x:f>
        <x:v>600</x:v>
      </x:c>
      <x:c r="O593" s="50" t="n">
        <x:f>IF(B593=1,0,O592+F592+P592)</x:f>
        <x:v>6657.1428571827055</x:v>
      </x:c>
      <x:c r="P593" s="50" t="n">
        <x:f>MIN(G593,MAX(0,Inputs!$B$20-O593-F593))</x:f>
        <x:v>0</x:v>
      </x:c>
      <x:c r="Q593" s="50" t="n">
        <x:f>(C593-E593-F593)+(G593-P593)</x:f>
        <x:v>0</x:v>
      </x:c>
    </x:row>
    <x:row r="594">
      <x:c r="A594" s="41" t="n">
        <x:f>IF(B594=1,A593+1,A593)</x:f>
        <x:v>2049</x:v>
      </x:c>
      <x:c r="B594" s="41" t="n">
        <x:f>IF(B593=26,1,B593+1)</x:f>
        <x:v>21</x:v>
      </x:c>
      <x:c r="C594" s="48" t="n">
        <x:f>Inputs!$F$25</x:f>
        <x:v>600</x:v>
      </x:c>
      <x:c r="D594" s="50" t="n">
        <x:f>IF(B594=1,0,D593+E593)</x:f>
        <x:v>8000</x:v>
      </x:c>
      <x:c r="E594" s="50" t="n">
        <x:f>MIN(C594,MAX(0,Inputs!$B$7-D594))</x:f>
        <x:v>0</x:v>
      </x:c>
      <x:c r="F594" s="50" t="n">
        <x:f>MIN(C594-E594,MAX(0,Inputs!$B$20-O594))</x:f>
        <x:v>600</x:v>
      </x:c>
      <x:c r="G594" s="50" t="n">
        <x:f>0</x:f>
        <x:v>0</x:v>
      </x:c>
      <x:c r="H594" s="41" t="n">
        <x:f>0</x:f>
        <x:v>0</x:v>
      </x:c>
      <x:c r="I594" s="50" t="n">
        <x:f>(I593*(1+Inputs!$B$12))+E594</x:f>
        <x:v>446878.7046013994</x:v>
      </x:c>
      <x:c r="J594" s="50" t="n">
        <x:f>(J593*(1+Inputs!$B$12))+F594+P594</x:f>
        <x:v>522443.70963277994</x:v>
      </x:c>
      <x:c r="K594" s="50" t="n">
        <x:f>(K593*(1+Inputs!$B$12))*(1-H594)</x:f>
        <x:v>0</x:v>
      </x:c>
      <x:c r="L594" s="50" t="n">
        <x:f>L593*(1+Inputs!$B$13)+Q594</x:f>
        <x:v>38496.48419171759</x:v>
      </x:c>
      <x:c r="M594" s="50" t="n">
        <x:f>I594+J594+L594</x:f>
        <x:v>1007818.8984258969</x:v>
      </x:c>
      <x:c r="N594" s="50" t="n">
        <x:f>F594+P594</x:f>
        <x:v>600</x:v>
      </x:c>
      <x:c r="O594" s="50" t="n">
        <x:f>IF(B594=1,0,O593+F593+P593)</x:f>
        <x:v>7257.1428571827055</x:v>
      </x:c>
      <x:c r="P594" s="50" t="n">
        <x:f>MIN(G594,MAX(0,Inputs!$B$20-O594-F594))</x:f>
        <x:v>0</x:v>
      </x:c>
      <x:c r="Q594" s="50" t="n">
        <x:f>(C594-E594-F594)+(G594-P594)</x:f>
        <x:v>0</x:v>
      </x:c>
    </x:row>
    <x:row r="595">
      <x:c r="A595" s="41" t="n">
        <x:f>IF(B595=1,A594+1,A594)</x:f>
        <x:v>2049</x:v>
      </x:c>
      <x:c r="B595" s="41" t="n">
        <x:f>IF(B594=26,1,B594+1)</x:f>
        <x:v>22</x:v>
      </x:c>
      <x:c r="C595" s="48" t="n">
        <x:f>Inputs!$F$25</x:f>
        <x:v>600</x:v>
      </x:c>
      <x:c r="D595" s="50" t="n">
        <x:f>IF(B595=1,0,D594+E594)</x:f>
        <x:v>8000</x:v>
      </x:c>
      <x:c r="E595" s="50" t="n">
        <x:f>MIN(C595,MAX(0,Inputs!$B$7-D595))</x:f>
        <x:v>0</x:v>
      </x:c>
      <x:c r="F595" s="50" t="n">
        <x:f>MIN(C595-E595,MAX(0,Inputs!$B$20-O595))</x:f>
        <x:v>600</x:v>
      </x:c>
      <x:c r="G595" s="50" t="n">
        <x:f>0</x:f>
        <x:v>0</x:v>
      </x:c>
      <x:c r="H595" s="41" t="n">
        <x:f>0</x:f>
        <x:v>0</x:v>
      </x:c>
      <x:c r="I595" s="50" t="n">
        <x:f>(I594*(1+Inputs!$B$12))+E595</x:f>
        <x:v>447718.07981618296</x:v>
      </x:c>
      <x:c r="J595" s="50" t="n">
        <x:f>(J594*(1+Inputs!$B$12))+F595+P595</x:f>
        <x:v>524025.01909431815</x:v>
      </x:c>
      <x:c r="K595" s="50" t="n">
        <x:f>(K594*(1+Inputs!$B$12))*(1-H595)</x:f>
        <x:v>0</x:v>
      </x:c>
      <x:c r="L595" s="50" t="n">
        <x:f>L594*(1+Inputs!$B$13)+Q595</x:f>
        <x:v>38563.83973306789</x:v>
      </x:c>
      <x:c r="M595" s="50" t="n">
        <x:f>I595+J595+L595</x:f>
        <x:v>1010306.938643569</x:v>
      </x:c>
      <x:c r="N595" s="50" t="n">
        <x:f>F595+P595</x:f>
        <x:v>600</x:v>
      </x:c>
      <x:c r="O595" s="50" t="n">
        <x:f>IF(B595=1,0,O594+F594+P594)</x:f>
        <x:v>7857.1428571827055</x:v>
      </x:c>
      <x:c r="P595" s="50" t="n">
        <x:f>MIN(G595,MAX(0,Inputs!$B$20-O595-F595))</x:f>
        <x:v>0</x:v>
      </x:c>
      <x:c r="Q595" s="50" t="n">
        <x:f>(C595-E595-F595)+(G595-P595)</x:f>
        <x:v>0</x:v>
      </x:c>
    </x:row>
    <x:row r="596">
      <x:c r="A596" s="41" t="n">
        <x:f>IF(B596=1,A595+1,A595)</x:f>
        <x:v>2049</x:v>
      </x:c>
      <x:c r="B596" s="41" t="n">
        <x:f>IF(B595=26,1,B595+1)</x:f>
        <x:v>23</x:v>
      </x:c>
      <x:c r="C596" s="48" t="n">
        <x:f>Inputs!$F$25</x:f>
        <x:v>600</x:v>
      </x:c>
      <x:c r="D596" s="50" t="n">
        <x:f>IF(B596=1,0,D595+E595)</x:f>
        <x:v>8000</x:v>
      </x:c>
      <x:c r="E596" s="50" t="n">
        <x:f>MIN(C596,MAX(0,Inputs!$B$7-D596))</x:f>
        <x:v>0</x:v>
      </x:c>
      <x:c r="F596" s="50" t="n">
        <x:f>MIN(C596-E596,MAX(0,Inputs!$B$20-O596))</x:f>
        <x:v>600</x:v>
      </x:c>
      <x:c r="G596" s="50" t="n">
        <x:f>0</x:f>
        <x:v>0</x:v>
      </x:c>
      <x:c r="H596" s="41" t="n">
        <x:f>0</x:f>
        <x:v>0</x:v>
      </x:c>
      <x:c r="I596" s="50" t="n">
        <x:f>(I595*(1+Inputs!$B$12))+E596</x:f>
        <x:v>448559.031634962</x:v>
      </x:c>
      <x:c r="J596" s="50" t="n">
        <x:f>(J595*(1+Inputs!$B$12))+F596+P596</x:f>
        <x:v>525609.2987398353</x:v>
      </x:c>
      <x:c r="K596" s="50" t="n">
        <x:f>(K595*(1+Inputs!$B$12))*(1-H596)</x:f>
        <x:v>0</x:v>
      </x:c>
      <x:c r="L596" s="50" t="n">
        <x:f>L595*(1+Inputs!$B$13)+Q596</x:f>
        <x:v>38631.31312333469</x:v>
      </x:c>
      <x:c r="M596" s="50" t="n">
        <x:f>I596+J596+L596</x:f>
        <x:v>1012799.643498132</x:v>
      </x:c>
      <x:c r="N596" s="50" t="n">
        <x:f>F596+P596</x:f>
        <x:v>600</x:v>
      </x:c>
      <x:c r="O596" s="50" t="n">
        <x:f>IF(B596=1,0,O595+F595+P595)</x:f>
        <x:v>8457.142857182705</x:v>
      </x:c>
      <x:c r="P596" s="50" t="n">
        <x:f>MIN(G596,MAX(0,Inputs!$B$20-O596-F596))</x:f>
        <x:v>0</x:v>
      </x:c>
      <x:c r="Q596" s="50" t="n">
        <x:f>(C596-E596-F596)+(G596-P596)</x:f>
        <x:v>0</x:v>
      </x:c>
    </x:row>
    <x:row r="597">
      <x:c r="A597" s="41" t="n">
        <x:f>IF(B597=1,A596+1,A596)</x:f>
        <x:v>2049</x:v>
      </x:c>
      <x:c r="B597" s="41" t="n">
        <x:f>IF(B596=26,1,B596+1)</x:f>
        <x:v>24</x:v>
      </x:c>
      <x:c r="C597" s="48" t="n">
        <x:f>Inputs!$F$25</x:f>
        <x:v>600</x:v>
      </x:c>
      <x:c r="D597" s="50" t="n">
        <x:f>IF(B597=1,0,D596+E596)</x:f>
        <x:v>8000</x:v>
      </x:c>
      <x:c r="E597" s="50" t="n">
        <x:f>MIN(C597,MAX(0,Inputs!$B$7-D597))</x:f>
        <x:v>0</x:v>
      </x:c>
      <x:c r="F597" s="50" t="n">
        <x:f>MIN(C597-E597,MAX(0,Inputs!$B$20-O597))</x:f>
        <x:v>600</x:v>
      </x:c>
      <x:c r="G597" s="50" t="n">
        <x:f>0</x:f>
        <x:v>0</x:v>
      </x:c>
      <x:c r="H597" s="41" t="n">
        <x:f>0</x:f>
        <x:v>0</x:v>
      </x:c>
      <x:c r="I597" s="50" t="n">
        <x:f>(I596*(1+Inputs!$B$12))+E597</x:f>
        <x:v>449401.56301908224</x:v>
      </x:c>
      <x:c r="J597" s="50" t="n">
        <x:f>(J596*(1+Inputs!$B$12))+F597+P597</x:f>
        <x:v>527196.5541482475</x:v>
      </x:c>
      <x:c r="K597" s="50" t="n">
        <x:f>(K596*(1+Inputs!$B$12))*(1-H597)</x:f>
        <x:v>0</x:v>
      </x:c>
      <x:c r="L597" s="50" t="n">
        <x:f>L596*(1+Inputs!$B$13)+Q597</x:f>
        <x:v>38698.90456871284</x:v>
      </x:c>
      <x:c r="M597" s="50" t="n">
        <x:f>I597+J597+L597</x:f>
        <x:v>1015297.0217360425</x:v>
      </x:c>
      <x:c r="N597" s="50" t="n">
        <x:f>F597+P597</x:f>
        <x:v>600</x:v>
      </x:c>
      <x:c r="O597" s="50" t="n">
        <x:f>IF(B597=1,0,O596+F596+P596)</x:f>
        <x:v>9057.142857182705</x:v>
      </x:c>
      <x:c r="P597" s="50" t="n">
        <x:f>MIN(G597,MAX(0,Inputs!$B$20-O597-F597))</x:f>
        <x:v>0</x:v>
      </x:c>
      <x:c r="Q597" s="50" t="n">
        <x:f>(C597-E597-F597)+(G597-P597)</x:f>
        <x:v>0</x:v>
      </x:c>
    </x:row>
    <x:row r="598">
      <x:c r="A598" s="41" t="n">
        <x:f>IF(B598=1,A597+1,A597)</x:f>
        <x:v>2049</x:v>
      </x:c>
      <x:c r="B598" s="41" t="n">
        <x:f>IF(B597=26,1,B597+1)</x:f>
        <x:v>25</x:v>
      </x:c>
      <x:c r="C598" s="48" t="n">
        <x:f>Inputs!$F$25</x:f>
        <x:v>600</x:v>
      </x:c>
      <x:c r="D598" s="50" t="n">
        <x:f>IF(B598=1,0,D597+E597)</x:f>
        <x:v>8000</x:v>
      </x:c>
      <x:c r="E598" s="50" t="n">
        <x:f>MIN(C598,MAX(0,Inputs!$B$7-D598))</x:f>
        <x:v>0</x:v>
      </x:c>
      <x:c r="F598" s="50" t="n">
        <x:f>MIN(C598-E598,MAX(0,Inputs!$B$20-O598))</x:f>
        <x:v>600</x:v>
      </x:c>
      <x:c r="G598" s="50" t="n">
        <x:f>0</x:f>
        <x:v>0</x:v>
      </x:c>
      <x:c r="H598" s="41" t="n">
        <x:f>0</x:f>
        <x:v>0</x:v>
      </x:c>
      <x:c r="I598" s="50" t="n">
        <x:f>(I597*(1+Inputs!$B$12))+E598</x:f>
        <x:v>450245.6769354517</x:v>
      </x:c>
      <x:c r="J598" s="50" t="n">
        <x:f>(J597*(1+Inputs!$B$12))+F598+P598</x:f>
        <x:v>528786.7909089497</x:v>
      </x:c>
      <x:c r="K598" s="50" t="n">
        <x:f>(K597*(1+Inputs!$B$12))*(1-H598)</x:f>
        <x:v>0</x:v>
      </x:c>
      <x:c r="L598" s="50" t="n">
        <x:f>L597*(1+Inputs!$B$13)+Q598</x:f>
        <x:v>38766.614275757995</x:v>
      </x:c>
      <x:c r="M598" s="50" t="n">
        <x:f>I598+J598+L598</x:f>
        <x:v>1017799.0821201594</x:v>
      </x:c>
      <x:c r="N598" s="50" t="n">
        <x:f>F598+P598</x:f>
        <x:v>600</x:v>
      </x:c>
      <x:c r="O598" s="50" t="n">
        <x:f>IF(B598=1,0,O597+F597+P597)</x:f>
        <x:v>9657.142857182705</x:v>
      </x:c>
      <x:c r="P598" s="50" t="n">
        <x:f>MIN(G598,MAX(0,Inputs!$B$20-O598-F598))</x:f>
        <x:v>0</x:v>
      </x:c>
      <x:c r="Q598" s="50" t="n">
        <x:f>(C598-E598-F598)+(G598-P598)</x:f>
        <x:v>0</x:v>
      </x:c>
    </x:row>
    <x:row r="599">
      <x:c r="A599" s="41" t="n">
        <x:f>IF(B599=1,A598+1,A598)</x:f>
        <x:v>2049</x:v>
      </x:c>
      <x:c r="B599" s="41" t="n">
        <x:f>IF(B598=26,1,B598+1)</x:f>
        <x:v>26</x:v>
      </x:c>
      <x:c r="C599" s="48" t="n">
        <x:f>Inputs!$F$25</x:f>
        <x:v>600</x:v>
      </x:c>
      <x:c r="D599" s="50" t="n">
        <x:f>IF(B599=1,0,D598+E598)</x:f>
        <x:v>8000</x:v>
      </x:c>
      <x:c r="E599" s="50" t="n">
        <x:f>MIN(C599,MAX(0,Inputs!$B$7-D599))</x:f>
        <x:v>0</x:v>
      </x:c>
      <x:c r="F599" s="50" t="n">
        <x:f>MIN(C599-E599,MAX(0,Inputs!$B$20-O599))</x:f>
        <x:v>600</x:v>
      </x:c>
      <x:c r="G599" s="50" t="n">
        <x:f>0</x:f>
        <x:v>0</x:v>
      </x:c>
      <x:c r="H599" s="41" t="n">
        <x:f>IF(A599=Inputs!$B$8,1,0)</x:f>
        <x:v>0</x:v>
      </x:c>
      <x:c r="I599" s="50" t="n">
        <x:f>(I598*(1+Inputs!$B$12))+E599</x:f>
        <x:v>451091.3763565511</x:v>
      </x:c>
      <x:c r="J599" s="50" t="n">
        <x:f>(J598*(1+Inputs!$B$12))+F599+P599</x:f>
        <x:v>530380.0146218357</x:v>
      </x:c>
      <x:c r="K599" s="50" t="n">
        <x:f>(K598*(1+Inputs!$B$12))*(1-H599)</x:f>
        <x:v>0</x:v>
      </x:c>
      <x:c r="L599" s="50" t="n">
        <x:f>L598*(1+Inputs!$B$13)+Q599</x:f>
        <x:v>38834.442451387185</x:v>
      </x:c>
      <x:c r="M599" s="50" t="n">
        <x:f>I599+J599+L599</x:f>
        <x:v>1020305.8334297739</x:v>
      </x:c>
      <x:c r="N599" s="50" t="n">
        <x:f>F599+P599</x:f>
        <x:v>600</x:v>
      </x:c>
      <x:c r="O599" s="50" t="n">
        <x:f>IF(B599=1,0,O598+F598+P598)</x:f>
        <x:v>10257.142857182705</x:v>
      </x:c>
      <x:c r="P599" s="50" t="n">
        <x:f>MIN(G599,MAX(0,Inputs!$B$20-O599-F599))</x:f>
        <x:v>0</x:v>
      </x:c>
      <x:c r="Q599" s="50" t="n">
        <x:f>(C599-E599-F599)+(G599-P599)</x:f>
        <x:v>0</x:v>
      </x:c>
    </x:row>
    <x:row r="600">
      <x:c r="A600" s="41" t="n">
        <x:f>IF(B600=1,A599+1,A599)</x:f>
        <x:v>2050</x:v>
      </x:c>
      <x:c r="B600" s="41" t="n">
        <x:f>IF(B599=26,1,B599+1)</x:f>
        <x:v>1</x:v>
      </x:c>
      <x:c r="C600" s="48" t="n">
        <x:f>Inputs!$F$26</x:f>
        <x:v>600</x:v>
      </x:c>
      <x:c r="D600" s="50" t="n">
        <x:f>IF(B600=1,0,D599+E599)</x:f>
        <x:v>0</x:v>
      </x:c>
      <x:c r="E600" s="50" t="n">
        <x:f>MIN(C600,MAX(0,Inputs!$B$7-D600))</x:f>
        <x:v>600</x:v>
      </x:c>
      <x:c r="F600" s="50" t="n">
        <x:f>MIN(C600-E600,MAX(0,Inputs!$B$20-O600))</x:f>
        <x:v>0</x:v>
      </x:c>
      <x:c r="G600" s="50" t="n">
        <x:f>0</x:f>
        <x:v>0</x:v>
      </x:c>
      <x:c r="H600" s="41" t="n">
        <x:f>0</x:f>
        <x:v>0</x:v>
      </x:c>
      <x:c r="I600" s="50" t="n">
        <x:f>(I599*(1+Inputs!$B$12))+E600</x:f>
        <x:v>452538.66426044435</x:v>
      </x:c>
      <x:c r="J600" s="50" t="n">
        <x:f>(J599*(1+Inputs!$B$12))+F600+P600</x:f>
        <x:v>531376.2308973173</x:v>
      </x:c>
      <x:c r="K600" s="50" t="n">
        <x:f>(K599*(1+Inputs!$B$12))*(1-H600)</x:f>
        <x:v>0</x:v>
      </x:c>
      <x:c r="L600" s="50" t="n">
        <x:f>L599*(1+Inputs!$B$13)+Q600</x:f>
        <x:v>38902.38930287949</x:v>
      </x:c>
      <x:c r="M600" s="50" t="n">
        <x:f>I600+J600+L600</x:f>
        <x:v>1022817.2844606411</x:v>
      </x:c>
      <x:c r="N600" s="50" t="n">
        <x:f>F600+P600</x:f>
        <x:v>0</x:v>
      </x:c>
      <x:c r="O600" s="50" t="n">
        <x:f>IF(B600=1,0,O599+F599+P599)</x:f>
        <x:v>0</x:v>
      </x:c>
      <x:c r="P600" s="50" t="n">
        <x:f>MIN(G600,MAX(0,Inputs!$B$20-O600-F600))</x:f>
        <x:v>0</x:v>
      </x:c>
      <x:c r="Q600" s="50" t="n">
        <x:f>(C600-E600-F600)+(G600-P600)</x:f>
        <x:v>0</x:v>
      </x:c>
    </x:row>
    <x:row r="601">
      <x:c r="A601" s="41" t="n">
        <x:f>IF(B601=1,A600+1,A600)</x:f>
        <x:v>2050</x:v>
      </x:c>
      <x:c r="B601" s="41" t="n">
        <x:f>IF(B600=26,1,B600+1)</x:f>
        <x:v>2</x:v>
      </x:c>
      <x:c r="C601" s="48" t="n">
        <x:f>Inputs!$F$26</x:f>
        <x:v>600</x:v>
      </x:c>
      <x:c r="D601" s="50" t="n">
        <x:f>IF(B601=1,0,D600+E600)</x:f>
        <x:v>600</x:v>
      </x:c>
      <x:c r="E601" s="50" t="n">
        <x:f>MIN(C601,MAX(0,Inputs!$B$7-D601))</x:f>
        <x:v>600</x:v>
      </x:c>
      <x:c r="F601" s="50" t="n">
        <x:f>MIN(C601-E601,MAX(0,Inputs!$B$20-O601))</x:f>
        <x:v>0</x:v>
      </x:c>
      <x:c r="G601" s="50" t="n">
        <x:f>0</x:f>
        <x:v>0</x:v>
      </x:c>
      <x:c r="H601" s="41" t="n">
        <x:f>0</x:f>
        <x:v>0</x:v>
      </x:c>
      <x:c r="I601" s="50" t="n">
        <x:f>(I600*(1+Inputs!$B$12))+E601</x:f>
        <x:v>453988.6706147419</x:v>
      </x:c>
      <x:c r="J601" s="50" t="n">
        <x:f>(J600*(1+Inputs!$B$12))+F601+P601</x:f>
        <x:v>532374.3183723921</x:v>
      </x:c>
      <x:c r="K601" s="50" t="n">
        <x:f>(K600*(1+Inputs!$B$12))*(1-H601)</x:f>
        <x:v>0</x:v>
      </x:c>
      <x:c r="L601" s="50" t="n">
        <x:f>L600*(1+Inputs!$B$13)+Q601</x:f>
        <x:v>38970.45503787665</x:v>
      </x:c>
      <x:c r="M601" s="50" t="n">
        <x:f>I601+J601+L601</x:f>
        <x:v>1025333.4440250107</x:v>
      </x:c>
      <x:c r="N601" s="50" t="n">
        <x:f>F601+P601</x:f>
        <x:v>0</x:v>
      </x:c>
      <x:c r="O601" s="50" t="n">
        <x:f>IF(B601=1,0,O600+F600+P600)</x:f>
        <x:v>0</x:v>
      </x:c>
      <x:c r="P601" s="50" t="n">
        <x:f>MIN(G601,MAX(0,Inputs!$B$20-O601-F601))</x:f>
        <x:v>0</x:v>
      </x:c>
      <x:c r="Q601" s="50" t="n">
        <x:f>(C601-E601-F601)+(G601-P601)</x:f>
        <x:v>0</x:v>
      </x:c>
    </x:row>
    <x:row r="602">
      <x:c r="A602" s="41" t="n">
        <x:f>IF(B602=1,A601+1,A601)</x:f>
        <x:v>2050</x:v>
      </x:c>
      <x:c r="B602" s="41" t="n">
        <x:f>IF(B601=26,1,B601+1)</x:f>
        <x:v>3</x:v>
      </x:c>
      <x:c r="C602" s="48" t="n">
        <x:f>Inputs!$F$26</x:f>
        <x:v>600</x:v>
      </x:c>
      <x:c r="D602" s="50" t="n">
        <x:f>IF(B602=1,0,D601+E601)</x:f>
        <x:v>1200</x:v>
      </x:c>
      <x:c r="E602" s="50" t="n">
        <x:f>MIN(C602,MAX(0,Inputs!$B$7-D602))</x:f>
        <x:v>600</x:v>
      </x:c>
      <x:c r="F602" s="50" t="n">
        <x:f>MIN(C602-E602,MAX(0,Inputs!$B$20-O602))</x:f>
        <x:v>0</x:v>
      </x:c>
      <x:c r="G602" s="50" t="n">
        <x:f>0</x:f>
        <x:v>0</x:v>
      </x:c>
      <x:c r="H602" s="41" t="n">
        <x:f>0</x:f>
        <x:v>0</x:v>
      </x:c>
      <x:c r="I602" s="50" t="n">
        <x:f>(I601*(1+Inputs!$B$12))+E602</x:f>
        <x:v>455441.4005255271</x:v>
      </x:c>
      <x:c r="J602" s="50" t="n">
        <x:f>(J601*(1+Inputs!$B$12))+F602+P602</x:f>
        <x:v>533374.2805617464</x:v>
      </x:c>
      <x:c r="K602" s="50" t="n">
        <x:f>(K601*(1+Inputs!$B$12))*(1-H602)</x:f>
        <x:v>0</x:v>
      </x:c>
      <x:c r="L602" s="50" t="n">
        <x:f>L601*(1+Inputs!$B$13)+Q602</x:f>
        <x:v>39038.63986438371</x:v>
      </x:c>
      <x:c r="M602" s="50" t="n">
        <x:f>I602+J602+L602</x:f>
        <x:v>1027854.3209516573</x:v>
      </x:c>
      <x:c r="N602" s="50" t="n">
        <x:f>F602+P602</x:f>
        <x:v>0</x:v>
      </x:c>
      <x:c r="O602" s="50" t="n">
        <x:f>IF(B602=1,0,O601+F601+P601)</x:f>
        <x:v>0</x:v>
      </x:c>
      <x:c r="P602" s="50" t="n">
        <x:f>MIN(G602,MAX(0,Inputs!$B$20-O602-F602))</x:f>
        <x:v>0</x:v>
      </x:c>
      <x:c r="Q602" s="50" t="n">
        <x:f>(C602-E602-F602)+(G602-P602)</x:f>
        <x:v>0</x:v>
      </x:c>
    </x:row>
    <x:row r="603">
      <x:c r="A603" s="41" t="n">
        <x:f>IF(B603=1,A602+1,A602)</x:f>
        <x:v>2050</x:v>
      </x:c>
      <x:c r="B603" s="41" t="n">
        <x:f>IF(B602=26,1,B602+1)</x:f>
        <x:v>4</x:v>
      </x:c>
      <x:c r="C603" s="48" t="n">
        <x:f>Inputs!$F$26</x:f>
        <x:v>600</x:v>
      </x:c>
      <x:c r="D603" s="50" t="n">
        <x:f>IF(B603=1,0,D602+E602)</x:f>
        <x:v>1800</x:v>
      </x:c>
      <x:c r="E603" s="50" t="n">
        <x:f>MIN(C603,MAX(0,Inputs!$B$7-D603))</x:f>
        <x:v>600</x:v>
      </x:c>
      <x:c r="F603" s="50" t="n">
        <x:f>MIN(C603-E603,MAX(0,Inputs!$B$20-O603))</x:f>
        <x:v>0</x:v>
      </x:c>
      <x:c r="G603" s="50" t="n">
        <x:f>0</x:f>
        <x:v>0</x:v>
      </x:c>
      <x:c r="H603" s="41" t="n">
        <x:f>0</x:f>
        <x:v>0</x:v>
      </x:c>
      <x:c r="I603" s="50" t="n">
        <x:f>(I602*(1+Inputs!$B$12))+E603</x:f>
        <x:v>456896.8591084739</x:v>
      </x:c>
      <x:c r="J603" s="50" t="n">
        <x:f>(J602*(1+Inputs!$B$12))+F603+P603</x:f>
        <x:v>534376.1209866686</x:v>
      </x:c>
      <x:c r="K603" s="50" t="n">
        <x:f>(K602*(1+Inputs!$B$12))*(1-H603)</x:f>
        <x:v>0</x:v>
      </x:c>
      <x:c r="L603" s="50" t="n">
        <x:f>L602*(1+Inputs!$B$13)+Q603</x:f>
        <x:v>39106.94399076964</x:v>
      </x:c>
      <x:c r="M603" s="50" t="n">
        <x:f>I603+J603+L603</x:f>
        <x:v>1030379.9240859122</x:v>
      </x:c>
      <x:c r="N603" s="50" t="n">
        <x:f>F603+P603</x:f>
        <x:v>0</x:v>
      </x:c>
      <x:c r="O603" s="50" t="n">
        <x:f>IF(B603=1,0,O602+F602+P602)</x:f>
        <x:v>0</x:v>
      </x:c>
      <x:c r="P603" s="50" t="n">
        <x:f>MIN(G603,MAX(0,Inputs!$B$20-O603-F603))</x:f>
        <x:v>0</x:v>
      </x:c>
      <x:c r="Q603" s="50" t="n">
        <x:f>(C603-E603-F603)+(G603-P603)</x:f>
        <x:v>0</x:v>
      </x:c>
    </x:row>
    <x:row r="604">
      <x:c r="A604" s="41" t="n">
        <x:f>IF(B604=1,A603+1,A603)</x:f>
        <x:v>2050</x:v>
      </x:c>
      <x:c r="B604" s="41" t="n">
        <x:f>IF(B603=26,1,B603+1)</x:f>
        <x:v>5</x:v>
      </x:c>
      <x:c r="C604" s="48" t="n">
        <x:f>Inputs!$F$26</x:f>
        <x:v>600</x:v>
      </x:c>
      <x:c r="D604" s="50" t="n">
        <x:f>IF(B604=1,0,D603+E603)</x:f>
        <x:v>2400</x:v>
      </x:c>
      <x:c r="E604" s="50" t="n">
        <x:f>MIN(C604,MAX(0,Inputs!$B$7-D604))</x:f>
        <x:v>600</x:v>
      </x:c>
      <x:c r="F604" s="50" t="n">
        <x:f>MIN(C604-E604,MAX(0,Inputs!$B$20-O604))</x:f>
        <x:v>0</x:v>
      </x:c>
      <x:c r="G604" s="50" t="n">
        <x:f>0</x:f>
        <x:v>0</x:v>
      </x:c>
      <x:c r="H604" s="41" t="n">
        <x:f>0</x:f>
        <x:v>0</x:v>
      </x:c>
      <x:c r="I604" s="50" t="n">
        <x:f>(I603*(1+Inputs!$B$12))+E604</x:f>
        <x:v>458355.0514888652</x:v>
      </x:c>
      <x:c r="J604" s="50" t="n">
        <x:f>(J603*(1+Inputs!$B$12))+F604+P604</x:f>
        <x:v>535379.8431750608</x:v>
      </x:c>
      <x:c r="K604" s="50" t="n">
        <x:f>(K603*(1+Inputs!$B$12))*(1-H604)</x:f>
        <x:v>0</x:v>
      </x:c>
      <x:c r="L604" s="50" t="n">
        <x:f>L603*(1+Inputs!$B$13)+Q604</x:f>
        <x:v>39175.36762576801</x:v>
      </x:c>
      <x:c r="M604" s="50" t="n">
        <x:f>I604+J604+L604</x:f>
        <x:v>1032910.262289694</x:v>
      </x:c>
      <x:c r="N604" s="50" t="n">
        <x:f>F604+P604</x:f>
        <x:v>0</x:v>
      </x:c>
      <x:c r="O604" s="50" t="n">
        <x:f>IF(B604=1,0,O603+F603+P603)</x:f>
        <x:v>0</x:v>
      </x:c>
      <x:c r="P604" s="50" t="n">
        <x:f>MIN(G604,MAX(0,Inputs!$B$20-O604-F604))</x:f>
        <x:v>0</x:v>
      </x:c>
      <x:c r="Q604" s="50" t="n">
        <x:f>(C604-E604-F604)+(G604-P604)</x:f>
        <x:v>0</x:v>
      </x:c>
    </x:row>
    <x:row r="605">
      <x:c r="A605" s="41" t="n">
        <x:f>IF(B605=1,A604+1,A604)</x:f>
        <x:v>2050</x:v>
      </x:c>
      <x:c r="B605" s="41" t="n">
        <x:f>IF(B604=26,1,B604+1)</x:f>
        <x:v>6</x:v>
      </x:c>
      <x:c r="C605" s="48" t="n">
        <x:f>Inputs!$F$26</x:f>
        <x:v>600</x:v>
      </x:c>
      <x:c r="D605" s="50" t="n">
        <x:f>IF(B605=1,0,D604+E604)</x:f>
        <x:v>3000</x:v>
      </x:c>
      <x:c r="E605" s="50" t="n">
        <x:f>MIN(C605,MAX(0,Inputs!$B$7-D605))</x:f>
        <x:v>600</x:v>
      </x:c>
      <x:c r="F605" s="50" t="n">
        <x:f>MIN(C605-E605,MAX(0,Inputs!$B$20-O605))</x:f>
        <x:v>0</x:v>
      </x:c>
      <x:c r="G605" s="50" t="n">
        <x:f>0</x:f>
        <x:v>0</x:v>
      </x:c>
      <x:c r="H605" s="41" t="n">
        <x:f>0</x:f>
        <x:v>0</x:v>
      </x:c>
      <x:c r="I605" s="50" t="n">
        <x:f>(I604*(1+Inputs!$B$12))+E605</x:f>
        <x:v>459815.9828016109</x:v>
      </x:c>
      <x:c r="J605" s="50" t="n">
        <x:f>(J604*(1+Inputs!$B$12))+F605+P605</x:f>
        <x:v>536385.4506614517</x:v>
      </x:c>
      <x:c r="K605" s="50" t="n">
        <x:f>(K604*(1+Inputs!$B$12))*(1-H605)</x:f>
        <x:v>0</x:v>
      </x:c>
      <x:c r="L605" s="50" t="n">
        <x:f>L604*(1+Inputs!$B$13)+Q605</x:f>
        <x:v>39243.91097847757</x:v>
      </x:c>
      <x:c r="M605" s="50" t="n">
        <x:f>I605+J605+L605</x:f>
        <x:v>1035445.3444415402</x:v>
      </x:c>
      <x:c r="N605" s="50" t="n">
        <x:f>F605+P605</x:f>
        <x:v>0</x:v>
      </x:c>
      <x:c r="O605" s="50" t="n">
        <x:f>IF(B605=1,0,O604+F604+P604)</x:f>
        <x:v>0</x:v>
      </x:c>
      <x:c r="P605" s="50" t="n">
        <x:f>MIN(G605,MAX(0,Inputs!$B$20-O605-F605))</x:f>
        <x:v>0</x:v>
      </x:c>
      <x:c r="Q605" s="50" t="n">
        <x:f>(C605-E605-F605)+(G605-P605)</x:f>
        <x:v>0</x:v>
      </x:c>
    </x:row>
    <x:row r="606">
      <x:c r="A606" s="41" t="n">
        <x:f>IF(B606=1,A605+1,A605)</x:f>
        <x:v>2050</x:v>
      </x:c>
      <x:c r="B606" s="41" t="n">
        <x:f>IF(B605=26,1,B605+1)</x:f>
        <x:v>7</x:v>
      </x:c>
      <x:c r="C606" s="48" t="n">
        <x:f>Inputs!$F$26</x:f>
        <x:v>600</x:v>
      </x:c>
      <x:c r="D606" s="50" t="n">
        <x:f>IF(B606=1,0,D605+E605)</x:f>
        <x:v>3600</x:v>
      </x:c>
      <x:c r="E606" s="50" t="n">
        <x:f>MIN(C606,MAX(0,Inputs!$B$7-D606))</x:f>
        <x:v>600</x:v>
      </x:c>
      <x:c r="F606" s="50" t="n">
        <x:f>MIN(C606-E606,MAX(0,Inputs!$B$20-O606))</x:f>
        <x:v>0</x:v>
      </x:c>
      <x:c r="G606" s="50" t="n">
        <x:f>0</x:f>
        <x:v>0</x:v>
      </x:c>
      <x:c r="H606" s="41" t="n">
        <x:f>0</x:f>
        <x:v>0</x:v>
      </x:c>
      <x:c r="I606" s="50" t="n">
        <x:f>(I605*(1+Inputs!$B$12))+E606</x:f>
        <x:v>461279.6581912656</x:v>
      </x:c>
      <x:c r="J606" s="50" t="n">
        <x:f>(J605*(1+Inputs!$B$12))+F606+P606</x:f>
        <x:v>537392.9469870089</x:v>
      </x:c>
      <x:c r="K606" s="50" t="n">
        <x:f>(K605*(1+Inputs!$B$12))*(1-H606)</x:f>
        <x:v>0</x:v>
      </x:c>
      <x:c r="L606" s="50" t="n">
        <x:f>L605*(1+Inputs!$B$13)+Q606</x:f>
        <x:v>39312.57425836294</x:v>
      </x:c>
      <x:c r="M606" s="50" t="n">
        <x:f>I606+J606+L606</x:f>
        <x:v>1037985.1794366374</x:v>
      </x:c>
      <x:c r="N606" s="50" t="n">
        <x:f>F606+P606</x:f>
        <x:v>0</x:v>
      </x:c>
      <x:c r="O606" s="50" t="n">
        <x:f>IF(B606=1,0,O605+F605+P605)</x:f>
        <x:v>0</x:v>
      </x:c>
      <x:c r="P606" s="50" t="n">
        <x:f>MIN(G606,MAX(0,Inputs!$B$20-O606-F606))</x:f>
        <x:v>0</x:v>
      </x:c>
      <x:c r="Q606" s="50" t="n">
        <x:f>(C606-E606-F606)+(G606-P606)</x:f>
        <x:v>0</x:v>
      </x:c>
    </x:row>
    <x:row r="607">
      <x:c r="A607" s="41" t="n">
        <x:f>IF(B607=1,A606+1,A606)</x:f>
        <x:v>2050</x:v>
      </x:c>
      <x:c r="B607" s="41" t="n">
        <x:f>IF(B606=26,1,B606+1)</x:f>
        <x:v>8</x:v>
      </x:c>
      <x:c r="C607" s="48" t="n">
        <x:f>Inputs!$F$26</x:f>
        <x:v>600</x:v>
      </x:c>
      <x:c r="D607" s="50" t="n">
        <x:f>IF(B607=1,0,D606+E606)</x:f>
        <x:v>4200</x:v>
      </x:c>
      <x:c r="E607" s="50" t="n">
        <x:f>MIN(C607,MAX(0,Inputs!$B$7-D607))</x:f>
        <x:v>600</x:v>
      </x:c>
      <x:c r="F607" s="50" t="n">
        <x:f>MIN(C607-E607,MAX(0,Inputs!$B$20-O607))</x:f>
        <x:v>0</x:v>
      </x:c>
      <x:c r="G607" s="50" t="n">
        <x:f>0</x:f>
        <x:v>0</x:v>
      </x:c>
      <x:c r="H607" s="41" t="n">
        <x:f>0</x:f>
        <x:v>0</x:v>
      </x:c>
      <x:c r="I607" s="50" t="n">
        <x:f>(I606*(1+Inputs!$B$12))+E607</x:f>
        <x:v>462746.082812047</x:v>
      </x:c>
      <x:c r="J607" s="50" t="n">
        <x:f>(J606*(1+Inputs!$B$12))+F607+P607</x:f>
        <x:v>538402.3356995516</x:v>
      </x:c>
      <x:c r="K607" s="50" t="n">
        <x:f>(K606*(1+Inputs!$B$12))*(1-H607)</x:f>
        <x:v>0</x:v>
      </x:c>
      <x:c r="L607" s="50" t="n">
        <x:f>L606*(1+Inputs!$B$13)+Q607</x:f>
        <x:v>39381.357675255225</x:v>
      </x:c>
      <x:c r="M607" s="50" t="n">
        <x:f>I607+J607+L607</x:f>
        <x:v>1040529.7761868539</x:v>
      </x:c>
      <x:c r="N607" s="50" t="n">
        <x:f>F607+P607</x:f>
        <x:v>0</x:v>
      </x:c>
      <x:c r="O607" s="50" t="n">
        <x:f>IF(B607=1,0,O606+F606+P606)</x:f>
        <x:v>0</x:v>
      </x:c>
      <x:c r="P607" s="50" t="n">
        <x:f>MIN(G607,MAX(0,Inputs!$B$20-O607-F607))</x:f>
        <x:v>0</x:v>
      </x:c>
      <x:c r="Q607" s="50" t="n">
        <x:f>(C607-E607-F607)+(G607-P607)</x:f>
        <x:v>0</x:v>
      </x:c>
    </x:row>
    <x:row r="608">
      <x:c r="A608" s="41" t="n">
        <x:f>IF(B608=1,A607+1,A607)</x:f>
        <x:v>2050</x:v>
      </x:c>
      <x:c r="B608" s="41" t="n">
        <x:f>IF(B607=26,1,B607+1)</x:f>
        <x:v>9</x:v>
      </x:c>
      <x:c r="C608" s="48" t="n">
        <x:f>Inputs!$F$26</x:f>
        <x:v>600</x:v>
      </x:c>
      <x:c r="D608" s="50" t="n">
        <x:f>IF(B608=1,0,D607+E607)</x:f>
        <x:v>4800</x:v>
      </x:c>
      <x:c r="E608" s="50" t="n">
        <x:f>MIN(C608,MAX(0,Inputs!$B$7-D608))</x:f>
        <x:v>600</x:v>
      </x:c>
      <x:c r="F608" s="50" t="n">
        <x:f>MIN(C608-E608,MAX(0,Inputs!$B$20-O608))</x:f>
        <x:v>0</x:v>
      </x:c>
      <x:c r="G608" s="50" t="n">
        <x:f>SUM(N574:N599)*Inputs!$B$6</x:f>
        <x:v>3257.1428571548117</x:v>
      </x:c>
      <x:c r="H608" s="41" t="n">
        <x:f>0</x:f>
        <x:v>0</x:v>
      </x:c>
      <x:c r="I608" s="50" t="n">
        <x:f>(I607*(1+Inputs!$B$12))+E608</x:f>
        <x:v>464215.2618278541</x:v>
      </x:c>
      <x:c r="J608" s="50" t="n">
        <x:f>(J607*(1+Inputs!$B$12))+F608+P608</x:f>
        <x:v>542670.7632107176</x:v>
      </x:c>
      <x:c r="K608" s="50" t="n">
        <x:f>(K607*(1+Inputs!$B$12))*(1-H608)</x:f>
        <x:v>0</x:v>
      </x:c>
      <x:c r="L608" s="50" t="n">
        <x:f>L607*(1+Inputs!$B$13)+Q608</x:f>
        <x:v>39450.26143935267</x:v>
      </x:c>
      <x:c r="M608" s="50" t="n">
        <x:f>I608+J608+L608</x:f>
        <x:v>1046336.2864779243</x:v>
      </x:c>
      <x:c r="N608" s="50" t="n">
        <x:f>F608+P608</x:f>
        <x:v>3257.1428571548117</x:v>
      </x:c>
      <x:c r="O608" s="50" t="n">
        <x:f>IF(B608=1,0,O607+F607+P607)</x:f>
        <x:v>0</x:v>
      </x:c>
      <x:c r="P608" s="50" t="n">
        <x:f>MIN(G608,MAX(0,Inputs!$B$20-O608-F608))</x:f>
        <x:v>3257.1428571548117</x:v>
      </x:c>
      <x:c r="Q608" s="50" t="n">
        <x:f>(C608-E608-F608)+(G608-P608)</x:f>
        <x:v>0</x:v>
      </x:c>
    </x:row>
    <x:row r="609">
      <x:c r="A609" s="41" t="n">
        <x:f>IF(B609=1,A608+1,A608)</x:f>
        <x:v>2050</x:v>
      </x:c>
      <x:c r="B609" s="41" t="n">
        <x:f>IF(B608=26,1,B608+1)</x:f>
        <x:v>10</x:v>
      </x:c>
      <x:c r="C609" s="48" t="n">
        <x:f>Inputs!$F$26</x:f>
        <x:v>600</x:v>
      </x:c>
      <x:c r="D609" s="50" t="n">
        <x:f>IF(B609=1,0,D608+E608)</x:f>
        <x:v>5400</x:v>
      </x:c>
      <x:c r="E609" s="50" t="n">
        <x:f>MIN(C609,MAX(0,Inputs!$B$7-D609))</x:f>
        <x:v>600</x:v>
      </x:c>
      <x:c r="F609" s="50" t="n">
        <x:f>MIN(C609-E609,MAX(0,Inputs!$B$20-O609))</x:f>
        <x:v>0</x:v>
      </x:c>
      <x:c r="G609" s="50" t="n">
        <x:f>0</x:f>
        <x:v>0</x:v>
      </x:c>
      <x:c r="H609" s="41" t="n">
        <x:f>0</x:f>
        <x:v>0</x:v>
      </x:c>
      <x:c r="I609" s="50" t="n">
        <x:f>(I608*(1+Inputs!$B$12))+E609</x:f>
        <x:v>465687.20041228516</x:v>
      </x:c>
      <x:c r="J609" s="50" t="n">
        <x:f>(J608*(1+Inputs!$B$12))+F609+P609</x:f>
        <x:v>543690.0652802422</x:v>
      </x:c>
      <x:c r="K609" s="50" t="n">
        <x:f>(K608*(1+Inputs!$B$12))*(1-H609)</x:f>
        <x:v>0</x:v>
      </x:c>
      <x:c r="L609" s="50" t="n">
        <x:f>L608*(1+Inputs!$B$13)+Q609</x:f>
        <x:v>39519.285761221276</x:v>
      </x:c>
      <x:c r="M609" s="50" t="n">
        <x:f>I609+J609+L609</x:f>
        <x:v>1048896.5514537487</x:v>
      </x:c>
      <x:c r="N609" s="50" t="n">
        <x:f>F609+P609</x:f>
        <x:v>0</x:v>
      </x:c>
      <x:c r="O609" s="50" t="n">
        <x:f>IF(B609=1,0,O608+F608+P608)</x:f>
        <x:v>3257.1428571548117</x:v>
      </x:c>
      <x:c r="P609" s="50" t="n">
        <x:f>MIN(G609,MAX(0,Inputs!$B$20-O609-F609))</x:f>
        <x:v>0</x:v>
      </x:c>
      <x:c r="Q609" s="50" t="n">
        <x:f>(C609-E609-F609)+(G609-P609)</x:f>
        <x:v>0</x:v>
      </x:c>
    </x:row>
    <x:row r="610">
      <x:c r="A610" s="41" t="n">
        <x:f>IF(B610=1,A609+1,A609)</x:f>
        <x:v>2050</x:v>
      </x:c>
      <x:c r="B610" s="41" t="n">
        <x:f>IF(B609=26,1,B609+1)</x:f>
        <x:v>11</x:v>
      </x:c>
      <x:c r="C610" s="48" t="n">
        <x:f>Inputs!$F$26</x:f>
        <x:v>600</x:v>
      </x:c>
      <x:c r="D610" s="50" t="n">
        <x:f>IF(B610=1,0,D609+E609)</x:f>
        <x:v>6000</x:v>
      </x:c>
      <x:c r="E610" s="50" t="n">
        <x:f>MIN(C610,MAX(0,Inputs!$B$7-D610))</x:f>
        <x:v>600</x:v>
      </x:c>
      <x:c r="F610" s="50" t="n">
        <x:f>MIN(C610-E610,MAX(0,Inputs!$B$20-O610))</x:f>
        <x:v>0</x:v>
      </x:c>
      <x:c r="G610" s="50" t="n">
        <x:f>0</x:f>
        <x:v>0</x:v>
      </x:c>
      <x:c r="H610" s="41" t="n">
        <x:f>0</x:f>
        <x:v>0</x:v>
      </x:c>
      <x:c r="I610" s="50" t="n">
        <x:f>(I609*(1+Inputs!$B$12))+E610</x:f>
        <x:v>467161.90374865616</x:v>
      </x:c>
      <x:c r="J610" s="50" t="n">
        <x:f>(J609*(1+Inputs!$B$12))+F610+P610</x:f>
        <x:v>544711.281911559</x:v>
      </x:c>
      <x:c r="K610" s="50" t="n">
        <x:f>(K609*(1+Inputs!$B$12))*(1-H610)</x:f>
        <x:v>0</x:v>
      </x:c>
      <x:c r="L610" s="50" t="n">
        <x:f>L609*(1+Inputs!$B$13)+Q610</x:f>
        <x:v>39588.43085179548</x:v>
      </x:c>
      <x:c r="M610" s="50" t="n">
        <x:f>I610+J610+L610</x:f>
        <x:v>1051461.6165120108</x:v>
      </x:c>
      <x:c r="N610" s="50" t="n">
        <x:f>F610+P610</x:f>
        <x:v>0</x:v>
      </x:c>
      <x:c r="O610" s="50" t="n">
        <x:f>IF(B610=1,0,O609+F609+P609)</x:f>
        <x:v>3257.1428571548117</x:v>
      </x:c>
      <x:c r="P610" s="50" t="n">
        <x:f>MIN(G610,MAX(0,Inputs!$B$20-O610-F610))</x:f>
        <x:v>0</x:v>
      </x:c>
      <x:c r="Q610" s="50" t="n">
        <x:f>(C610-E610-F610)+(G610-P610)</x:f>
        <x:v>0</x:v>
      </x:c>
    </x:row>
    <x:row r="611">
      <x:c r="A611" s="41" t="n">
        <x:f>IF(B611=1,A610+1,A610)</x:f>
        <x:v>2050</x:v>
      </x:c>
      <x:c r="B611" s="41" t="n">
        <x:f>IF(B610=26,1,B610+1)</x:f>
        <x:v>12</x:v>
      </x:c>
      <x:c r="C611" s="48" t="n">
        <x:f>Inputs!$F$26</x:f>
        <x:v>600</x:v>
      </x:c>
      <x:c r="D611" s="50" t="n">
        <x:f>IF(B611=1,0,D610+E610)</x:f>
        <x:v>6600</x:v>
      </x:c>
      <x:c r="E611" s="50" t="n">
        <x:f>MIN(C611,MAX(0,Inputs!$B$7-D611))</x:f>
        <x:v>600</x:v>
      </x:c>
      <x:c r="F611" s="50" t="n">
        <x:f>MIN(C611-E611,MAX(0,Inputs!$B$20-O611))</x:f>
        <x:v>0</x:v>
      </x:c>
      <x:c r="G611" s="50" t="n">
        <x:f>0</x:f>
        <x:v>0</x:v>
      </x:c>
      <x:c r="H611" s="41" t="n">
        <x:f>0</x:f>
        <x:v>0</x:v>
      </x:c>
      <x:c r="I611" s="50" t="n">
        <x:f>(I610*(1+Inputs!$B$12))+E611</x:f>
        <x:v>468639.37703001883</x:v>
      </x:c>
      <x:c r="J611" s="50" t="n">
        <x:f>(J610*(1+Inputs!$B$12))+F611+P611</x:f>
        <x:v>545734.416700802</x:v>
      </x:c>
      <x:c r="K611" s="50" t="n">
        <x:f>(K610*(1+Inputs!$B$12))*(1-H611)</x:f>
        <x:v>0</x:v>
      </x:c>
      <x:c r="L611" s="50" t="n">
        <x:f>L610*(1+Inputs!$B$13)+Q611</x:f>
        <x:v>39657.69692237877</x:v>
      </x:c>
      <x:c r="M611" s="50" t="n">
        <x:f>I611+J611+L611</x:f>
        <x:v>1054031.4906531996</x:v>
      </x:c>
      <x:c r="N611" s="50" t="n">
        <x:f>F611+P611</x:f>
        <x:v>0</x:v>
      </x:c>
      <x:c r="O611" s="50" t="n">
        <x:f>IF(B611=1,0,O610+F610+P610)</x:f>
        <x:v>3257.1428571548117</x:v>
      </x:c>
      <x:c r="P611" s="50" t="n">
        <x:f>MIN(G611,MAX(0,Inputs!$B$20-O611-F611))</x:f>
        <x:v>0</x:v>
      </x:c>
      <x:c r="Q611" s="50" t="n">
        <x:f>(C611-E611-F611)+(G611-P611)</x:f>
        <x:v>0</x:v>
      </x:c>
    </x:row>
    <x:row r="612">
      <x:c r="A612" s="41" t="n">
        <x:f>IF(B612=1,A611+1,A611)</x:f>
        <x:v>2050</x:v>
      </x:c>
      <x:c r="B612" s="41" t="n">
        <x:f>IF(B611=26,1,B611+1)</x:f>
        <x:v>13</x:v>
      </x:c>
      <x:c r="C612" s="48" t="n">
        <x:f>Inputs!$F$26</x:f>
        <x:v>600</x:v>
      </x:c>
      <x:c r="D612" s="50" t="n">
        <x:f>IF(B612=1,0,D611+E611)</x:f>
        <x:v>7200</x:v>
      </x:c>
      <x:c r="E612" s="50" t="n">
        <x:f>MIN(C612,MAX(0,Inputs!$B$7-D612))</x:f>
        <x:v>600</x:v>
      </x:c>
      <x:c r="F612" s="50" t="n">
        <x:f>MIN(C612-E612,MAX(0,Inputs!$B$20-O612))</x:f>
        <x:v>0</x:v>
      </x:c>
      <x:c r="G612" s="50" t="n">
        <x:f>0</x:f>
        <x:v>0</x:v>
      </x:c>
      <x:c r="H612" s="41" t="n">
        <x:f>0</x:f>
        <x:v>0</x:v>
      </x:c>
      <x:c r="I612" s="50" t="n">
        <x:f>(I611*(1+Inputs!$B$12))+E612</x:f>
        <x:v>470119.62545917917</x:v>
      </x:c>
      <x:c r="J612" s="50" t="n">
        <x:f>(J611*(1+Inputs!$B$12))+F612+P612</x:f>
        <x:v>546759.4732508598</x:v>
      </x:c>
      <x:c r="K612" s="50" t="n">
        <x:f>(K611*(1+Inputs!$B$12))*(1-H612)</x:f>
        <x:v>0</x:v>
      </x:c>
      <x:c r="L612" s="50" t="n">
        <x:f>L611*(1+Inputs!$B$13)+Q612</x:f>
        <x:v>39727.08418464434</x:v>
      </x:c>
      <x:c r="M612" s="50" t="n">
        <x:f>I612+J612+L612</x:f>
        <x:v>1056606.1828946832</x:v>
      </x:c>
      <x:c r="N612" s="50" t="n">
        <x:f>F612+P612</x:f>
        <x:v>0</x:v>
      </x:c>
      <x:c r="O612" s="50" t="n">
        <x:f>IF(B612=1,0,O611+F611+P611)</x:f>
        <x:v>3257.1428571548117</x:v>
      </x:c>
      <x:c r="P612" s="50" t="n">
        <x:f>MIN(G612,MAX(0,Inputs!$B$20-O612-F612))</x:f>
        <x:v>0</x:v>
      </x:c>
      <x:c r="Q612" s="50" t="n">
        <x:f>(C612-E612-F612)+(G612-P612)</x:f>
        <x:v>0</x:v>
      </x:c>
    </x:row>
    <x:row r="613">
      <x:c r="A613" s="41" t="n">
        <x:f>IF(B613=1,A612+1,A612)</x:f>
        <x:v>2050</x:v>
      </x:c>
      <x:c r="B613" s="41" t="n">
        <x:f>IF(B612=26,1,B612+1)</x:f>
        <x:v>14</x:v>
      </x:c>
      <x:c r="C613" s="48" t="n">
        <x:f>Inputs!$F$26</x:f>
        <x:v>600</x:v>
      </x:c>
      <x:c r="D613" s="50" t="n">
        <x:f>IF(B613=1,0,D612+E612)</x:f>
        <x:v>7800</x:v>
      </x:c>
      <x:c r="E613" s="50" t="n">
        <x:f>MIN(C613,MAX(0,Inputs!$B$7-D613))</x:f>
        <x:v>200</x:v>
      </x:c>
      <x:c r="F613" s="50" t="n">
        <x:f>MIN(C613-E613,MAX(0,Inputs!$B$20-O613))</x:f>
        <x:v>400</x:v>
      </x:c>
      <x:c r="G613" s="50" t="n">
        <x:f>0</x:f>
        <x:v>0</x:v>
      </x:c>
      <x:c r="H613" s="41" t="n">
        <x:f>0</x:f>
        <x:v>0</x:v>
      </x:c>
      <x:c r="I613" s="50" t="n">
        <x:f>(I612*(1+Inputs!$B$12))+E613</x:f>
        <x:v>471202.6542487155</x:v>
      </x:c>
      <x:c r="J613" s="50" t="n">
        <x:f>(J612*(1+Inputs!$B$12))+F613+P613</x:f>
        <x:v>548186.4551713883</x:v>
      </x:c>
      <x:c r="K613" s="50" t="n">
        <x:f>(K612*(1+Inputs!$B$12))*(1-H613)</x:f>
        <x:v>0</x:v>
      </x:c>
      <x:c r="L613" s="50" t="n">
        <x:f>L612*(1+Inputs!$B$13)+Q613</x:f>
        <x:v>39796.59285063576</x:v>
      </x:c>
      <x:c r="M613" s="50" t="n">
        <x:f>I613+J613+L613</x:f>
        <x:v>1059185.7022707397</x:v>
      </x:c>
      <x:c r="N613" s="50" t="n">
        <x:f>F613+P613</x:f>
        <x:v>400</x:v>
      </x:c>
      <x:c r="O613" s="50" t="n">
        <x:f>IF(B613=1,0,O612+F612+P612)</x:f>
        <x:v>3257.1428571548117</x:v>
      </x:c>
      <x:c r="P613" s="50" t="n">
        <x:f>MIN(G613,MAX(0,Inputs!$B$20-O613-F613))</x:f>
        <x:v>0</x:v>
      </x:c>
      <x:c r="Q613" s="50" t="n">
        <x:f>(C613-E613-F613)+(G613-P613)</x:f>
        <x:v>0</x:v>
      </x:c>
    </x:row>
    <x:row r="614">
      <x:c r="A614" s="41" t="n">
        <x:f>IF(B614=1,A613+1,A613)</x:f>
        <x:v>2050</x:v>
      </x:c>
      <x:c r="B614" s="41" t="n">
        <x:f>IF(B613=26,1,B613+1)</x:f>
        <x:v>15</x:v>
      </x:c>
      <x:c r="C614" s="48" t="n">
        <x:f>Inputs!$F$26</x:f>
        <x:v>600</x:v>
      </x:c>
      <x:c r="D614" s="50" t="n">
        <x:f>IF(B614=1,0,D613+E613)</x:f>
        <x:v>8000</x:v>
      </x:c>
      <x:c r="E614" s="50" t="n">
        <x:f>MIN(C614,MAX(0,Inputs!$B$7-D614))</x:f>
        <x:v>0</x:v>
      </x:c>
      <x:c r="F614" s="50" t="n">
        <x:f>MIN(C614-E614,MAX(0,Inputs!$B$20-O614))</x:f>
        <x:v>600</x:v>
      </x:c>
      <x:c r="G614" s="50" t="n">
        <x:f>0</x:f>
        <x:v>0</x:v>
      </x:c>
      <x:c r="H614" s="41" t="n">
        <x:f>0</x:f>
        <x:v>0</x:v>
      </x:c>
      <x:c r="I614" s="50" t="n">
        <x:f>(I613*(1+Inputs!$B$12))+E614</x:f>
        <x:v>472087.71729836194</x:v>
      </x:c>
      <x:c r="J614" s="50" t="n">
        <x:f>(J613*(1+Inputs!$B$12))+F614+P614</x:f>
        <x:v>549816.1174014588</x:v>
      </x:c>
      <x:c r="K614" s="50" t="n">
        <x:f>(K613*(1+Inputs!$B$12))*(1-H614)</x:f>
        <x:v>0</x:v>
      </x:c>
      <x:c r="L614" s="50" t="n">
        <x:f>L613*(1+Inputs!$B$13)+Q614</x:f>
        <x:v>39866.223132767576</x:v>
      </x:c>
      <x:c r="M614" s="50" t="n">
        <x:f>I614+J614+L614</x:f>
        <x:v>1061770.0578325882</x:v>
      </x:c>
      <x:c r="N614" s="50" t="n">
        <x:f>F614+P614</x:f>
        <x:v>600</x:v>
      </x:c>
      <x:c r="O614" s="50" t="n">
        <x:f>IF(B614=1,0,O613+F613+P613)</x:f>
        <x:v>3657.1428571548117</x:v>
      </x:c>
      <x:c r="P614" s="50" t="n">
        <x:f>MIN(G614,MAX(0,Inputs!$B$20-O614-F614))</x:f>
        <x:v>0</x:v>
      </x:c>
      <x:c r="Q614" s="50" t="n">
        <x:f>(C614-E614-F614)+(G614-P614)</x:f>
        <x:v>0</x:v>
      </x:c>
    </x:row>
    <x:row r="615">
      <x:c r="A615" s="41" t="n">
        <x:f>IF(B615=1,A614+1,A614)</x:f>
        <x:v>2050</x:v>
      </x:c>
      <x:c r="B615" s="41" t="n">
        <x:f>IF(B614=26,1,B614+1)</x:f>
        <x:v>16</x:v>
      </x:c>
      <x:c r="C615" s="48" t="n">
        <x:f>Inputs!$F$26</x:f>
        <x:v>600</x:v>
      </x:c>
      <x:c r="D615" s="50" t="n">
        <x:f>IF(B615=1,0,D614+E614)</x:f>
        <x:v>8000</x:v>
      </x:c>
      <x:c r="E615" s="50" t="n">
        <x:f>MIN(C615,MAX(0,Inputs!$B$7-D615))</x:f>
        <x:v>0</x:v>
      </x:c>
      <x:c r="F615" s="50" t="n">
        <x:f>MIN(C615-E615,MAX(0,Inputs!$B$20-O615))</x:f>
        <x:v>600</x:v>
      </x:c>
      <x:c r="G615" s="50" t="n">
        <x:f>0</x:f>
        <x:v>0</x:v>
      </x:c>
      <x:c r="H615" s="41" t="n">
        <x:f>0</x:f>
        <x:v>0</x:v>
      </x:c>
      <x:c r="I615" s="50" t="n">
        <x:f>(I614*(1+Inputs!$B$12))+E615</x:f>
        <x:v>472974.44276776514</x:v>
      </x:c>
      <x:c r="J615" s="50" t="n">
        <x:f>(J614*(1+Inputs!$B$12))+F615+P615</x:f>
        <x:v>551448.8406368318</x:v>
      </x:c>
      <x:c r="K615" s="50" t="n">
        <x:f>(K614*(1+Inputs!$B$12))*(1-H615)</x:f>
        <x:v>0</x:v>
      </x:c>
      <x:c r="L615" s="50" t="n">
        <x:f>L614*(1+Inputs!$B$13)+Q615</x:f>
        <x:v>39935.975243826004</x:v>
      </x:c>
      <x:c r="M615" s="50" t="n">
        <x:f>I615+J615+L615</x:f>
        <x:v>1064359.258648423</x:v>
      </x:c>
      <x:c r="N615" s="50" t="n">
        <x:f>F615+P615</x:f>
        <x:v>600</x:v>
      </x:c>
      <x:c r="O615" s="50" t="n">
        <x:f>IF(B615=1,0,O614+F614+P614)</x:f>
        <x:v>4257.142857154811</x:v>
      </x:c>
      <x:c r="P615" s="50" t="n">
        <x:f>MIN(G615,MAX(0,Inputs!$B$20-O615-F615))</x:f>
        <x:v>0</x:v>
      </x:c>
      <x:c r="Q615" s="50" t="n">
        <x:f>(C615-E615-F615)+(G615-P615)</x:f>
        <x:v>0</x:v>
      </x:c>
    </x:row>
    <x:row r="616">
      <x:c r="A616" s="41" t="n">
        <x:f>IF(B616=1,A615+1,A615)</x:f>
        <x:v>2050</x:v>
      </x:c>
      <x:c r="B616" s="41" t="n">
        <x:f>IF(B615=26,1,B615+1)</x:f>
        <x:v>17</x:v>
      </x:c>
      <x:c r="C616" s="48" t="n">
        <x:f>Inputs!$F$26</x:f>
        <x:v>600</x:v>
      </x:c>
      <x:c r="D616" s="50" t="n">
        <x:f>IF(B616=1,0,D615+E615)</x:f>
        <x:v>8000</x:v>
      </x:c>
      <x:c r="E616" s="50" t="n">
        <x:f>MIN(C616,MAX(0,Inputs!$B$7-D616))</x:f>
        <x:v>0</x:v>
      </x:c>
      <x:c r="F616" s="50" t="n">
        <x:f>MIN(C616-E616,MAX(0,Inputs!$B$20-O616))</x:f>
        <x:v>600</x:v>
      </x:c>
      <x:c r="G616" s="50" t="n">
        <x:f>0</x:f>
        <x:v>0</x:v>
      </x:c>
      <x:c r="H616" s="41" t="n">
        <x:f>0</x:f>
        <x:v>0</x:v>
      </x:c>
      <x:c r="I616" s="50" t="n">
        <x:f>(I615*(1+Inputs!$B$12))+E616</x:f>
        <x:v>473862.83377945906</x:v>
      </x:c>
      <x:c r="J616" s="50" t="n">
        <x:f>(J615*(1+Inputs!$B$12))+F616+P616</x:f>
        <x:v>553084.6306270139</x:v>
      </x:c>
      <x:c r="K616" s="50" t="n">
        <x:f>(K615*(1+Inputs!$B$12))*(1-H616)</x:f>
        <x:v>0</x:v>
      </x:c>
      <x:c r="L616" s="50" t="n">
        <x:f>L615*(1+Inputs!$B$13)+Q616</x:f>
        <x:v>40005.849396969556</x:v>
      </x:c>
      <x:c r="M616" s="50" t="n">
        <x:f>I616+J616+L616</x:f>
        <x:v>1066953.3138034425</x:v>
      </x:c>
      <x:c r="N616" s="50" t="n">
        <x:f>F616+P616</x:f>
        <x:v>600</x:v>
      </x:c>
      <x:c r="O616" s="50" t="n">
        <x:f>IF(B616=1,0,O615+F615+P615)</x:f>
        <x:v>4857.142857154811</x:v>
      </x:c>
      <x:c r="P616" s="50" t="n">
        <x:f>MIN(G616,MAX(0,Inputs!$B$20-O616-F616))</x:f>
        <x:v>0</x:v>
      </x:c>
      <x:c r="Q616" s="50" t="n">
        <x:f>(C616-E616-F616)+(G616-P616)</x:f>
        <x:v>0</x:v>
      </x:c>
    </x:row>
    <x:row r="617">
      <x:c r="A617" s="41" t="n">
        <x:f>IF(B617=1,A616+1,A616)</x:f>
        <x:v>2050</x:v>
      </x:c>
      <x:c r="B617" s="41" t="n">
        <x:f>IF(B616=26,1,B616+1)</x:f>
        <x:v>18</x:v>
      </x:c>
      <x:c r="C617" s="48" t="n">
        <x:f>Inputs!$F$26</x:f>
        <x:v>600</x:v>
      </x:c>
      <x:c r="D617" s="50" t="n">
        <x:f>IF(B617=1,0,D616+E616)</x:f>
        <x:v>8000</x:v>
      </x:c>
      <x:c r="E617" s="50" t="n">
        <x:f>MIN(C617,MAX(0,Inputs!$B$7-D617))</x:f>
        <x:v>0</x:v>
      </x:c>
      <x:c r="F617" s="50" t="n">
        <x:f>MIN(C617-E617,MAX(0,Inputs!$B$20-O617))</x:f>
        <x:v>600</x:v>
      </x:c>
      <x:c r="G617" s="50" t="n">
        <x:f>0</x:f>
        <x:v>0</x:v>
      </x:c>
      <x:c r="H617" s="41" t="n">
        <x:f>0</x:f>
        <x:v>0</x:v>
      </x:c>
      <x:c r="I617" s="50" t="n">
        <x:f>(I616*(1+Inputs!$B$12))+E617</x:f>
        <x:v>474752.89346184273</x:v>
      </x:c>
      <x:c r="J617" s="50" t="n">
        <x:f>(J616*(1+Inputs!$B$12))+F617+P617</x:f>
        <x:v>554723.4931323107</x:v>
      </x:c>
      <x:c r="K617" s="50" t="n">
        <x:f>(K616*(1+Inputs!$B$12))*(1-H617)</x:f>
        <x:v>0</x:v>
      </x:c>
      <x:c r="L617" s="50" t="n">
        <x:f>L616*(1+Inputs!$B$13)+Q617</x:f>
        <x:v>40075.845805729696</x:v>
      </x:c>
      <x:c r="M617" s="50" t="n">
        <x:f>I617+J617+L617</x:f>
        <x:v>1069552.2323998832</x:v>
      </x:c>
      <x:c r="N617" s="50" t="n">
        <x:f>F617+P617</x:f>
        <x:v>600</x:v>
      </x:c>
      <x:c r="O617" s="50" t="n">
        <x:f>IF(B617=1,0,O616+F616+P616)</x:f>
        <x:v>5457.142857154811</x:v>
      </x:c>
      <x:c r="P617" s="50" t="n">
        <x:f>MIN(G617,MAX(0,Inputs!$B$20-O617-F617))</x:f>
        <x:v>0</x:v>
      </x:c>
      <x:c r="Q617" s="50" t="n">
        <x:f>(C617-E617-F617)+(G617-P617)</x:f>
        <x:v>0</x:v>
      </x:c>
    </x:row>
    <x:row r="618">
      <x:c r="A618" s="41" t="n">
        <x:f>IF(B618=1,A617+1,A617)</x:f>
        <x:v>2050</x:v>
      </x:c>
      <x:c r="B618" s="41" t="n">
        <x:f>IF(B617=26,1,B617+1)</x:f>
        <x:v>19</x:v>
      </x:c>
      <x:c r="C618" s="48" t="n">
        <x:f>Inputs!$F$26</x:f>
        <x:v>600</x:v>
      </x:c>
      <x:c r="D618" s="50" t="n">
        <x:f>IF(B618=1,0,D617+E617)</x:f>
        <x:v>8000</x:v>
      </x:c>
      <x:c r="E618" s="50" t="n">
        <x:f>MIN(C618,MAX(0,Inputs!$B$7-D618))</x:f>
        <x:v>0</x:v>
      </x:c>
      <x:c r="F618" s="50" t="n">
        <x:f>MIN(C618-E618,MAX(0,Inputs!$B$20-O618))</x:f>
        <x:v>600</x:v>
      </x:c>
      <x:c r="G618" s="50" t="n">
        <x:f>0</x:f>
        <x:v>0</x:v>
      </x:c>
      <x:c r="H618" s="41" t="n">
        <x:f>0</x:f>
        <x:v>0</x:v>
      </x:c>
      <x:c r="I618" s="50" t="n">
        <x:f>(I617*(1+Inputs!$B$12))+E618</x:f>
        <x:v>475644.62494919135</x:v>
      </x:c>
      <x:c r="J618" s="50" t="n">
        <x:f>(J617*(1+Inputs!$B$12))+F618+P618</x:f>
        <x:v>556365.4339238476</x:v>
      </x:c>
      <x:c r="K618" s="50" t="n">
        <x:f>(K617*(1+Inputs!$B$12))*(1-H618)</x:f>
        <x:v>0</x:v>
      </x:c>
      <x:c r="L618" s="50" t="n">
        <x:f>L617*(1+Inputs!$B$13)+Q618</x:f>
        <x:v>40145.9646840115</x:v>
      </x:c>
      <x:c r="M618" s="50" t="n">
        <x:f>I618+J618+L618</x:f>
        <x:v>1072156.0235570504</x:v>
      </x:c>
      <x:c r="N618" s="50" t="n">
        <x:f>F618+P618</x:f>
        <x:v>600</x:v>
      </x:c>
      <x:c r="O618" s="50" t="n">
        <x:f>IF(B618=1,0,O617+F617+P617)</x:f>
        <x:v>6057.142857154811</x:v>
      </x:c>
      <x:c r="P618" s="50" t="n">
        <x:f>MIN(G618,MAX(0,Inputs!$B$20-O618-F618))</x:f>
        <x:v>0</x:v>
      </x:c>
      <x:c r="Q618" s="50" t="n">
        <x:f>(C618-E618-F618)+(G618-P618)</x:f>
        <x:v>0</x:v>
      </x:c>
    </x:row>
    <x:row r="619">
      <x:c r="A619" s="41" t="n">
        <x:f>IF(B619=1,A618+1,A618)</x:f>
        <x:v>2050</x:v>
      </x:c>
      <x:c r="B619" s="41" t="n">
        <x:f>IF(B618=26,1,B618+1)</x:f>
        <x:v>20</x:v>
      </x:c>
      <x:c r="C619" s="48" t="n">
        <x:f>Inputs!$F$26</x:f>
        <x:v>600</x:v>
      </x:c>
      <x:c r="D619" s="50" t="n">
        <x:f>IF(B619=1,0,D618+E618)</x:f>
        <x:v>8000</x:v>
      </x:c>
      <x:c r="E619" s="50" t="n">
        <x:f>MIN(C619,MAX(0,Inputs!$B$7-D619))</x:f>
        <x:v>0</x:v>
      </x:c>
      <x:c r="F619" s="50" t="n">
        <x:f>MIN(C619-E619,MAX(0,Inputs!$B$20-O619))</x:f>
        <x:v>600</x:v>
      </x:c>
      <x:c r="G619" s="50" t="n">
        <x:f>0</x:f>
        <x:v>0</x:v>
      </x:c>
      <x:c r="H619" s="41" t="n">
        <x:f>0</x:f>
        <x:v>0</x:v>
      </x:c>
      <x:c r="I619" s="50" t="n">
        <x:f>(I618*(1+Inputs!$B$12))+E619</x:f>
        <x:v>476538.0313816672</x:v>
      </x:c>
      <x:c r="J619" s="50" t="n">
        <x:f>(J618*(1+Inputs!$B$12))+F619+P619</x:f>
        <x:v>558010.45878359</x:v>
      </x:c>
      <x:c r="K619" s="50" t="n">
        <x:f>(K618*(1+Inputs!$B$12))*(1-H619)</x:f>
        <x:v>0</x:v>
      </x:c>
      <x:c r="L619" s="50" t="n">
        <x:f>L618*(1+Inputs!$B$13)+Q619</x:f>
        <x:v>40216.2062460943</x:v>
      </x:c>
      <x:c r="M619" s="50" t="n">
        <x:f>I619+J619+L619</x:f>
        <x:v>1074764.6964113514</x:v>
      </x:c>
      <x:c r="N619" s="50" t="n">
        <x:f>F619+P619</x:f>
        <x:v>600</x:v>
      </x:c>
      <x:c r="O619" s="50" t="n">
        <x:f>IF(B619=1,0,O618+F618+P618)</x:f>
        <x:v>6657.142857154811</x:v>
      </x:c>
      <x:c r="P619" s="50" t="n">
        <x:f>MIN(G619,MAX(0,Inputs!$B$20-O619-F619))</x:f>
        <x:v>0</x:v>
      </x:c>
      <x:c r="Q619" s="50" t="n">
        <x:f>(C619-E619-F619)+(G619-P619)</x:f>
        <x:v>0</x:v>
      </x:c>
    </x:row>
    <x:row r="620">
      <x:c r="A620" s="41" t="n">
        <x:f>IF(B620=1,A619+1,A619)</x:f>
        <x:v>2050</x:v>
      </x:c>
      <x:c r="B620" s="41" t="n">
        <x:f>IF(B619=26,1,B619+1)</x:f>
        <x:v>21</x:v>
      </x:c>
      <x:c r="C620" s="48" t="n">
        <x:f>Inputs!$F$26</x:f>
        <x:v>600</x:v>
      </x:c>
      <x:c r="D620" s="50" t="n">
        <x:f>IF(B620=1,0,D619+E619)</x:f>
        <x:v>8000</x:v>
      </x:c>
      <x:c r="E620" s="50" t="n">
        <x:f>MIN(C620,MAX(0,Inputs!$B$7-D620))</x:f>
        <x:v>0</x:v>
      </x:c>
      <x:c r="F620" s="50" t="n">
        <x:f>MIN(C620-E620,MAX(0,Inputs!$B$20-O620))</x:f>
        <x:v>600</x:v>
      </x:c>
      <x:c r="G620" s="50" t="n">
        <x:f>0</x:f>
        <x:v>0</x:v>
      </x:c>
      <x:c r="H620" s="41" t="n">
        <x:f>0</x:f>
        <x:v>0</x:v>
      </x:c>
      <x:c r="I620" s="50" t="n">
        <x:f>(I619*(1+Inputs!$B$12))+E620</x:f>
        <x:v>477433.1159053307</x:v>
      </x:c>
      <x:c r="J620" s="50" t="n">
        <x:f>(J619*(1+Inputs!$B$12))+F620+P620</x:f>
        <x:v>559658.5735043635</x:v>
      </x:c>
      <x:c r="K620" s="50" t="n">
        <x:f>(K619*(1+Inputs!$B$12))*(1-H620)</x:f>
        <x:v>0</x:v>
      </x:c>
      <x:c r="L620" s="50" t="n">
        <x:f>L619*(1+Inputs!$B$13)+Q620</x:f>
        <x:v>40286.57070663234</x:v>
      </x:c>
      <x:c r="M620" s="50" t="n">
        <x:f>I620+J620+L620</x:f>
        <x:v>1077378.2601163266</x:v>
      </x:c>
      <x:c r="N620" s="50" t="n">
        <x:f>F620+P620</x:f>
        <x:v>600</x:v>
      </x:c>
      <x:c r="O620" s="50" t="n">
        <x:f>IF(B620=1,0,O619+F619+P619)</x:f>
        <x:v>7257.142857154811</x:v>
      </x:c>
      <x:c r="P620" s="50" t="n">
        <x:f>MIN(G620,MAX(0,Inputs!$B$20-O620-F620))</x:f>
        <x:v>0</x:v>
      </x:c>
      <x:c r="Q620" s="50" t="n">
        <x:f>(C620-E620-F620)+(G620-P620)</x:f>
        <x:v>0</x:v>
      </x:c>
    </x:row>
    <x:row r="621">
      <x:c r="A621" s="41" t="n">
        <x:f>IF(B621=1,A620+1,A620)</x:f>
        <x:v>2050</x:v>
      </x:c>
      <x:c r="B621" s="41" t="n">
        <x:f>IF(B620=26,1,B620+1)</x:f>
        <x:v>22</x:v>
      </x:c>
      <x:c r="C621" s="48" t="n">
        <x:f>Inputs!$F$26</x:f>
        <x:v>600</x:v>
      </x:c>
      <x:c r="D621" s="50" t="n">
        <x:f>IF(B621=1,0,D620+E620)</x:f>
        <x:v>8000</x:v>
      </x:c>
      <x:c r="E621" s="50" t="n">
        <x:f>MIN(C621,MAX(0,Inputs!$B$7-D621))</x:f>
        <x:v>0</x:v>
      </x:c>
      <x:c r="F621" s="50" t="n">
        <x:f>MIN(C621-E621,MAX(0,Inputs!$B$20-O621))</x:f>
        <x:v>600</x:v>
      </x:c>
      <x:c r="G621" s="50" t="n">
        <x:f>0</x:f>
        <x:v>0</x:v>
      </x:c>
      <x:c r="H621" s="41" t="n">
        <x:f>0</x:f>
        <x:v>0</x:v>
      </x:c>
      <x:c r="I621" s="50" t="n">
        <x:f>(I620*(1+Inputs!$B$12))+E621</x:f>
        <x:v>478329.88167215156</x:v>
      </x:c>
      <x:c r="J621" s="50" t="n">
        <x:f>(J620*(1+Inputs!$B$12))+F621+P621</x:f>
        <x:v>561309.7838898745</x:v>
      </x:c>
      <x:c r="K621" s="50" t="n">
        <x:f>(K620*(1+Inputs!$B$12))*(1-H621)</x:f>
        <x:v>0</x:v>
      </x:c>
      <x:c r="L621" s="50" t="n">
        <x:f>L620*(1+Inputs!$B$13)+Q621</x:f>
        <x:v>40357.05828065544</x:v>
      </x:c>
      <x:c r="M621" s="50" t="n">
        <x:f>I621+J621+L621</x:f>
        <x:v>1079996.7238426814</x:v>
      </x:c>
      <x:c r="N621" s="50" t="n">
        <x:f>F621+P621</x:f>
        <x:v>600</x:v>
      </x:c>
      <x:c r="O621" s="50" t="n">
        <x:f>IF(B621=1,0,O620+F620+P620)</x:f>
        <x:v>7857.142857154811</x:v>
      </x:c>
      <x:c r="P621" s="50" t="n">
        <x:f>MIN(G621,MAX(0,Inputs!$B$20-O621-F621))</x:f>
        <x:v>0</x:v>
      </x:c>
      <x:c r="Q621" s="50" t="n">
        <x:f>(C621-E621-F621)+(G621-P621)</x:f>
        <x:v>0</x:v>
      </x:c>
    </x:row>
    <x:row r="622">
      <x:c r="A622" s="41" t="n">
        <x:f>IF(B622=1,A621+1,A621)</x:f>
        <x:v>2050</x:v>
      </x:c>
      <x:c r="B622" s="41" t="n">
        <x:f>IF(B621=26,1,B621+1)</x:f>
        <x:v>23</x:v>
      </x:c>
      <x:c r="C622" s="48" t="n">
        <x:f>Inputs!$F$26</x:f>
        <x:v>600</x:v>
      </x:c>
      <x:c r="D622" s="50" t="n">
        <x:f>IF(B622=1,0,D621+E621)</x:f>
        <x:v>8000</x:v>
      </x:c>
      <x:c r="E622" s="50" t="n">
        <x:f>MIN(C622,MAX(0,Inputs!$B$7-D622))</x:f>
        <x:v>0</x:v>
      </x:c>
      <x:c r="F622" s="50" t="n">
        <x:f>MIN(C622-E622,MAX(0,Inputs!$B$20-O622))</x:f>
        <x:v>600</x:v>
      </x:c>
      <x:c r="G622" s="50" t="n">
        <x:f>0</x:f>
        <x:v>0</x:v>
      </x:c>
      <x:c r="H622" s="41" t="n">
        <x:f>0</x:f>
        <x:v>0</x:v>
      </x:c>
      <x:c r="I622" s="50" t="n">
        <x:f>(I621*(1+Inputs!$B$12))+E622</x:f>
        <x:v>479228.33184001996</x:v>
      </x:c>
      <x:c r="J622" s="50" t="n">
        <x:f>(J621*(1+Inputs!$B$12))+F622+P622</x:f>
        <x:v>562964.0957547303</x:v>
      </x:c>
      <x:c r="K622" s="50" t="n">
        <x:f>(K621*(1+Inputs!$B$12))*(1-H622)</x:f>
        <x:v>0</x:v>
      </x:c>
      <x:c r="L622" s="50" t="n">
        <x:f>L621*(1+Inputs!$B$13)+Q622</x:f>
        <x:v>40427.66918356964</x:v>
      </x:c>
      <x:c r="M622" s="50" t="n">
        <x:f>I622+J622+L622</x:f>
        <x:v>1082620.09677832</x:v>
      </x:c>
      <x:c r="N622" s="50" t="n">
        <x:f>F622+P622</x:f>
        <x:v>600</x:v>
      </x:c>
      <x:c r="O622" s="50" t="n">
        <x:f>IF(B622=1,0,O621+F621+P621)</x:f>
        <x:v>8457.142857154811</x:v>
      </x:c>
      <x:c r="P622" s="50" t="n">
        <x:f>MIN(G622,MAX(0,Inputs!$B$20-O622-F622))</x:f>
        <x:v>0</x:v>
      </x:c>
      <x:c r="Q622" s="50" t="n">
        <x:f>(C622-E622-F622)+(G622-P622)</x:f>
        <x:v>0</x:v>
      </x:c>
    </x:row>
    <x:row r="623">
      <x:c r="A623" s="41" t="n">
        <x:f>IF(B623=1,A622+1,A622)</x:f>
        <x:v>2050</x:v>
      </x:c>
      <x:c r="B623" s="41" t="n">
        <x:f>IF(B622=26,1,B622+1)</x:f>
        <x:v>24</x:v>
      </x:c>
      <x:c r="C623" s="48" t="n">
        <x:f>Inputs!$F$26</x:f>
        <x:v>600</x:v>
      </x:c>
      <x:c r="D623" s="50" t="n">
        <x:f>IF(B623=1,0,D622+E622)</x:f>
        <x:v>8000</x:v>
      </x:c>
      <x:c r="E623" s="50" t="n">
        <x:f>MIN(C623,MAX(0,Inputs!$B$7-D623))</x:f>
        <x:v>0</x:v>
      </x:c>
      <x:c r="F623" s="50" t="n">
        <x:f>MIN(C623-E623,MAX(0,Inputs!$B$20-O623))</x:f>
        <x:v>600</x:v>
      </x:c>
      <x:c r="G623" s="50" t="n">
        <x:f>0</x:f>
        <x:v>0</x:v>
      </x:c>
      <x:c r="H623" s="41" t="n">
        <x:f>0</x:f>
        <x:v>0</x:v>
      </x:c>
      <x:c r="I623" s="50" t="n">
        <x:f>(I622*(1+Inputs!$B$12))+E623</x:f>
        <x:v>480128.4695727574</x:v>
      </x:c>
      <x:c r="J623" s="50" t="n">
        <x:f>(J622*(1+Inputs!$B$12))+F623+P623</x:f>
        <x:v>564621.5149244601</x:v>
      </x:c>
      <x:c r="K623" s="50" t="n">
        <x:f>(K622*(1+Inputs!$B$12))*(1-H623)</x:f>
        <x:v>0</x:v>
      </x:c>
      <x:c r="L623" s="50" t="n">
        <x:f>L622*(1+Inputs!$B$13)+Q623</x:f>
        <x:v>40498.40363115788</x:v>
      </x:c>
      <x:c r="M623" s="50" t="n">
        <x:f>I623+J623+L623</x:f>
        <x:v>1085248.3881283754</x:v>
      </x:c>
      <x:c r="N623" s="50" t="n">
        <x:f>F623+P623</x:f>
        <x:v>600</x:v>
      </x:c>
      <x:c r="O623" s="50" t="n">
        <x:f>IF(B623=1,0,O622+F622+P622)</x:f>
        <x:v>9057.142857154811</x:v>
      </x:c>
      <x:c r="P623" s="50" t="n">
        <x:f>MIN(G623,MAX(0,Inputs!$B$20-O623-F623))</x:f>
        <x:v>0</x:v>
      </x:c>
      <x:c r="Q623" s="50" t="n">
        <x:f>(C623-E623-F623)+(G623-P623)</x:f>
        <x:v>0</x:v>
      </x:c>
    </x:row>
    <x:row r="624">
      <x:c r="A624" s="41" t="n">
        <x:f>IF(B624=1,A623+1,A623)</x:f>
        <x:v>2050</x:v>
      </x:c>
      <x:c r="B624" s="41" t="n">
        <x:f>IF(B623=26,1,B623+1)</x:f>
        <x:v>25</x:v>
      </x:c>
      <x:c r="C624" s="48" t="n">
        <x:f>Inputs!$F$26</x:f>
        <x:v>600</x:v>
      </x:c>
      <x:c r="D624" s="50" t="n">
        <x:f>IF(B624=1,0,D623+E623)</x:f>
        <x:v>8000</x:v>
      </x:c>
      <x:c r="E624" s="50" t="n">
        <x:f>MIN(C624,MAX(0,Inputs!$B$7-D624))</x:f>
        <x:v>0</x:v>
      </x:c>
      <x:c r="F624" s="50" t="n">
        <x:f>MIN(C624-E624,MAX(0,Inputs!$B$20-O624))</x:f>
        <x:v>600</x:v>
      </x:c>
      <x:c r="G624" s="50" t="n">
        <x:f>0</x:f>
        <x:v>0</x:v>
      </x:c>
      <x:c r="H624" s="41" t="n">
        <x:f>0</x:f>
        <x:v>0</x:v>
      </x:c>
      <x:c r="I624" s="50" t="n">
        <x:f>(I623*(1+Inputs!$B$12))+E624</x:f>
        <x:v>481030.2980401282</x:v>
      </x:c>
      <x:c r="J624" s="50" t="n">
        <x:f>(J623*(1+Inputs!$B$12))+F624+P624</x:f>
        <x:v>566282.0472355351</x:v>
      </x:c>
      <x:c r="K624" s="50" t="n">
        <x:f>(K623*(1+Inputs!$B$12))*(1-H624)</x:f>
        <x:v>0</x:v>
      </x:c>
      <x:c r="L624" s="50" t="n">
        <x:f>L623*(1+Inputs!$B$13)+Q624</x:f>
        <x:v>40569.261839580635</x:v>
      </x:c>
      <x:c r="M624" s="50" t="n">
        <x:f>I624+J624+L624</x:f>
        <x:v>1087881.607115244</x:v>
      </x:c>
      <x:c r="N624" s="50" t="n">
        <x:f>F624+P624</x:f>
        <x:v>600</x:v>
      </x:c>
      <x:c r="O624" s="50" t="n">
        <x:f>IF(B624=1,0,O623+F623+P623)</x:f>
        <x:v>9657.142857154811</x:v>
      </x:c>
      <x:c r="P624" s="50" t="n">
        <x:f>MIN(G624,MAX(0,Inputs!$B$20-O624-F624))</x:f>
        <x:v>0</x:v>
      </x:c>
      <x:c r="Q624" s="50" t="n">
        <x:f>(C624-E624-F624)+(G624-P624)</x:f>
        <x:v>0</x:v>
      </x:c>
    </x:row>
    <x:row r="625">
      <x:c r="A625" s="41" t="n">
        <x:f>IF(B625=1,A624+1,A624)</x:f>
        <x:v>2050</x:v>
      </x:c>
      <x:c r="B625" s="41" t="n">
        <x:f>IF(B624=26,1,B624+1)</x:f>
        <x:v>26</x:v>
      </x:c>
      <x:c r="C625" s="48" t="n">
        <x:f>Inputs!$F$26</x:f>
        <x:v>600</x:v>
      </x:c>
      <x:c r="D625" s="50" t="n">
        <x:f>IF(B625=1,0,D624+E624)</x:f>
        <x:v>8000</x:v>
      </x:c>
      <x:c r="E625" s="50" t="n">
        <x:f>MIN(C625,MAX(0,Inputs!$B$7-D625))</x:f>
        <x:v>0</x:v>
      </x:c>
      <x:c r="F625" s="50" t="n">
        <x:f>MIN(C625-E625,MAX(0,Inputs!$B$20-O625))</x:f>
        <x:v>600</x:v>
      </x:c>
      <x:c r="G625" s="50" t="n">
        <x:f>0</x:f>
        <x:v>0</x:v>
      </x:c>
      <x:c r="H625" s="41" t="n">
        <x:f>IF(A625=Inputs!$B$8,1,0)</x:f>
        <x:v>0</x:v>
      </x:c>
      <x:c r="I625" s="50" t="n">
        <x:f>(I624*(1+Inputs!$B$12))+E625</x:f>
        <x:v>481933.8204178502</x:v>
      </x:c>
      <x:c r="J625" s="50" t="n">
        <x:f>(J624*(1+Inputs!$B$12))+F625+P625</x:f>
        <x:v>567945.6985353892</x:v>
      </x:c>
      <x:c r="K625" s="50" t="n">
        <x:f>(K624*(1+Inputs!$B$12))*(1-H625)</x:f>
        <x:v>0</x:v>
      </x:c>
      <x:c r="L625" s="50" t="n">
        <x:f>L624*(1+Inputs!$B$13)+Q625</x:f>
        <x:v>40640.24402537659</x:v>
      </x:c>
      <x:c r="M625" s="50" t="n">
        <x:f>I625+J625+L625</x:f>
        <x:v>1090519.762978616</x:v>
      </x:c>
      <x:c r="N625" s="50" t="n">
        <x:f>F625+P625</x:f>
        <x:v>600</x:v>
      </x:c>
      <x:c r="O625" s="50" t="n">
        <x:f>IF(B625=1,0,O624+F624+P624)</x:f>
        <x:v>10257.142857154811</x:v>
      </x:c>
      <x:c r="P625" s="50" t="n">
        <x:f>MIN(G625,MAX(0,Inputs!$B$20-O625-F625))</x:f>
        <x:v>0</x:v>
      </x:c>
      <x:c r="Q625" s="50" t="n">
        <x:f>(C625-E625-F625)+(G625-P625)</x:f>
        <x:v>0</x:v>
      </x:c>
    </x:row>
    <x:row r="626">
      <x:c r="A626" s="41" t="n">
        <x:f>IF(B626=1,A625+1,A625)</x:f>
        <x:v>2051</x:v>
      </x:c>
      <x:c r="B626" s="41" t="n">
        <x:f>IF(B625=26,1,B625+1)</x:f>
        <x:v>1</x:v>
      </x:c>
      <x:c r="C626" s="48" t="n">
        <x:f>Inputs!$F$27</x:f>
        <x:v>600</x:v>
      </x:c>
      <x:c r="D626" s="50" t="n">
        <x:f>IF(B626=1,0,D625+E625)</x:f>
        <x:v>0</x:v>
      </x:c>
      <x:c r="E626" s="50" t="n">
        <x:f>MIN(C626,MAX(0,Inputs!$B$7-D626))</x:f>
        <x:v>600</x:v>
      </x:c>
      <x:c r="F626" s="50" t="n">
        <x:f>MIN(C626-E626,MAX(0,Inputs!$B$20-O626))</x:f>
        <x:v>0</x:v>
      </x:c>
      <x:c r="G626" s="50" t="n">
        <x:f>0</x:f>
        <x:v>0</x:v>
      </x:c>
      <x:c r="H626" s="41" t="n">
        <x:f>0</x:f>
        <x:v>0</x:v>
      </x:c>
      <x:c r="I626" s="50" t="n">
        <x:f>(I625*(1+Inputs!$B$12))+E626</x:f>
        <x:v>483439.0398876065</x:v>
      </x:c>
      <x:c r="J626" s="50" t="n">
        <x:f>(J625*(1+Inputs!$B$12))+F626+P626</x:f>
        <x:v>569012.4746824395</x:v>
      </x:c>
      <x:c r="K626" s="50" t="n">
        <x:f>(K625*(1+Inputs!$B$12))*(1-H626)</x:f>
        <x:v>0</x:v>
      </x:c>
      <x:c r="L626" s="50" t="n">
        <x:f>L625*(1+Inputs!$B$13)+Q626</x:f>
        <x:v>40711.35040546329</x:v>
      </x:c>
      <x:c r="M626" s="50" t="n">
        <x:f>I626+J626+L626</x:f>
        <x:v>1093162.8649755092</x:v>
      </x:c>
      <x:c r="N626" s="50" t="n">
        <x:f>F626+P626</x:f>
        <x:v>0</x:v>
      </x:c>
      <x:c r="O626" s="50" t="n">
        <x:f>IF(B626=1,0,O625+F625+P625)</x:f>
        <x:v>0</x:v>
      </x:c>
      <x:c r="P626" s="50" t="n">
        <x:f>MIN(G626,MAX(0,Inputs!$B$20-O626-F626))</x:f>
        <x:v>0</x:v>
      </x:c>
      <x:c r="Q626" s="50" t="n">
        <x:f>(C626-E626-F626)+(G626-P626)</x:f>
        <x:v>0</x:v>
      </x:c>
    </x:row>
    <x:row r="627">
      <x:c r="A627" s="41" t="n">
        <x:f>IF(B627=1,A626+1,A626)</x:f>
        <x:v>2051</x:v>
      </x:c>
      <x:c r="B627" s="41" t="n">
        <x:f>IF(B626=26,1,B626+1)</x:f>
        <x:v>2</x:v>
      </x:c>
      <x:c r="C627" s="48" t="n">
        <x:f>Inputs!$F$27</x:f>
        <x:v>600</x:v>
      </x:c>
      <x:c r="D627" s="50" t="n">
        <x:f>IF(B627=1,0,D626+E626)</x:f>
        <x:v>600</x:v>
      </x:c>
      <x:c r="E627" s="50" t="n">
        <x:f>MIN(C627,MAX(0,Inputs!$B$7-D627))</x:f>
        <x:v>600</x:v>
      </x:c>
      <x:c r="F627" s="50" t="n">
        <x:f>MIN(C627-E627,MAX(0,Inputs!$B$20-O627))</x:f>
        <x:v>0</x:v>
      </x:c>
      <x:c r="G627" s="50" t="n">
        <x:f>0</x:f>
        <x:v>0</x:v>
      </x:c>
      <x:c r="H627" s="41" t="n">
        <x:f>0</x:f>
        <x:v>0</x:v>
      </x:c>
      <x:c r="I627" s="50" t="n">
        <x:f>(I626*(1+Inputs!$B$12))+E627</x:f>
        <x:v>484947.08662100893</x:v>
      </x:c>
      <x:c r="J627" s="50" t="n">
        <x:f>(J626*(1+Inputs!$B$12))+F627+P627</x:f>
        <x:v>570081.2545621544</x:v>
      </x:c>
      <x:c r="K627" s="50" t="n">
        <x:f>(K626*(1+Inputs!$B$12))*(1-H627)</x:f>
        <x:v>0</x:v>
      </x:c>
      <x:c r="L627" s="50" t="n">
        <x:f>L626*(1+Inputs!$B$13)+Q627</x:f>
        <x:v>40782.58119713782</x:v>
      </x:c>
      <x:c r="M627" s="50" t="n">
        <x:f>I627+J627+L627</x:f>
        <x:v>1095810.922380301</x:v>
      </x:c>
      <x:c r="N627" s="50" t="n">
        <x:f>F627+P627</x:f>
        <x:v>0</x:v>
      </x:c>
      <x:c r="O627" s="50" t="n">
        <x:f>IF(B627=1,0,O626+F626+P626)</x:f>
        <x:v>0</x:v>
      </x:c>
      <x:c r="P627" s="50" t="n">
        <x:f>MIN(G627,MAX(0,Inputs!$B$20-O627-F627))</x:f>
        <x:v>0</x:v>
      </x:c>
      <x:c r="Q627" s="50" t="n">
        <x:f>(C627-E627-F627)+(G627-P627)</x:f>
        <x:v>0</x:v>
      </x:c>
    </x:row>
    <x:row r="628">
      <x:c r="A628" s="41" t="n">
        <x:f>IF(B628=1,A627+1,A627)</x:f>
        <x:v>2051</x:v>
      </x:c>
      <x:c r="B628" s="41" t="n">
        <x:f>IF(B627=26,1,B627+1)</x:f>
        <x:v>3</x:v>
      </x:c>
      <x:c r="C628" s="48" t="n">
        <x:f>Inputs!$F$27</x:f>
        <x:v>600</x:v>
      </x:c>
      <x:c r="D628" s="50" t="n">
        <x:f>IF(B628=1,0,D627+E627)</x:f>
        <x:v>1200</x:v>
      </x:c>
      <x:c r="E628" s="50" t="n">
        <x:f>MIN(C628,MAX(0,Inputs!$B$7-D628))</x:f>
        <x:v>600</x:v>
      </x:c>
      <x:c r="F628" s="50" t="n">
        <x:f>MIN(C628-E628,MAX(0,Inputs!$B$20-O628))</x:f>
        <x:v>0</x:v>
      </x:c>
      <x:c r="G628" s="50" t="n">
        <x:f>0</x:f>
        <x:v>0</x:v>
      </x:c>
      <x:c r="H628" s="41" t="n">
        <x:f>0</x:f>
        <x:v>0</x:v>
      </x:c>
      <x:c r="I628" s="50" t="n">
        <x:f>(I627*(1+Inputs!$B$12))+E628</x:f>
        <x:v>486457.9659285253</x:v>
      </x:c>
      <x:c r="J628" s="50" t="n">
        <x:f>(J627*(1+Inputs!$B$12))+F628+P628</x:f>
        <x:v>571152.0419381583</x:v>
      </x:c>
      <x:c r="K628" s="50" t="n">
        <x:f>(K627*(1+Inputs!$B$12))*(1-H628)</x:f>
        <x:v>0</x:v>
      </x:c>
      <x:c r="L628" s="50" t="n">
        <x:f>L627*(1+Inputs!$B$13)+Q628</x:f>
        <x:v>40853.93661807746</x:v>
      </x:c>
      <x:c r="M628" s="50" t="n">
        <x:f>I628+J628+L628</x:f>
        <x:v>1098463.9444847612</x:v>
      </x:c>
      <x:c r="N628" s="50" t="n">
        <x:f>F628+P628</x:f>
        <x:v>0</x:v>
      </x:c>
      <x:c r="O628" s="50" t="n">
        <x:f>IF(B628=1,0,O627+F627+P627)</x:f>
        <x:v>0</x:v>
      </x:c>
      <x:c r="P628" s="50" t="n">
        <x:f>MIN(G628,MAX(0,Inputs!$B$20-O628-F628))</x:f>
        <x:v>0</x:v>
      </x:c>
      <x:c r="Q628" s="50" t="n">
        <x:f>(C628-E628-F628)+(G628-P628)</x:f>
        <x:v>0</x:v>
      </x:c>
    </x:row>
    <x:row r="629">
      <x:c r="A629" s="41" t="n">
        <x:f>IF(B629=1,A628+1,A628)</x:f>
        <x:v>2051</x:v>
      </x:c>
      <x:c r="B629" s="41" t="n">
        <x:f>IF(B628=26,1,B628+1)</x:f>
        <x:v>4</x:v>
      </x:c>
      <x:c r="C629" s="48" t="n">
        <x:f>Inputs!$F$27</x:f>
        <x:v>600</x:v>
      </x:c>
      <x:c r="D629" s="50" t="n">
        <x:f>IF(B629=1,0,D628+E628)</x:f>
        <x:v>1800</x:v>
      </x:c>
      <x:c r="E629" s="50" t="n">
        <x:f>MIN(C629,MAX(0,Inputs!$B$7-D629))</x:f>
        <x:v>600</x:v>
      </x:c>
      <x:c r="F629" s="50" t="n">
        <x:f>MIN(C629-E629,MAX(0,Inputs!$B$20-O629))</x:f>
        <x:v>0</x:v>
      </x:c>
      <x:c r="G629" s="50" t="n">
        <x:f>0</x:f>
        <x:v>0</x:v>
      </x:c>
      <x:c r="H629" s="41" t="n">
        <x:f>0</x:f>
        <x:v>0</x:v>
      </x:c>
      <x:c r="I629" s="50" t="n">
        <x:f>(I628*(1+Inputs!$B$12))+E629</x:f>
        <x:v>487971.68313059834</x:v>
      </x:c>
      <x:c r="J629" s="50" t="n">
        <x:f>(J628*(1+Inputs!$B$12))+F629+P629</x:f>
        <x:v>572224.8405811447</x:v>
      </x:c>
      <x:c r="K629" s="50" t="n">
        <x:f>(K628*(1+Inputs!$B$12))*(1-H629)</x:f>
        <x:v>0</x:v>
      </x:c>
      <x:c r="L629" s="50" t="n">
        <x:f>L628*(1+Inputs!$B$13)+Q629</x:f>
        <x:v>40925.41688634034</x:v>
      </x:c>
      <x:c r="M629" s="50" t="n">
        <x:f>I629+J629+L629</x:f>
        <x:v>1101121.9405980834</x:v>
      </x:c>
      <x:c r="N629" s="50" t="n">
        <x:f>F629+P629</x:f>
        <x:v>0</x:v>
      </x:c>
      <x:c r="O629" s="50" t="n">
        <x:f>IF(B629=1,0,O628+F628+P628)</x:f>
        <x:v>0</x:v>
      </x:c>
      <x:c r="P629" s="50" t="n">
        <x:f>MIN(G629,MAX(0,Inputs!$B$20-O629-F629))</x:f>
        <x:v>0</x:v>
      </x:c>
      <x:c r="Q629" s="50" t="n">
        <x:f>(C629-E629-F629)+(G629-P629)</x:f>
        <x:v>0</x:v>
      </x:c>
    </x:row>
    <x:row r="630">
      <x:c r="A630" s="41" t="n">
        <x:f>IF(B630=1,A629+1,A629)</x:f>
        <x:v>2051</x:v>
      </x:c>
      <x:c r="B630" s="41" t="n">
        <x:f>IF(B629=26,1,B629+1)</x:f>
        <x:v>5</x:v>
      </x:c>
      <x:c r="C630" s="48" t="n">
        <x:f>Inputs!$F$27</x:f>
        <x:v>600</x:v>
      </x:c>
      <x:c r="D630" s="50" t="n">
        <x:f>IF(B630=1,0,D629+E629)</x:f>
        <x:v>2400</x:v>
      </x:c>
      <x:c r="E630" s="50" t="n">
        <x:f>MIN(C630,MAX(0,Inputs!$B$7-D630))</x:f>
        <x:v>600</x:v>
      </x:c>
      <x:c r="F630" s="50" t="n">
        <x:f>MIN(C630-E630,MAX(0,Inputs!$B$20-O630))</x:f>
        <x:v>0</x:v>
      </x:c>
      <x:c r="G630" s="50" t="n">
        <x:f>0</x:f>
        <x:v>0</x:v>
      </x:c>
      <x:c r="H630" s="41" t="n">
        <x:f>0</x:f>
        <x:v>0</x:v>
      </x:c>
      <x:c r="I630" s="50" t="n">
        <x:f>(I629*(1+Inputs!$B$12))+E630</x:f>
        <x:v>489488.24355766404</x:v>
      </x:c>
      <x:c r="J630" s="50" t="n">
        <x:f>(J629*(1+Inputs!$B$12))+F630+P630</x:f>
        <x:v>573299.6542688895</x:v>
      </x:c>
      <x:c r="K630" s="50" t="n">
        <x:f>(K629*(1+Inputs!$B$12))*(1-H630)</x:f>
        <x:v>0</x:v>
      </x:c>
      <x:c r="L630" s="50" t="n">
        <x:f>L629*(1+Inputs!$B$13)+Q630</x:f>
        <x:v>40997.02222036613</x:v>
      </x:c>
      <x:c r="M630" s="50" t="n">
        <x:f>I630+J630+L630</x:f>
        <x:v>1103784.9200469197</x:v>
      </x:c>
      <x:c r="N630" s="50" t="n">
        <x:f>F630+P630</x:f>
        <x:v>0</x:v>
      </x:c>
      <x:c r="O630" s="50" t="n">
        <x:f>IF(B630=1,0,O629+F629+P629)</x:f>
        <x:v>0</x:v>
      </x:c>
      <x:c r="P630" s="50" t="n">
        <x:f>MIN(G630,MAX(0,Inputs!$B$20-O630-F630))</x:f>
        <x:v>0</x:v>
      </x:c>
      <x:c r="Q630" s="50" t="n">
        <x:f>(C630-E630-F630)+(G630-P630)</x:f>
        <x:v>0</x:v>
      </x:c>
    </x:row>
    <x:row r="631">
      <x:c r="A631" s="41" t="n">
        <x:f>IF(B631=1,A630+1,A630)</x:f>
        <x:v>2051</x:v>
      </x:c>
      <x:c r="B631" s="41" t="n">
        <x:f>IF(B630=26,1,B630+1)</x:f>
        <x:v>6</x:v>
      </x:c>
      <x:c r="C631" s="48" t="n">
        <x:f>Inputs!$F$27</x:f>
        <x:v>600</x:v>
      </x:c>
      <x:c r="D631" s="50" t="n">
        <x:f>IF(B631=1,0,D630+E630)</x:f>
        <x:v>3000</x:v>
      </x:c>
      <x:c r="E631" s="50" t="n">
        <x:f>MIN(C631,MAX(0,Inputs!$B$7-D631))</x:f>
        <x:v>600</x:v>
      </x:c>
      <x:c r="F631" s="50" t="n">
        <x:f>MIN(C631-E631,MAX(0,Inputs!$B$20-O631))</x:f>
        <x:v>0</x:v>
      </x:c>
      <x:c r="G631" s="50" t="n">
        <x:f>0</x:f>
        <x:v>0</x:v>
      </x:c>
      <x:c r="H631" s="41" t="n">
        <x:f>0</x:f>
        <x:v>0</x:v>
      </x:c>
      <x:c r="I631" s="50" t="n">
        <x:f>(I630*(1+Inputs!$B$12))+E631</x:f>
        <x:v>491007.6525501706</x:v>
      </x:c>
      <x:c r="J631" s="50" t="n">
        <x:f>(J630*(1+Inputs!$B$12))+F631+P631</x:f>
        <x:v>574376.4867862646</x:v>
      </x:c>
      <x:c r="K631" s="50" t="n">
        <x:f>(K630*(1+Inputs!$B$12))*(1-H631)</x:f>
        <x:v>0</x:v>
      </x:c>
      <x:c r="L631" s="50" t="n">
        <x:f>L630*(1+Inputs!$B$13)+Q631</x:f>
        <x:v>41068.75283897669</x:v>
      </x:c>
      <x:c r="M631" s="50" t="n">
        <x:f>I631+J631+L631</x:f>
        <x:v>1106452.8921754118</x:v>
      </x:c>
      <x:c r="N631" s="50" t="n">
        <x:f>F631+P631</x:f>
        <x:v>0</x:v>
      </x:c>
      <x:c r="O631" s="50" t="n">
        <x:f>IF(B631=1,0,O630+F630+P630)</x:f>
        <x:v>0</x:v>
      </x:c>
      <x:c r="P631" s="50" t="n">
        <x:f>MIN(G631,MAX(0,Inputs!$B$20-O631-F631))</x:f>
        <x:v>0</x:v>
      </x:c>
      <x:c r="Q631" s="50" t="n">
        <x:f>(C631-E631-F631)+(G631-P631)</x:f>
        <x:v>0</x:v>
      </x:c>
    </x:row>
    <x:row r="632">
      <x:c r="A632" s="41" t="n">
        <x:f>IF(B632=1,A631+1,A631)</x:f>
        <x:v>2051</x:v>
      </x:c>
      <x:c r="B632" s="41" t="n">
        <x:f>IF(B631=26,1,B631+1)</x:f>
        <x:v>7</x:v>
      </x:c>
      <x:c r="C632" s="48" t="n">
        <x:f>Inputs!$F$27</x:f>
        <x:v>600</x:v>
      </x:c>
      <x:c r="D632" s="50" t="n">
        <x:f>IF(B632=1,0,D631+E631)</x:f>
        <x:v>3600</x:v>
      </x:c>
      <x:c r="E632" s="50" t="n">
        <x:f>MIN(C632,MAX(0,Inputs!$B$7-D632))</x:f>
        <x:v>600</x:v>
      </x:c>
      <x:c r="F632" s="50" t="n">
        <x:f>MIN(C632-E632,MAX(0,Inputs!$B$20-O632))</x:f>
        <x:v>0</x:v>
      </x:c>
      <x:c r="G632" s="50" t="n">
        <x:f>0</x:f>
        <x:v>0</x:v>
      </x:c>
      <x:c r="H632" s="41" t="n">
        <x:f>0</x:f>
        <x:v>0</x:v>
      </x:c>
      <x:c r="I632" s="50" t="n">
        <x:f>(I631*(1+Inputs!$B$12))+E632</x:f>
        <x:v>492529.9154585973</x:v>
      </x:c>
      <x:c r="J632" s="50" t="n">
        <x:f>(J631*(1+Inputs!$B$12))+F632+P632</x:f>
        <x:v>575455.341925251</x:v>
      </x:c>
      <x:c r="K632" s="50" t="n">
        <x:f>(K631*(1+Inputs!$B$12))*(1-H632)</x:f>
        <x:v>0</x:v>
      </x:c>
      <x:c r="L632" s="50" t="n">
        <x:f>L631*(1+Inputs!$B$13)+Q632</x:f>
        <x:v>41140.60896137673</x:v>
      </x:c>
      <x:c r="M632" s="50" t="n">
        <x:f>I632+J632+L632</x:f>
        <x:v>1109125.8663452251</x:v>
      </x:c>
      <x:c r="N632" s="50" t="n">
        <x:f>F632+P632</x:f>
        <x:v>0</x:v>
      </x:c>
      <x:c r="O632" s="50" t="n">
        <x:f>IF(B632=1,0,O631+F631+P631)</x:f>
        <x:v>0</x:v>
      </x:c>
      <x:c r="P632" s="50" t="n">
        <x:f>MIN(G632,MAX(0,Inputs!$B$20-O632-F632))</x:f>
        <x:v>0</x:v>
      </x:c>
      <x:c r="Q632" s="50" t="n">
        <x:f>(C632-E632-F632)+(G632-P632)</x:f>
        <x:v>0</x:v>
      </x:c>
    </x:row>
    <x:row r="633">
      <x:c r="A633" s="41" t="n">
        <x:f>IF(B633=1,A632+1,A632)</x:f>
        <x:v>2051</x:v>
      </x:c>
      <x:c r="B633" s="41" t="n">
        <x:f>IF(B632=26,1,B632+1)</x:f>
        <x:v>8</x:v>
      </x:c>
      <x:c r="C633" s="48" t="n">
        <x:f>Inputs!$F$27</x:f>
        <x:v>600</x:v>
      </x:c>
      <x:c r="D633" s="50" t="n">
        <x:f>IF(B633=1,0,D632+E632)</x:f>
        <x:v>4200</x:v>
      </x:c>
      <x:c r="E633" s="50" t="n">
        <x:f>MIN(C633,MAX(0,Inputs!$B$7-D633))</x:f>
        <x:v>600</x:v>
      </x:c>
      <x:c r="F633" s="50" t="n">
        <x:f>MIN(C633-E633,MAX(0,Inputs!$B$20-O633))</x:f>
        <x:v>0</x:v>
      </x:c>
      <x:c r="G633" s="50" t="n">
        <x:f>0</x:f>
        <x:v>0</x:v>
      </x:c>
      <x:c r="H633" s="41" t="n">
        <x:f>0</x:f>
        <x:v>0</x:v>
      </x:c>
      <x:c r="I633" s="50" t="n">
        <x:f>(I632*(1+Inputs!$B$12))+E633</x:f>
        <x:v>494055.0376434732</x:v>
      </x:c>
      <x:c r="J633" s="50" t="n">
        <x:f>(J632*(1+Inputs!$B$12))+F633+P633</x:f>
        <x:v>576536.2234849521</x:v>
      </x:c>
      <x:c r="K633" s="50" t="n">
        <x:f>(K632*(1+Inputs!$B$12))*(1-H633)</x:f>
        <x:v>0</x:v>
      </x:c>
      <x:c r="L633" s="50" t="n">
        <x:f>L632*(1+Inputs!$B$13)+Q633</x:f>
        <x:v>41212.59080715451</x:v>
      </x:c>
      <x:c r="M633" s="50" t="n">
        <x:f>I633+J633+L633</x:f>
        <x:v>1111803.85193558</x:v>
      </x:c>
      <x:c r="N633" s="50" t="n">
        <x:f>F633+P633</x:f>
        <x:v>0</x:v>
      </x:c>
      <x:c r="O633" s="50" t="n">
        <x:f>IF(B633=1,0,O632+F632+P632)</x:f>
        <x:v>0</x:v>
      </x:c>
      <x:c r="P633" s="50" t="n">
        <x:f>MIN(G633,MAX(0,Inputs!$B$20-O633-F633))</x:f>
        <x:v>0</x:v>
      </x:c>
      <x:c r="Q633" s="50" t="n">
        <x:f>(C633-E633-F633)+(G633-P633)</x:f>
        <x:v>0</x:v>
      </x:c>
    </x:row>
    <x:row r="634">
      <x:c r="A634" s="41" t="n">
        <x:f>IF(B634=1,A633+1,A633)</x:f>
        <x:v>2051</x:v>
      </x:c>
      <x:c r="B634" s="41" t="n">
        <x:f>IF(B633=26,1,B633+1)</x:f>
        <x:v>9</x:v>
      </x:c>
      <x:c r="C634" s="48" t="n">
        <x:f>Inputs!$F$27</x:f>
        <x:v>600</x:v>
      </x:c>
      <x:c r="D634" s="50" t="n">
        <x:f>IF(B634=1,0,D633+E633)</x:f>
        <x:v>4800</x:v>
      </x:c>
      <x:c r="E634" s="50" t="n">
        <x:f>MIN(C634,MAX(0,Inputs!$B$7-D634))</x:f>
        <x:v>600</x:v>
      </x:c>
      <x:c r="F634" s="50" t="n">
        <x:f>MIN(C634-E634,MAX(0,Inputs!$B$20-O634))</x:f>
        <x:v>0</x:v>
      </x:c>
      <x:c r="G634" s="50" t="n">
        <x:f>SUM(N600:N625)*Inputs!$B$6</x:f>
        <x:v>3257.1428571464435</x:v>
      </x:c>
      <x:c r="H634" s="41" t="n">
        <x:f>0</x:f>
        <x:v>0</x:v>
      </x:c>
      <x:c r="I634" s="50" t="n">
        <x:f>(I633*(1+Inputs!$B$12))+E634</x:f>
        <x:v>495583.0244753961</x:v>
      </x:c>
      <x:c r="J634" s="50" t="n">
        <x:f>(J633*(1+Inputs!$B$12))+F634+P634</x:f>
        <x:v>580876.278128754</x:v>
      </x:c>
      <x:c r="K634" s="50" t="n">
        <x:f>(K633*(1+Inputs!$B$12))*(1-H634)</x:f>
        <x:v>0</x:v>
      </x:c>
      <x:c r="L634" s="50" t="n">
        <x:f>L633*(1+Inputs!$B$13)+Q634</x:f>
        <x:v>41284.698596282484</x:v>
      </x:c>
      <x:c r="M634" s="50" t="n">
        <x:f>I634+J634+L634</x:f>
        <x:v>1117744.0012004324</x:v>
      </x:c>
      <x:c r="N634" s="50" t="n">
        <x:f>F634+P634</x:f>
        <x:v>3257.1428571464435</x:v>
      </x:c>
      <x:c r="O634" s="50" t="n">
        <x:f>IF(B634=1,0,O633+F633+P633)</x:f>
        <x:v>0</x:v>
      </x:c>
      <x:c r="P634" s="50" t="n">
        <x:f>MIN(G634,MAX(0,Inputs!$B$20-O634-F634))</x:f>
        <x:v>3257.1428571464435</x:v>
      </x:c>
      <x:c r="Q634" s="50" t="n">
        <x:f>(C634-E634-F634)+(G634-P634)</x:f>
        <x:v>0</x:v>
      </x:c>
    </x:row>
    <x:row r="635">
      <x:c r="A635" s="41" t="n">
        <x:f>IF(B635=1,A634+1,A634)</x:f>
        <x:v>2051</x:v>
      </x:c>
      <x:c r="B635" s="41" t="n">
        <x:f>IF(B634=26,1,B634+1)</x:f>
        <x:v>10</x:v>
      </x:c>
      <x:c r="C635" s="48" t="n">
        <x:f>Inputs!$F$27</x:f>
        <x:v>600</x:v>
      </x:c>
      <x:c r="D635" s="50" t="n">
        <x:f>IF(B635=1,0,D634+E634)</x:f>
        <x:v>5400</x:v>
      </x:c>
      <x:c r="E635" s="50" t="n">
        <x:f>MIN(C635,MAX(0,Inputs!$B$7-D635))</x:f>
        <x:v>600</x:v>
      </x:c>
      <x:c r="F635" s="50" t="n">
        <x:f>MIN(C635-E635,MAX(0,Inputs!$B$20-O635))</x:f>
        <x:v>0</x:v>
      </x:c>
      <x:c r="G635" s="50" t="n">
        <x:f>0</x:f>
        <x:v>0</x:v>
      </x:c>
      <x:c r="H635" s="41" t="n">
        <x:f>0</x:f>
        <x:v>0</x:v>
      </x:c>
      <x:c r="I635" s="50" t="n">
        <x:f>(I634*(1+Inputs!$B$12))+E635</x:f>
        <x:v>497113.8813350514</x:v>
      </x:c>
      <x:c r="J635" s="50" t="n">
        <x:f>(J634*(1+Inputs!$B$12))+F635+P635</x:f>
        <x:v>581967.3418686381</x:v>
      </x:c>
      <x:c r="K635" s="50" t="n">
        <x:f>(K634*(1+Inputs!$B$12))*(1-H635)</x:f>
        <x:v>0</x:v>
      </x:c>
      <x:c r="L635" s="50" t="n">
        <x:f>L634*(1+Inputs!$B$13)+Q635</x:f>
        <x:v>41356.93254911798</x:v>
      </x:c>
      <x:c r="M635" s="50" t="n">
        <x:f>I635+J635+L635</x:f>
        <x:v>1120438.1557528074</x:v>
      </x:c>
      <x:c r="N635" s="50" t="n">
        <x:f>F635+P635</x:f>
        <x:v>0</x:v>
      </x:c>
      <x:c r="O635" s="50" t="n">
        <x:f>IF(B635=1,0,O634+F634+P634)</x:f>
        <x:v>3257.1428571464435</x:v>
      </x:c>
      <x:c r="P635" s="50" t="n">
        <x:f>MIN(G635,MAX(0,Inputs!$B$20-O635-F635))</x:f>
        <x:v>0</x:v>
      </x:c>
      <x:c r="Q635" s="50" t="n">
        <x:f>(C635-E635-F635)+(G635-P635)</x:f>
        <x:v>0</x:v>
      </x:c>
    </x:row>
    <x:row r="636">
      <x:c r="A636" s="41" t="n">
        <x:f>IF(B636=1,A635+1,A635)</x:f>
        <x:v>2051</x:v>
      </x:c>
      <x:c r="B636" s="41" t="n">
        <x:f>IF(B635=26,1,B635+1)</x:f>
        <x:v>11</x:v>
      </x:c>
      <x:c r="C636" s="48" t="n">
        <x:f>Inputs!$F$27</x:f>
        <x:v>600</x:v>
      </x:c>
      <x:c r="D636" s="50" t="n">
        <x:f>IF(B636=1,0,D635+E635)</x:f>
        <x:v>6000</x:v>
      </x:c>
      <x:c r="E636" s="50" t="n">
        <x:f>MIN(C636,MAX(0,Inputs!$B$7-D636))</x:f>
        <x:v>600</x:v>
      </x:c>
      <x:c r="F636" s="50" t="n">
        <x:f>MIN(C636-E636,MAX(0,Inputs!$B$20-O636))</x:f>
        <x:v>0</x:v>
      </x:c>
      <x:c r="G636" s="50" t="n">
        <x:f>0</x:f>
        <x:v>0</x:v>
      </x:c>
      <x:c r="H636" s="41" t="n">
        <x:f>0</x:f>
        <x:v>0</x:v>
      </x:c>
      <x:c r="I636" s="50" t="n">
        <x:f>(I635*(1+Inputs!$B$12))+E636</x:f>
        <x:v>498647.6136132311</x:v>
      </x:c>
      <x:c r="J636" s="50" t="n">
        <x:f>(J635*(1+Inputs!$B$12))+F636+P636</x:f>
        <x:v>583060.4549607325</x:v>
      </x:c>
      <x:c r="K636" s="50" t="n">
        <x:f>(K635*(1+Inputs!$B$12))*(1-H636)</x:f>
        <x:v>0</x:v>
      </x:c>
      <x:c r="L636" s="50" t="n">
        <x:f>L635*(1+Inputs!$B$13)+Q636</x:f>
        <x:v>41429.29288640388</x:v>
      </x:c>
      <x:c r="M636" s="50" t="n">
        <x:f>I636+J636+L636</x:f>
        <x:v>1123137.3614603675</x:v>
      </x:c>
      <x:c r="N636" s="50" t="n">
        <x:f>F636+P636</x:f>
        <x:v>0</x:v>
      </x:c>
      <x:c r="O636" s="50" t="n">
        <x:f>IF(B636=1,0,O635+F635+P635)</x:f>
        <x:v>3257.1428571464435</x:v>
      </x:c>
      <x:c r="P636" s="50" t="n">
        <x:f>MIN(G636,MAX(0,Inputs!$B$20-O636-F636))</x:f>
        <x:v>0</x:v>
      </x:c>
      <x:c r="Q636" s="50" t="n">
        <x:f>(C636-E636-F636)+(G636-P636)</x:f>
        <x:v>0</x:v>
      </x:c>
    </x:row>
    <x:row r="637">
      <x:c r="A637" s="41" t="n">
        <x:f>IF(B637=1,A636+1,A636)</x:f>
        <x:v>2051</x:v>
      </x:c>
      <x:c r="B637" s="41" t="n">
        <x:f>IF(B636=26,1,B636+1)</x:f>
        <x:v>12</x:v>
      </x:c>
      <x:c r="C637" s="48" t="n">
        <x:f>Inputs!$F$27</x:f>
        <x:v>600</x:v>
      </x:c>
      <x:c r="D637" s="50" t="n">
        <x:f>IF(B637=1,0,D636+E636)</x:f>
        <x:v>6600</x:v>
      </x:c>
      <x:c r="E637" s="50" t="n">
        <x:f>MIN(C637,MAX(0,Inputs!$B$7-D637))</x:f>
        <x:v>600</x:v>
      </x:c>
      <x:c r="F637" s="50" t="n">
        <x:f>MIN(C637-E637,MAX(0,Inputs!$B$20-O637))</x:f>
        <x:v>0</x:v>
      </x:c>
      <x:c r="G637" s="50" t="n">
        <x:f>0</x:f>
        <x:v>0</x:v>
      </x:c>
      <x:c r="H637" s="41" t="n">
        <x:f>0</x:f>
        <x:v>0</x:v>
      </x:c>
      <x:c r="I637" s="50" t="n">
        <x:f>(I636*(1+Inputs!$B$12))+E637</x:f>
        <x:v>500184.2267108528</x:v>
      </x:c>
      <x:c r="J637" s="50" t="n">
        <x:f>(J636*(1+Inputs!$B$12))+F637+P637</x:f>
        <x:v>584155.6212543489</x:v>
      </x:c>
      <x:c r="K637" s="50" t="n">
        <x:f>(K636*(1+Inputs!$B$12))*(1-H637)</x:f>
        <x:v>0</x:v>
      </x:c>
      <x:c r="L637" s="50" t="n">
        <x:f>L636*(1+Inputs!$B$13)+Q637</x:f>
        <x:v>41501.77982926929</x:v>
      </x:c>
      <x:c r="M637" s="50" t="n">
        <x:f>I637+J637+L637</x:f>
        <x:v>1125841.627794471</x:v>
      </x:c>
      <x:c r="N637" s="50" t="n">
        <x:f>F637+P637</x:f>
        <x:v>0</x:v>
      </x:c>
      <x:c r="O637" s="50" t="n">
        <x:f>IF(B637=1,0,O636+F636+P636)</x:f>
        <x:v>3257.1428571464435</x:v>
      </x:c>
      <x:c r="P637" s="50" t="n">
        <x:f>MIN(G637,MAX(0,Inputs!$B$20-O637-F637))</x:f>
        <x:v>0</x:v>
      </x:c>
      <x:c r="Q637" s="50" t="n">
        <x:f>(C637-E637-F637)+(G637-P637)</x:f>
        <x:v>0</x:v>
      </x:c>
    </x:row>
    <x:row r="638">
      <x:c r="A638" s="41" t="n">
        <x:f>IF(B638=1,A637+1,A637)</x:f>
        <x:v>2051</x:v>
      </x:c>
      <x:c r="B638" s="41" t="n">
        <x:f>IF(B637=26,1,B637+1)</x:f>
        <x:v>13</x:v>
      </x:c>
      <x:c r="C638" s="48" t="n">
        <x:f>Inputs!$F$27</x:f>
        <x:v>600</x:v>
      </x:c>
      <x:c r="D638" s="50" t="n">
        <x:f>IF(B638=1,0,D637+E637)</x:f>
        <x:v>7200</x:v>
      </x:c>
      <x:c r="E638" s="50" t="n">
        <x:f>MIN(C638,MAX(0,Inputs!$B$7-D638))</x:f>
        <x:v>600</x:v>
      </x:c>
      <x:c r="F638" s="50" t="n">
        <x:f>MIN(C638-E638,MAX(0,Inputs!$B$20-O638))</x:f>
        <x:v>0</x:v>
      </x:c>
      <x:c r="G638" s="50" t="n">
        <x:f>0</x:f>
        <x:v>0</x:v>
      </x:c>
      <x:c r="H638" s="41" t="n">
        <x:f>0</x:f>
        <x:v>0</x:v>
      </x:c>
      <x:c r="I638" s="50" t="n">
        <x:f>(I637*(1+Inputs!$B$12))+E638</x:f>
        <x:v>501723.7260389786</x:v>
      </x:c>
      <x:c r="J638" s="50" t="n">
        <x:f>(J637*(1+Inputs!$B$12))+F638+P638</x:f>
        <x:v>585252.8446060293</x:v>
      </x:c>
      <x:c r="K638" s="50" t="n">
        <x:f>(K637*(1+Inputs!$B$12))*(1-H638)</x:f>
        <x:v>0</x:v>
      </x:c>
      <x:c r="L638" s="50" t="n">
        <x:f>L637*(1+Inputs!$B$13)+Q638</x:f>
        <x:v>41574.393599230214</x:v>
      </x:c>
      <x:c r="M638" s="50" t="n">
        <x:f>I638+J638+L638</x:f>
        <x:v>1128550.964244238</x:v>
      </x:c>
      <x:c r="N638" s="50" t="n">
        <x:f>F638+P638</x:f>
        <x:v>0</x:v>
      </x:c>
      <x:c r="O638" s="50" t="n">
        <x:f>IF(B638=1,0,O637+F637+P637)</x:f>
        <x:v>3257.1428571464435</x:v>
      </x:c>
      <x:c r="P638" s="50" t="n">
        <x:f>MIN(G638,MAX(0,Inputs!$B$20-O638-F638))</x:f>
        <x:v>0</x:v>
      </x:c>
      <x:c r="Q638" s="50" t="n">
        <x:f>(C638-E638-F638)+(G638-P638)</x:f>
        <x:v>0</x:v>
      </x:c>
    </x:row>
    <x:row r="639">
      <x:c r="A639" s="41" t="n">
        <x:f>IF(B639=1,A638+1,A638)</x:f>
        <x:v>2051</x:v>
      </x:c>
      <x:c r="B639" s="41" t="n">
        <x:f>IF(B638=26,1,B638+1)</x:f>
        <x:v>14</x:v>
      </x:c>
      <x:c r="C639" s="48" t="n">
        <x:f>Inputs!$F$27</x:f>
        <x:v>600</x:v>
      </x:c>
      <x:c r="D639" s="50" t="n">
        <x:f>IF(B639=1,0,D638+E638)</x:f>
        <x:v>7800</x:v>
      </x:c>
      <x:c r="E639" s="50" t="n">
        <x:f>MIN(C639,MAX(0,Inputs!$B$7-D639))</x:f>
        <x:v>200</x:v>
      </x:c>
      <x:c r="F639" s="50" t="n">
        <x:f>MIN(C639-E639,MAX(0,Inputs!$B$20-O639))</x:f>
        <x:v>400</x:v>
      </x:c>
      <x:c r="G639" s="50" t="n">
        <x:f>0</x:f>
        <x:v>0</x:v>
      </x:c>
      <x:c r="H639" s="41" t="n">
        <x:f>0</x:f>
        <x:v>0</x:v>
      </x:c>
      <x:c r="I639" s="50" t="n">
        <x:f>(I638*(1+Inputs!$B$12))+E639</x:f>
        <x:v>502866.1170188343</x:v>
      </x:c>
      <x:c r="J639" s="50" t="n">
        <x:f>(J638*(1+Inputs!$B$12))+F639+P639</x:f>
        <x:v>586752.1288795595</x:v>
      </x:c>
      <x:c r="K639" s="50" t="n">
        <x:f>(K638*(1+Inputs!$B$12))*(1-H639)</x:f>
        <x:v>0</x:v>
      </x:c>
      <x:c r="L639" s="50" t="n">
        <x:f>L638*(1+Inputs!$B$13)+Q639</x:f>
        <x:v>41647.13441819023</x:v>
      </x:c>
      <x:c r="M639" s="50" t="n">
        <x:f>I639+J639+L639</x:f>
        <x:v>1131265.380316584</x:v>
      </x:c>
      <x:c r="N639" s="50" t="n">
        <x:f>F639+P639</x:f>
        <x:v>400</x:v>
      </x:c>
      <x:c r="O639" s="50" t="n">
        <x:f>IF(B639=1,0,O638+F638+P638)</x:f>
        <x:v>3257.1428571464435</x:v>
      </x:c>
      <x:c r="P639" s="50" t="n">
        <x:f>MIN(G639,MAX(0,Inputs!$B$20-O639-F639))</x:f>
        <x:v>0</x:v>
      </x:c>
      <x:c r="Q639" s="50" t="n">
        <x:f>(C639-E639-F639)+(G639-P639)</x:f>
        <x:v>0</x:v>
      </x:c>
    </x:row>
    <x:row r="640">
      <x:c r="A640" s="41" t="n">
        <x:f>IF(B640=1,A639+1,A639)</x:f>
        <x:v>2051</x:v>
      </x:c>
      <x:c r="B640" s="41" t="n">
        <x:f>IF(B639=26,1,B639+1)</x:f>
        <x:v>15</x:v>
      </x:c>
      <x:c r="C640" s="48" t="n">
        <x:f>Inputs!$F$27</x:f>
        <x:v>600</x:v>
      </x:c>
      <x:c r="D640" s="50" t="n">
        <x:f>IF(B640=1,0,D639+E639)</x:f>
        <x:v>8000</x:v>
      </x:c>
      <x:c r="E640" s="50" t="n">
        <x:f>MIN(C640,MAX(0,Inputs!$B$7-D640))</x:f>
        <x:v>0</x:v>
      </x:c>
      <x:c r="F640" s="50" t="n">
        <x:f>MIN(C640-E640,MAX(0,Inputs!$B$20-O640))</x:f>
        <x:v>600</x:v>
      </x:c>
      <x:c r="G640" s="50" t="n">
        <x:f>0</x:f>
        <x:v>0</x:v>
      </x:c>
      <x:c r="H640" s="41" t="n">
        <x:f>0</x:f>
        <x:v>0</x:v>
      </x:c>
      <x:c r="I640" s="50" t="n">
        <x:f>(I639*(1+Inputs!$B$12))+E640</x:f>
        <x:v>503810.6537591932</x:v>
      </x:c>
      <x:c r="J640" s="50" t="n">
        <x:f>(J639*(1+Inputs!$B$12))+F640+P640</x:f>
        <x:v>588454.2292686175</x:v>
      </x:c>
      <x:c r="K640" s="50" t="n">
        <x:f>(K639*(1+Inputs!$B$12))*(1-H640)</x:f>
        <x:v>0</x:v>
      </x:c>
      <x:c r="L640" s="50" t="n">
        <x:f>L639*(1+Inputs!$B$13)+Q640</x:f>
        <x:v>41720.00250844118</x:v>
      </x:c>
      <x:c r="M640" s="50" t="n">
        <x:f>I640+J640+L640</x:f>
        <x:v>1133984.8855362518</x:v>
      </x:c>
      <x:c r="N640" s="50" t="n">
        <x:f>F640+P640</x:f>
        <x:v>600</x:v>
      </x:c>
      <x:c r="O640" s="50" t="n">
        <x:f>IF(B640=1,0,O639+F639+P639)</x:f>
        <x:v>3657.1428571464435</x:v>
      </x:c>
      <x:c r="P640" s="50" t="n">
        <x:f>MIN(G640,MAX(0,Inputs!$B$20-O640-F640))</x:f>
        <x:v>0</x:v>
      </x:c>
      <x:c r="Q640" s="50" t="n">
        <x:f>(C640-E640-F640)+(G640-P640)</x:f>
        <x:v>0</x:v>
      </x:c>
    </x:row>
    <x:row r="641">
      <x:c r="A641" s="41" t="n">
        <x:f>IF(B641=1,A640+1,A640)</x:f>
        <x:v>2051</x:v>
      </x:c>
      <x:c r="B641" s="41" t="n">
        <x:f>IF(B640=26,1,B640+1)</x:f>
        <x:v>16</x:v>
      </x:c>
      <x:c r="C641" s="48" t="n">
        <x:f>Inputs!$F$27</x:f>
        <x:v>600</x:v>
      </x:c>
      <x:c r="D641" s="50" t="n">
        <x:f>IF(B641=1,0,D640+E640)</x:f>
        <x:v>8000</x:v>
      </x:c>
      <x:c r="E641" s="50" t="n">
        <x:f>MIN(C641,MAX(0,Inputs!$B$7-D641))</x:f>
        <x:v>0</x:v>
      </x:c>
      <x:c r="F641" s="50" t="n">
        <x:f>MIN(C641-E641,MAX(0,Inputs!$B$20-O641))</x:f>
        <x:v>600</x:v>
      </x:c>
      <x:c r="G641" s="50" t="n">
        <x:f>0</x:f>
        <x:v>0</x:v>
      </x:c>
      <x:c r="H641" s="41" t="n">
        <x:f>0</x:f>
        <x:v>0</x:v>
      </x:c>
      <x:c r="I641" s="50" t="n">
        <x:f>(I640*(1+Inputs!$B$12))+E641</x:f>
        <x:v>504756.96462913393</x:v>
      </x:c>
      <x:c r="J641" s="50" t="n">
        <x:f>(J640*(1+Inputs!$B$12))+F641+P641</x:f>
        <x:v>590159.5267240494</x:v>
      </x:c>
      <x:c r="K641" s="50" t="n">
        <x:f>(K640*(1+Inputs!$B$12))*(1-H641)</x:f>
        <x:v>0</x:v>
      </x:c>
      <x:c r="L641" s="50" t="n">
        <x:f>L640*(1+Inputs!$B$13)+Q641</x:f>
        <x:v>41792.99809266383</x:v>
      </x:c>
      <x:c r="M641" s="50" t="n">
        <x:f>I641+J641+L641</x:f>
        <x:v>1136709.4894458472</x:v>
      </x:c>
      <x:c r="N641" s="50" t="n">
        <x:f>F641+P641</x:f>
        <x:v>600</x:v>
      </x:c>
      <x:c r="O641" s="50" t="n">
        <x:f>IF(B641=1,0,O640+F640+P640)</x:f>
        <x:v>4257.142857146444</x:v>
      </x:c>
      <x:c r="P641" s="50" t="n">
        <x:f>MIN(G641,MAX(0,Inputs!$B$20-O641-F641))</x:f>
        <x:v>0</x:v>
      </x:c>
      <x:c r="Q641" s="50" t="n">
        <x:f>(C641-E641-F641)+(G641-P641)</x:f>
        <x:v>0</x:v>
      </x:c>
    </x:row>
    <x:row r="642">
      <x:c r="A642" s="41" t="n">
        <x:f>IF(B642=1,A641+1,A641)</x:f>
        <x:v>2051</x:v>
      </x:c>
      <x:c r="B642" s="41" t="n">
        <x:f>IF(B641=26,1,B641+1)</x:f>
        <x:v>17</x:v>
      </x:c>
      <x:c r="C642" s="48" t="n">
        <x:f>Inputs!$F$27</x:f>
        <x:v>600</x:v>
      </x:c>
      <x:c r="D642" s="50" t="n">
        <x:f>IF(B642=1,0,D641+E641)</x:f>
        <x:v>8000</x:v>
      </x:c>
      <x:c r="E642" s="50" t="n">
        <x:f>MIN(C642,MAX(0,Inputs!$B$7-D642))</x:f>
        <x:v>0</x:v>
      </x:c>
      <x:c r="F642" s="50" t="n">
        <x:f>MIN(C642-E642,MAX(0,Inputs!$B$20-O642))</x:f>
        <x:v>600</x:v>
      </x:c>
      <x:c r="G642" s="50" t="n">
        <x:f>0</x:f>
        <x:v>0</x:v>
      </x:c>
      <x:c r="H642" s="41" t="n">
        <x:f>0</x:f>
        <x:v>0</x:v>
      </x:c>
      <x:c r="I642" s="50" t="n">
        <x:f>(I641*(1+Inputs!$B$12))+E642</x:f>
        <x:v>505705.0529610157</x:v>
      </x:c>
      <x:c r="J642" s="50" t="n">
        <x:f>(J641*(1+Inputs!$B$12))+F642+P642</x:f>
        <x:v>591868.0272509259</x:v>
      </x:c>
      <x:c r="K642" s="50" t="n">
        <x:f>(K641*(1+Inputs!$B$12))*(1-H642)</x:f>
        <x:v>0</x:v>
      </x:c>
      <x:c r="L642" s="50" t="n">
        <x:f>L641*(1+Inputs!$B$13)+Q642</x:f>
        <x:v>41866.12139392856</x:v>
      </x:c>
      <x:c r="M642" s="50" t="n">
        <x:f>I642+J642+L642</x:f>
        <x:v>1139439.2016058702</x:v>
      </x:c>
      <x:c r="N642" s="50" t="n">
        <x:f>F642+P642</x:f>
        <x:v>600</x:v>
      </x:c>
      <x:c r="O642" s="50" t="n">
        <x:f>IF(B642=1,0,O641+F641+P641)</x:f>
        <x:v>4857.142857146444</x:v>
      </x:c>
      <x:c r="P642" s="50" t="n">
        <x:f>MIN(G642,MAX(0,Inputs!$B$20-O642-F642))</x:f>
        <x:v>0</x:v>
      </x:c>
      <x:c r="Q642" s="50" t="n">
        <x:f>(C642-E642-F642)+(G642-P642)</x:f>
        <x:v>0</x:v>
      </x:c>
    </x:row>
    <x:row r="643">
      <x:c r="A643" s="41" t="n">
        <x:f>IF(B643=1,A642+1,A642)</x:f>
        <x:v>2051</x:v>
      </x:c>
      <x:c r="B643" s="41" t="n">
        <x:f>IF(B642=26,1,B642+1)</x:f>
        <x:v>18</x:v>
      </x:c>
      <x:c r="C643" s="48" t="n">
        <x:f>Inputs!$F$27</x:f>
        <x:v>600</x:v>
      </x:c>
      <x:c r="D643" s="50" t="n">
        <x:f>IF(B643=1,0,D642+E642)</x:f>
        <x:v>8000</x:v>
      </x:c>
      <x:c r="E643" s="50" t="n">
        <x:f>MIN(C643,MAX(0,Inputs!$B$7-D643))</x:f>
        <x:v>0</x:v>
      </x:c>
      <x:c r="F643" s="50" t="n">
        <x:f>MIN(C643-E643,MAX(0,Inputs!$B$20-O643))</x:f>
        <x:v>600</x:v>
      </x:c>
      <x:c r="G643" s="50" t="n">
        <x:f>0</x:f>
        <x:v>0</x:v>
      </x:c>
      <x:c r="H643" s="41" t="n">
        <x:f>0</x:f>
        <x:v>0</x:v>
      </x:c>
      <x:c r="I643" s="50" t="n">
        <x:f>(I642*(1+Inputs!$B$12))+E643</x:f>
        <x:v>506654.9220934571</x:v>
      </x:c>
      <x:c r="J643" s="50" t="n">
        <x:f>(J642*(1+Inputs!$B$12))+F643+P643</x:f>
        <x:v>593579.7368655972</x:v>
      </x:c>
      <x:c r="K643" s="50" t="n">
        <x:f>(K642*(1+Inputs!$B$12))*(1-H643)</x:f>
        <x:v>0</x:v>
      </x:c>
      <x:c r="L643" s="50" t="n">
        <x:f>L642*(1+Inputs!$B$13)+Q643</x:f>
        <x:v>41939.37263569605</x:v>
      </x:c>
      <x:c r="M643" s="50" t="n">
        <x:f>I643+J643+L643</x:f>
        <x:v>1142174.0315947505</x:v>
      </x:c>
      <x:c r="N643" s="50" t="n">
        <x:f>F643+P643</x:f>
        <x:v>600</x:v>
      </x:c>
      <x:c r="O643" s="50" t="n">
        <x:f>IF(B643=1,0,O642+F642+P642)</x:f>
        <x:v>5457.142857146444</x:v>
      </x:c>
      <x:c r="P643" s="50" t="n">
        <x:f>MIN(G643,MAX(0,Inputs!$B$20-O643-F643))</x:f>
        <x:v>0</x:v>
      </x:c>
      <x:c r="Q643" s="50" t="n">
        <x:f>(C643-E643-F643)+(G643-P643)</x:f>
        <x:v>0</x:v>
      </x:c>
    </x:row>
    <x:row r="644">
      <x:c r="A644" s="41" t="n">
        <x:f>IF(B644=1,A643+1,A643)</x:f>
        <x:v>2051</x:v>
      </x:c>
      <x:c r="B644" s="41" t="n">
        <x:f>IF(B643=26,1,B643+1)</x:f>
        <x:v>19</x:v>
      </x:c>
      <x:c r="C644" s="48" t="n">
        <x:f>Inputs!$F$27</x:f>
        <x:v>600</x:v>
      </x:c>
      <x:c r="D644" s="50" t="n">
        <x:f>IF(B644=1,0,D643+E643)</x:f>
        <x:v>8000</x:v>
      </x:c>
      <x:c r="E644" s="50" t="n">
        <x:f>MIN(C644,MAX(0,Inputs!$B$7-D644))</x:f>
        <x:v>0</x:v>
      </x:c>
      <x:c r="F644" s="50" t="n">
        <x:f>MIN(C644-E644,MAX(0,Inputs!$B$20-O644))</x:f>
        <x:v>600</x:v>
      </x:c>
      <x:c r="G644" s="50" t="n">
        <x:f>0</x:f>
        <x:v>0</x:v>
      </x:c>
      <x:c r="H644" s="41" t="n">
        <x:f>0</x:f>
        <x:v>0</x:v>
      </x:c>
      <x:c r="I644" s="50" t="n">
        <x:f>(I643*(1+Inputs!$B$12))+E644</x:f>
        <x:v>507606.5753713474</x:v>
      </x:c>
      <x:c r="J644" s="50" t="n">
        <x:f>(J643*(1+Inputs!$B$12))+F644+P644</x:f>
        <x:v>595294.661595714</x:v>
      </x:c>
      <x:c r="K644" s="50" t="n">
        <x:f>(K643*(1+Inputs!$B$12))*(1-H644)</x:f>
        <x:v>0</x:v>
      </x:c>
      <x:c r="L644" s="50" t="n">
        <x:f>L643*(1+Inputs!$B$13)+Q644</x:f>
        <x:v>42012.752041817956</x:v>
      </x:c>
      <x:c r="M644" s="50" t="n">
        <x:f>I644+J644+L644</x:f>
        <x:v>1144913.9890088793</x:v>
      </x:c>
      <x:c r="N644" s="50" t="n">
        <x:f>F644+P644</x:f>
        <x:v>600</x:v>
      </x:c>
      <x:c r="O644" s="50" t="n">
        <x:f>IF(B644=1,0,O643+F643+P643)</x:f>
        <x:v>6057.142857146444</x:v>
      </x:c>
      <x:c r="P644" s="50" t="n">
        <x:f>MIN(G644,MAX(0,Inputs!$B$20-O644-F644))</x:f>
        <x:v>0</x:v>
      </x:c>
      <x:c r="Q644" s="50" t="n">
        <x:f>(C644-E644-F644)+(G644-P644)</x:f>
        <x:v>0</x:v>
      </x:c>
    </x:row>
    <x:row r="645">
      <x:c r="A645" s="41" t="n">
        <x:f>IF(B645=1,A644+1,A644)</x:f>
        <x:v>2051</x:v>
      </x:c>
      <x:c r="B645" s="41" t="n">
        <x:f>IF(B644=26,1,B644+1)</x:f>
        <x:v>20</x:v>
      </x:c>
      <x:c r="C645" s="48" t="n">
        <x:f>Inputs!$F$27</x:f>
        <x:v>600</x:v>
      </x:c>
      <x:c r="D645" s="50" t="n">
        <x:f>IF(B645=1,0,D644+E644)</x:f>
        <x:v>8000</x:v>
      </x:c>
      <x:c r="E645" s="50" t="n">
        <x:f>MIN(C645,MAX(0,Inputs!$B$7-D645))</x:f>
        <x:v>0</x:v>
      </x:c>
      <x:c r="F645" s="50" t="n">
        <x:f>MIN(C645-E645,MAX(0,Inputs!$B$20-O645))</x:f>
        <x:v>600</x:v>
      </x:c>
      <x:c r="G645" s="50" t="n">
        <x:f>0</x:f>
        <x:v>0</x:v>
      </x:c>
      <x:c r="H645" s="41" t="n">
        <x:f>0</x:f>
        <x:v>0</x:v>
      </x:c>
      <x:c r="I645" s="50" t="n">
        <x:f>(I644*(1+Inputs!$B$12))+E645</x:f>
        <x:v>508560.0161458589</x:v>
      </x:c>
      <x:c r="J645" s="50" t="n">
        <x:f>(J644*(1+Inputs!$B$12))+F645+P645</x:f>
        <x:v>597012.807480249</x:v>
      </x:c>
      <x:c r="K645" s="50" t="n">
        <x:f>(K644*(1+Inputs!$B$12))*(1-H645)</x:f>
        <x:v>0</x:v>
      </x:c>
      <x:c r="L645" s="50" t="n">
        <x:f>L644*(1+Inputs!$B$13)+Q645</x:f>
        <x:v>42086.2598365376</x:v>
      </x:c>
      <x:c r="M645" s="50" t="n">
        <x:f>I645+J645+L645</x:f>
        <x:v>1147659.0834626455</x:v>
      </x:c>
      <x:c r="N645" s="50" t="n">
        <x:f>F645+P645</x:f>
        <x:v>600</x:v>
      </x:c>
      <x:c r="O645" s="50" t="n">
        <x:f>IF(B645=1,0,O644+F644+P644)</x:f>
        <x:v>6657.142857146444</x:v>
      </x:c>
      <x:c r="P645" s="50" t="n">
        <x:f>MIN(G645,MAX(0,Inputs!$B$20-O645-F645))</x:f>
        <x:v>0</x:v>
      </x:c>
      <x:c r="Q645" s="50" t="n">
        <x:f>(C645-E645-F645)+(G645-P645)</x:f>
        <x:v>0</x:v>
      </x:c>
    </x:row>
    <x:row r="646">
      <x:c r="A646" s="41" t="n">
        <x:f>IF(B646=1,A645+1,A645)</x:f>
        <x:v>2051</x:v>
      </x:c>
      <x:c r="B646" s="41" t="n">
        <x:f>IF(B645=26,1,B645+1)</x:f>
        <x:v>21</x:v>
      </x:c>
      <x:c r="C646" s="48" t="n">
        <x:f>Inputs!$F$27</x:f>
        <x:v>600</x:v>
      </x:c>
      <x:c r="D646" s="50" t="n">
        <x:f>IF(B646=1,0,D645+E645)</x:f>
        <x:v>8000</x:v>
      </x:c>
      <x:c r="E646" s="50" t="n">
        <x:f>MIN(C646,MAX(0,Inputs!$B$7-D646))</x:f>
        <x:v>0</x:v>
      </x:c>
      <x:c r="F646" s="50" t="n">
        <x:f>MIN(C646-E646,MAX(0,Inputs!$B$20-O646))</x:f>
        <x:v>600</x:v>
      </x:c>
      <x:c r="G646" s="50" t="n">
        <x:f>0</x:f>
        <x:v>0</x:v>
      </x:c>
      <x:c r="H646" s="41" t="n">
        <x:f>0</x:f>
        <x:v>0</x:v>
      </x:c>
      <x:c r="I646" s="50" t="n">
        <x:f>(I645*(1+Inputs!$B$12))+E646</x:f>
        <x:v>509515.2477744582</x:v>
      </x:c>
      <x:c r="J646" s="50" t="n">
        <x:f>(J645*(1+Inputs!$B$12))+F646+P646</x:f>
        <x:v>598734.1805695177</x:v>
      </x:c>
      <x:c r="K646" s="50" t="n">
        <x:f>(K645*(1+Inputs!$B$12))*(1-H646)</x:f>
        <x:v>0</x:v>
      </x:c>
      <x:c r="L646" s="50" t="n">
        <x:f>L645*(1+Inputs!$B$13)+Q646</x:f>
        <x:v>42159.89624449066</x:v>
      </x:c>
      <x:c r="M646" s="50" t="n">
        <x:f>I646+J646+L646</x:f>
        <x:v>1150409.3245884667</x:v>
      </x:c>
      <x:c r="N646" s="50" t="n">
        <x:f>F646+P646</x:f>
        <x:v>600</x:v>
      </x:c>
      <x:c r="O646" s="50" t="n">
        <x:f>IF(B646=1,0,O645+F645+P645)</x:f>
        <x:v>7257.142857146444</x:v>
      </x:c>
      <x:c r="P646" s="50" t="n">
        <x:f>MIN(G646,MAX(0,Inputs!$B$20-O646-F646))</x:f>
        <x:v>0</x:v>
      </x:c>
      <x:c r="Q646" s="50" t="n">
        <x:f>(C646-E646-F646)+(G646-P646)</x:f>
        <x:v>0</x:v>
      </x:c>
    </x:row>
    <x:row r="647">
      <x:c r="A647" s="41" t="n">
        <x:f>IF(B647=1,A646+1,A646)</x:f>
        <x:v>2051</x:v>
      </x:c>
      <x:c r="B647" s="41" t="n">
        <x:f>IF(B646=26,1,B646+1)</x:f>
        <x:v>22</x:v>
      </x:c>
      <x:c r="C647" s="48" t="n">
        <x:f>Inputs!$F$27</x:f>
        <x:v>600</x:v>
      </x:c>
      <x:c r="D647" s="50" t="n">
        <x:f>IF(B647=1,0,D646+E646)</x:f>
        <x:v>8000</x:v>
      </x:c>
      <x:c r="E647" s="50" t="n">
        <x:f>MIN(C647,MAX(0,Inputs!$B$7-D647))</x:f>
        <x:v>0</x:v>
      </x:c>
      <x:c r="F647" s="50" t="n">
        <x:f>MIN(C647-E647,MAX(0,Inputs!$B$20-O647))</x:f>
        <x:v>600</x:v>
      </x:c>
      <x:c r="G647" s="50" t="n">
        <x:f>0</x:f>
        <x:v>0</x:v>
      </x:c>
      <x:c r="H647" s="41" t="n">
        <x:f>0</x:f>
        <x:v>0</x:v>
      </x:c>
      <x:c r="I647" s="50" t="n">
        <x:f>(I646*(1+Inputs!$B$12))+E647</x:f>
        <x:v>510472.27362091833</x:v>
      </x:c>
      <x:c r="J647" s="50" t="n">
        <x:f>(J646*(1+Inputs!$B$12))+F647+P647</x:f>
        <x:v>600458.7869251999</x:v>
      </x:c>
      <x:c r="K647" s="50" t="n">
        <x:f>(K646*(1+Inputs!$B$12))*(1-H647)</x:f>
        <x:v>0</x:v>
      </x:c>
      <x:c r="L647" s="50" t="n">
        <x:f>L646*(1+Inputs!$B$13)+Q647</x:f>
        <x:v>42233.66149070583</x:v>
      </x:c>
      <x:c r="M647" s="50" t="n">
        <x:f>I647+J647+L647</x:f>
        <x:v>1153164.722036824</x:v>
      </x:c>
      <x:c r="N647" s="50" t="n">
        <x:f>F647+P647</x:f>
        <x:v>600</x:v>
      </x:c>
      <x:c r="O647" s="50" t="n">
        <x:f>IF(B647=1,0,O646+F646+P646)</x:f>
        <x:v>7857.142857146444</x:v>
      </x:c>
      <x:c r="P647" s="50" t="n">
        <x:f>MIN(G647,MAX(0,Inputs!$B$20-O647-F647))</x:f>
        <x:v>0</x:v>
      </x:c>
      <x:c r="Q647" s="50" t="n">
        <x:f>(C647-E647-F647)+(G647-P647)</x:f>
        <x:v>0</x:v>
      </x:c>
    </x:row>
    <x:row r="648">
      <x:c r="A648" s="41" t="n">
        <x:f>IF(B648=1,A647+1,A647)</x:f>
        <x:v>2051</x:v>
      </x:c>
      <x:c r="B648" s="41" t="n">
        <x:f>IF(B647=26,1,B647+1)</x:f>
        <x:v>23</x:v>
      </x:c>
      <x:c r="C648" s="48" t="n">
        <x:f>Inputs!$F$27</x:f>
        <x:v>600</x:v>
      </x:c>
      <x:c r="D648" s="50" t="n">
        <x:f>IF(B648=1,0,D647+E647)</x:f>
        <x:v>8000</x:v>
      </x:c>
      <x:c r="E648" s="50" t="n">
        <x:f>MIN(C648,MAX(0,Inputs!$B$7-D648))</x:f>
        <x:v>0</x:v>
      </x:c>
      <x:c r="F648" s="50" t="n">
        <x:f>MIN(C648-E648,MAX(0,Inputs!$B$20-O648))</x:f>
        <x:v>600</x:v>
      </x:c>
      <x:c r="G648" s="50" t="n">
        <x:f>0</x:f>
        <x:v>0</x:v>
      </x:c>
      <x:c r="H648" s="41" t="n">
        <x:f>0</x:f>
        <x:v>0</x:v>
      </x:c>
      <x:c r="I648" s="50" t="n">
        <x:f>(I647*(1+Inputs!$B$12))+E648</x:f>
        <x:v>511431.0970553305</x:v>
      </x:c>
      <x:c r="J648" s="50" t="n">
        <x:f>(J647*(1+Inputs!$B$12))+F648+P648</x:f>
        <x:v>602186.6326203613</x:v>
      </x:c>
      <x:c r="K648" s="50" t="n">
        <x:f>(K647*(1+Inputs!$B$12))*(1-H648)</x:f>
        <x:v>0</x:v>
      </x:c>
      <x:c r="L648" s="50" t="n">
        <x:f>L647*(1+Inputs!$B$13)+Q648</x:f>
        <x:v>42307.55580060554</x:v>
      </x:c>
      <x:c r="M648" s="50" t="n">
        <x:f>I648+J648+L648</x:f>
        <x:v>1155925.2854762974</x:v>
      </x:c>
      <x:c r="N648" s="50" t="n">
        <x:f>F648+P648</x:f>
        <x:v>600</x:v>
      </x:c>
      <x:c r="O648" s="50" t="n">
        <x:f>IF(B648=1,0,O647+F647+P647)</x:f>
        <x:v>8457.142857146444</x:v>
      </x:c>
      <x:c r="P648" s="50" t="n">
        <x:f>MIN(G648,MAX(0,Inputs!$B$20-O648-F648))</x:f>
        <x:v>0</x:v>
      </x:c>
      <x:c r="Q648" s="50" t="n">
        <x:f>(C648-E648-F648)+(G648-P648)</x:f>
        <x:v>0</x:v>
      </x:c>
    </x:row>
    <x:row r="649">
      <x:c r="A649" s="41" t="n">
        <x:f>IF(B649=1,A648+1,A648)</x:f>
        <x:v>2051</x:v>
      </x:c>
      <x:c r="B649" s="41" t="n">
        <x:f>IF(B648=26,1,B648+1)</x:f>
        <x:v>24</x:v>
      </x:c>
      <x:c r="C649" s="48" t="n">
        <x:f>Inputs!$F$27</x:f>
        <x:v>600</x:v>
      </x:c>
      <x:c r="D649" s="50" t="n">
        <x:f>IF(B649=1,0,D648+E648)</x:f>
        <x:v>8000</x:v>
      </x:c>
      <x:c r="E649" s="50" t="n">
        <x:f>MIN(C649,MAX(0,Inputs!$B$7-D649))</x:f>
        <x:v>0</x:v>
      </x:c>
      <x:c r="F649" s="50" t="n">
        <x:f>MIN(C649-E649,MAX(0,Inputs!$B$20-O649))</x:f>
        <x:v>600</x:v>
      </x:c>
      <x:c r="G649" s="50" t="n">
        <x:f>0</x:f>
        <x:v>0</x:v>
      </x:c>
      <x:c r="H649" s="41" t="n">
        <x:f>0</x:f>
        <x:v>0</x:v>
      </x:c>
      <x:c r="I649" s="50" t="n">
        <x:f>(I648*(1+Inputs!$B$12))+E649</x:f>
        <x:v>512391.72145411605</x:v>
      </x:c>
      <x:c r="J649" s="50" t="n">
        <x:f>(J648*(1+Inputs!$B$12))+F649+P649</x:f>
        <x:v>603917.7237394745</x:v>
      </x:c>
      <x:c r="K649" s="50" t="n">
        <x:f>(K648*(1+Inputs!$B$12))*(1-H649)</x:f>
        <x:v>0</x:v>
      </x:c>
      <x:c r="L649" s="50" t="n">
        <x:f>L648*(1+Inputs!$B$13)+Q649</x:f>
        <x:v>42381.57940000664</x:v>
      </x:c>
      <x:c r="M649" s="50" t="n">
        <x:f>I649+J649+L649</x:f>
        <x:v>1158691.0245935973</x:v>
      </x:c>
      <x:c r="N649" s="50" t="n">
        <x:f>F649+P649</x:f>
        <x:v>600</x:v>
      </x:c>
      <x:c r="O649" s="50" t="n">
        <x:f>IF(B649=1,0,O648+F648+P648)</x:f>
        <x:v>9057.142857146444</x:v>
      </x:c>
      <x:c r="P649" s="50" t="n">
        <x:f>MIN(G649,MAX(0,Inputs!$B$20-O649-F649))</x:f>
        <x:v>0</x:v>
      </x:c>
      <x:c r="Q649" s="50" t="n">
        <x:f>(C649-E649-F649)+(G649-P649)</x:f>
        <x:v>0</x:v>
      </x:c>
    </x:row>
    <x:row r="650">
      <x:c r="A650" s="41" t="n">
        <x:f>IF(B650=1,A649+1,A649)</x:f>
        <x:v>2051</x:v>
      </x:c>
      <x:c r="B650" s="41" t="n">
        <x:f>IF(B649=26,1,B649+1)</x:f>
        <x:v>25</x:v>
      </x:c>
      <x:c r="C650" s="48" t="n">
        <x:f>Inputs!$F$27</x:f>
        <x:v>600</x:v>
      </x:c>
      <x:c r="D650" s="50" t="n">
        <x:f>IF(B650=1,0,D649+E649)</x:f>
        <x:v>8000</x:v>
      </x:c>
      <x:c r="E650" s="50" t="n">
        <x:f>MIN(C650,MAX(0,Inputs!$B$7-D650))</x:f>
        <x:v>0</x:v>
      </x:c>
      <x:c r="F650" s="50" t="n">
        <x:f>MIN(C650-E650,MAX(0,Inputs!$B$20-O650))</x:f>
        <x:v>600</x:v>
      </x:c>
      <x:c r="G650" s="50" t="n">
        <x:f>0</x:f>
        <x:v>0</x:v>
      </x:c>
      <x:c r="H650" s="41" t="n">
        <x:f>0</x:f>
        <x:v>0</x:v>
      </x:c>
      <x:c r="I650" s="50" t="n">
        <x:f>(I649*(1+Inputs!$B$12))+E650</x:f>
        <x:v>513354.1502000382</x:v>
      </x:c>
      <x:c r="J650" s="50" t="n">
        <x:f>(J649*(1+Inputs!$B$12))+F650+P650</x:f>
        <x:v>605652.0663784408</x:v>
      </x:c>
      <x:c r="K650" s="50" t="n">
        <x:f>(K649*(1+Inputs!$B$12))*(1-H650)</x:f>
        <x:v>0</x:v>
      </x:c>
      <x:c r="L650" s="50" t="n">
        <x:f>L649*(1+Inputs!$B$13)+Q650</x:f>
        <x:v>42455.732515121046</x:v>
      </x:c>
      <x:c r="M650" s="50" t="n">
        <x:f>I650+J650+L650</x:f>
        <x:v>1161461.9490936</x:v>
      </x:c>
      <x:c r="N650" s="50" t="n">
        <x:f>F650+P650</x:f>
        <x:v>600</x:v>
      </x:c>
      <x:c r="O650" s="50" t="n">
        <x:f>IF(B650=1,0,O649+F649+P649)</x:f>
        <x:v>9657.142857146444</x:v>
      </x:c>
      <x:c r="P650" s="50" t="n">
        <x:f>MIN(G650,MAX(0,Inputs!$B$20-O650-F650))</x:f>
        <x:v>0</x:v>
      </x:c>
      <x:c r="Q650" s="50" t="n">
        <x:f>(C650-E650-F650)+(G650-P650)</x:f>
        <x:v>0</x:v>
      </x:c>
    </x:row>
    <x:row r="651">
      <x:c r="A651" s="41" t="n">
        <x:f>IF(B651=1,A650+1,A650)</x:f>
        <x:v>2051</x:v>
      </x:c>
      <x:c r="B651" s="41" t="n">
        <x:f>IF(B650=26,1,B650+1)</x:f>
        <x:v>26</x:v>
      </x:c>
      <x:c r="C651" s="48" t="n">
        <x:f>Inputs!$F$27</x:f>
        <x:v>600</x:v>
      </x:c>
      <x:c r="D651" s="50" t="n">
        <x:f>IF(B651=1,0,D650+E650)</x:f>
        <x:v>8000</x:v>
      </x:c>
      <x:c r="E651" s="50" t="n">
        <x:f>MIN(C651,MAX(0,Inputs!$B$7-D651))</x:f>
        <x:v>0</x:v>
      </x:c>
      <x:c r="F651" s="50" t="n">
        <x:f>MIN(C651-E651,MAX(0,Inputs!$B$20-O651))</x:f>
        <x:v>600</x:v>
      </x:c>
      <x:c r="G651" s="50" t="n">
        <x:f>0</x:f>
        <x:v>0</x:v>
      </x:c>
      <x:c r="H651" s="41" t="n">
        <x:f>IF(A651=Inputs!$B$8,1,0)</x:f>
        <x:v>0</x:v>
      </x:c>
      <x:c r="I651" s="50" t="n">
        <x:f>(I650*(1+Inputs!$B$12))+E651</x:f>
        <x:v>514318.3866822141</x:v>
      </x:c>
      <x:c r="J651" s="50" t="n">
        <x:f>(J650*(1+Inputs!$B$12))+F651+P651</x:f>
        <x:v>607389.6666446113</x:v>
      </x:c>
      <x:c r="K651" s="50" t="n">
        <x:f>(K650*(1+Inputs!$B$12))*(1-H651)</x:f>
        <x:v>0</x:v>
      </x:c>
      <x:c r="L651" s="50" t="n">
        <x:f>L650*(1+Inputs!$B$13)+Q651</x:f>
        <x:v>42530.01537255651</x:v>
      </x:c>
      <x:c r="M651" s="50" t="n">
        <x:f>I651+J651+L651</x:f>
        <x:v>1164238.0686993818</x:v>
      </x:c>
      <x:c r="N651" s="50" t="n">
        <x:f>F651+P651</x:f>
        <x:v>600</x:v>
      </x:c>
      <x:c r="O651" s="50" t="n">
        <x:f>IF(B651=1,0,O650+F650+P650)</x:f>
        <x:v>10257.142857146444</x:v>
      </x:c>
      <x:c r="P651" s="50" t="n">
        <x:f>MIN(G651,MAX(0,Inputs!$B$20-O651-F651))</x:f>
        <x:v>0</x:v>
      </x:c>
      <x:c r="Q651" s="50" t="n">
        <x:f>(C651-E651-F651)+(G651-P651)</x:f>
        <x:v>0</x:v>
      </x:c>
    </x:row>
    <x:row r="652">
      <x:c r="A652" s="41" t="n">
        <x:f>IF(B652=1,A651+1,A651)</x:f>
        <x:v>2052</x:v>
      </x:c>
      <x:c r="B652" s="41" t="n">
        <x:f>IF(B651=26,1,B651+1)</x:f>
        <x:v>1</x:v>
      </x:c>
      <x:c r="C652" s="48" t="n">
        <x:f>Inputs!$F$28</x:f>
        <x:v>600</x:v>
      </x:c>
      <x:c r="D652" s="50" t="n">
        <x:f>IF(B652=1,0,D651+E651)</x:f>
        <x:v>0</x:v>
      </x:c>
      <x:c r="E652" s="50" t="n">
        <x:f>MIN(C652,MAX(0,Inputs!$B$7-D652))</x:f>
        <x:v>600</x:v>
      </x:c>
      <x:c r="F652" s="50" t="n">
        <x:f>MIN(C652-E652,MAX(0,Inputs!$B$20-O652))</x:f>
        <x:v>0</x:v>
      </x:c>
      <x:c r="G652" s="50" t="n">
        <x:f>0</x:f>
        <x:v>0</x:v>
      </x:c>
      <x:c r="H652" s="41" t="n">
        <x:f>0</x:f>
        <x:v>0</x:v>
      </x:c>
      <x:c r="I652" s="50" t="n">
        <x:f>(I651*(1+Inputs!$B$12))+E652</x:f>
        <x:v>515884.4342961266</x:v>
      </x:c>
      <x:c r="J652" s="50" t="n">
        <x:f>(J651*(1+Inputs!$B$12))+F652+P652</x:f>
        <x:v>608530.5306568086</x:v>
      </x:c>
      <x:c r="K652" s="50" t="n">
        <x:f>(K651*(1+Inputs!$B$12))*(1-H652)</x:f>
        <x:v>0</x:v>
      </x:c>
      <x:c r="L652" s="50" t="n">
        <x:f>L651*(1+Inputs!$B$13)+Q652</x:f>
        <x:v>42604.42819931724</x:v>
      </x:c>
      <x:c r="M652" s="50" t="n">
        <x:f>I652+J652+L652</x:f>
        <x:v>1167019.3931522525</x:v>
      </x:c>
      <x:c r="N652" s="50" t="n">
        <x:f>F652+P652</x:f>
        <x:v>0</x:v>
      </x:c>
      <x:c r="O652" s="50" t="n">
        <x:f>IF(B652=1,0,O651+F651+P651)</x:f>
        <x:v>0</x:v>
      </x:c>
      <x:c r="P652" s="50" t="n">
        <x:f>MIN(G652,MAX(0,Inputs!$B$20-O652-F652))</x:f>
        <x:v>0</x:v>
      </x:c>
      <x:c r="Q652" s="50" t="n">
        <x:f>(C652-E652-F652)+(G652-P652)</x:f>
        <x:v>0</x:v>
      </x:c>
    </x:row>
    <x:row r="653">
      <x:c r="A653" s="41" t="n">
        <x:f>IF(B653=1,A652+1,A652)</x:f>
        <x:v>2052</x:v>
      </x:c>
      <x:c r="B653" s="41" t="n">
        <x:f>IF(B652=26,1,B652+1)</x:f>
        <x:v>2</x:v>
      </x:c>
      <x:c r="C653" s="48" t="n">
        <x:f>Inputs!$F$28</x:f>
        <x:v>600</x:v>
      </x:c>
      <x:c r="D653" s="50" t="n">
        <x:f>IF(B653=1,0,D652+E652)</x:f>
        <x:v>600</x:v>
      </x:c>
      <x:c r="E653" s="50" t="n">
        <x:f>MIN(C653,MAX(0,Inputs!$B$7-D653))</x:f>
        <x:v>600</x:v>
      </x:c>
      <x:c r="F653" s="50" t="n">
        <x:f>MIN(C653-E653,MAX(0,Inputs!$B$20-O653))</x:f>
        <x:v>0</x:v>
      </x:c>
      <x:c r="G653" s="50" t="n">
        <x:f>0</x:f>
        <x:v>0</x:v>
      </x:c>
      <x:c r="H653" s="41" t="n">
        <x:f>0</x:f>
        <x:v>0</x:v>
      </x:c>
      <x:c r="I653" s="50" t="n">
        <x:f>(I652*(1+Inputs!$B$12))+E653</x:f>
        <x:v>517453.42342758906</x:v>
      </x:c>
      <x:c r="J653" s="50" t="n">
        <x:f>(J652*(1+Inputs!$B$12))+F653+P653</x:f>
        <x:v>609673.5375613958</x:v>
      </x:c>
      <x:c r="K653" s="50" t="n">
        <x:f>(K652*(1+Inputs!$B$12))*(1-H653)</x:f>
        <x:v>0</x:v>
      </x:c>
      <x:c r="L653" s="50" t="n">
        <x:f>L652*(1+Inputs!$B$13)+Q653</x:f>
        <x:v>42678.971222804634</x:v>
      </x:c>
      <x:c r="M653" s="50" t="n">
        <x:f>I653+J653+L653</x:f>
        <x:v>1169805.9322117895</x:v>
      </x:c>
      <x:c r="N653" s="50" t="n">
        <x:f>F653+P653</x:f>
        <x:v>0</x:v>
      </x:c>
      <x:c r="O653" s="50" t="n">
        <x:f>IF(B653=1,0,O652+F652+P652)</x:f>
        <x:v>0</x:v>
      </x:c>
      <x:c r="P653" s="50" t="n">
        <x:f>MIN(G653,MAX(0,Inputs!$B$20-O653-F653))</x:f>
        <x:v>0</x:v>
      </x:c>
      <x:c r="Q653" s="50" t="n">
        <x:f>(C653-E653-F653)+(G653-P653)</x:f>
        <x:v>0</x:v>
      </x:c>
    </x:row>
    <x:row r="654">
      <x:c r="A654" s="41" t="n">
        <x:f>IF(B654=1,A653+1,A653)</x:f>
        <x:v>2052</x:v>
      </x:c>
      <x:c r="B654" s="41" t="n">
        <x:f>IF(B653=26,1,B653+1)</x:f>
        <x:v>3</x:v>
      </x:c>
      <x:c r="C654" s="48" t="n">
        <x:f>Inputs!$F$28</x:f>
        <x:v>600</x:v>
      </x:c>
      <x:c r="D654" s="50" t="n">
        <x:f>IF(B654=1,0,D653+E653)</x:f>
        <x:v>1200</x:v>
      </x:c>
      <x:c r="E654" s="50" t="n">
        <x:f>MIN(C654,MAX(0,Inputs!$B$7-D654))</x:f>
        <x:v>600</x:v>
      </x:c>
      <x:c r="F654" s="50" t="n">
        <x:f>MIN(C654-E654,MAX(0,Inputs!$B$20-O654))</x:f>
        <x:v>0</x:v>
      </x:c>
      <x:c r="G654" s="50" t="n">
        <x:f>0</x:f>
        <x:v>0</x:v>
      </x:c>
      <x:c r="H654" s="41" t="n">
        <x:f>0</x:f>
        <x:v>0</x:v>
      </x:c>
      <x:c r="I654" s="50" t="n">
        <x:f>(I653*(1+Inputs!$B$12))+E654</x:f>
        <x:v>519025.35960167326</x:v>
      </x:c>
      <x:c r="J654" s="50" t="n">
        <x:f>(J653*(1+Inputs!$B$12))+F654+P654</x:f>
        <x:v>610818.6913833817</x:v>
      </x:c>
      <x:c r="K654" s="50" t="n">
        <x:f>(K653*(1+Inputs!$B$12))*(1-H654)</x:f>
        <x:v>0</x:v>
      </x:c>
      <x:c r="L654" s="50" t="n">
        <x:f>L653*(1+Inputs!$B$13)+Q654</x:f>
        <x:v>42753.644670817965</x:v>
      </x:c>
      <x:c r="M654" s="50" t="n">
        <x:f>I654+J654+L654</x:f>
        <x:v>1172597.695655873</x:v>
      </x:c>
      <x:c r="N654" s="50" t="n">
        <x:f>F654+P654</x:f>
        <x:v>0</x:v>
      </x:c>
      <x:c r="O654" s="50" t="n">
        <x:f>IF(B654=1,0,O653+F653+P653)</x:f>
        <x:v>0</x:v>
      </x:c>
      <x:c r="P654" s="50" t="n">
        <x:f>MIN(G654,MAX(0,Inputs!$B$20-O654-F654))</x:f>
        <x:v>0</x:v>
      </x:c>
      <x:c r="Q654" s="50" t="n">
        <x:f>(C654-E654-F654)+(G654-P654)</x:f>
        <x:v>0</x:v>
      </x:c>
    </x:row>
    <x:row r="655">
      <x:c r="A655" s="41" t="n">
        <x:f>IF(B655=1,A654+1,A654)</x:f>
        <x:v>2052</x:v>
      </x:c>
      <x:c r="B655" s="41" t="n">
        <x:f>IF(B654=26,1,B654+1)</x:f>
        <x:v>4</x:v>
      </x:c>
      <x:c r="C655" s="48" t="n">
        <x:f>Inputs!$F$28</x:f>
        <x:v>600</x:v>
      </x:c>
      <x:c r="D655" s="50" t="n">
        <x:f>IF(B655=1,0,D654+E654)</x:f>
        <x:v>1800</x:v>
      </x:c>
      <x:c r="E655" s="50" t="n">
        <x:f>MIN(C655,MAX(0,Inputs!$B$7-D655))</x:f>
        <x:v>600</x:v>
      </x:c>
      <x:c r="F655" s="50" t="n">
        <x:f>MIN(C655-E655,MAX(0,Inputs!$B$20-O655))</x:f>
        <x:v>0</x:v>
      </x:c>
      <x:c r="G655" s="50" t="n">
        <x:f>0</x:f>
        <x:v>0</x:v>
      </x:c>
      <x:c r="H655" s="41" t="n">
        <x:f>0</x:f>
        <x:v>0</x:v>
      </x:c>
      <x:c r="I655" s="50" t="n">
        <x:f>(I654*(1+Inputs!$B$12))+E655</x:f>
        <x:v>520600.2483538288</x:v>
      </x:c>
      <x:c r="J655" s="50" t="n">
        <x:f>(J654*(1+Inputs!$B$12))+F655+P655</x:f>
        <x:v>611965.9961553355</x:v>
      </x:c>
      <x:c r="K655" s="50" t="n">
        <x:f>(K654*(1+Inputs!$B$12))*(1-H655)</x:f>
        <x:v>0</x:v>
      </x:c>
      <x:c r="L655" s="50" t="n">
        <x:f>L654*(1+Inputs!$B$13)+Q655</x:f>
        <x:v>42828.44877155507</x:v>
      </x:c>
      <x:c r="M655" s="50" t="n">
        <x:f>I655+J655+L655</x:f>
        <x:v>1175394.6932807192</x:v>
      </x:c>
      <x:c r="N655" s="50" t="n">
        <x:f>F655+P655</x:f>
        <x:v>0</x:v>
      </x:c>
      <x:c r="O655" s="50" t="n">
        <x:f>IF(B655=1,0,O654+F654+P654)</x:f>
        <x:v>0</x:v>
      </x:c>
      <x:c r="P655" s="50" t="n">
        <x:f>MIN(G655,MAX(0,Inputs!$B$20-O655-F655))</x:f>
        <x:v>0</x:v>
      </x:c>
      <x:c r="Q655" s="50" t="n">
        <x:f>(C655-E655-F655)+(G655-P655)</x:f>
        <x:v>0</x:v>
      </x:c>
    </x:row>
    <x:row r="656">
      <x:c r="A656" s="41" t="n">
        <x:f>IF(B656=1,A655+1,A655)</x:f>
        <x:v>2052</x:v>
      </x:c>
      <x:c r="B656" s="41" t="n">
        <x:f>IF(B655=26,1,B655+1)</x:f>
        <x:v>5</x:v>
      </x:c>
      <x:c r="C656" s="48" t="n">
        <x:f>Inputs!$F$28</x:f>
        <x:v>600</x:v>
      </x:c>
      <x:c r="D656" s="50" t="n">
        <x:f>IF(B656=1,0,D655+E655)</x:f>
        <x:v>2400</x:v>
      </x:c>
      <x:c r="E656" s="50" t="n">
        <x:f>MIN(C656,MAX(0,Inputs!$B$7-D656))</x:f>
        <x:v>600</x:v>
      </x:c>
      <x:c r="F656" s="50" t="n">
        <x:f>MIN(C656-E656,MAX(0,Inputs!$B$20-O656))</x:f>
        <x:v>0</x:v>
      </x:c>
      <x:c r="G656" s="50" t="n">
        <x:f>0</x:f>
        <x:v>0</x:v>
      </x:c>
      <x:c r="H656" s="41" t="n">
        <x:f>0</x:f>
        <x:v>0</x:v>
      </x:c>
      <x:c r="I656" s="50" t="n">
        <x:f>(I655*(1+Inputs!$B$12))+E656</x:f>
        <x:v>522178.0952299025</x:v>
      </x:c>
      <x:c r="J656" s="50" t="n">
        <x:f>(J655*(1+Inputs!$B$12))+F656+P656</x:f>
        <x:v>613115.4559174005</x:v>
      </x:c>
      <x:c r="K656" s="50" t="n">
        <x:f>(K655*(1+Inputs!$B$12))*(1-H656)</x:f>
        <x:v>0</x:v>
      </x:c>
      <x:c r="L656" s="50" t="n">
        <x:f>L655*(1+Inputs!$B$13)+Q656</x:f>
        <x:v>42903.38375361306</x:v>
      </x:c>
      <x:c r="M656" s="50" t="n">
        <x:f>I656+J656+L656</x:f>
        <x:v>1178196.9349009162</x:v>
      </x:c>
      <x:c r="N656" s="50" t="n">
        <x:f>F656+P656</x:f>
        <x:v>0</x:v>
      </x:c>
      <x:c r="O656" s="50" t="n">
        <x:f>IF(B656=1,0,O655+F655+P655)</x:f>
        <x:v>0</x:v>
      </x:c>
      <x:c r="P656" s="50" t="n">
        <x:f>MIN(G656,MAX(0,Inputs!$B$20-O656-F656))</x:f>
        <x:v>0</x:v>
      </x:c>
      <x:c r="Q656" s="50" t="n">
        <x:f>(C656-E656-F656)+(G656-P656)</x:f>
        <x:v>0</x:v>
      </x:c>
    </x:row>
    <x:row r="657">
      <x:c r="A657" s="41" t="n">
        <x:f>IF(B657=1,A656+1,A656)</x:f>
        <x:v>2052</x:v>
      </x:c>
      <x:c r="B657" s="41" t="n">
        <x:f>IF(B656=26,1,B656+1)</x:f>
        <x:v>6</x:v>
      </x:c>
      <x:c r="C657" s="48" t="n">
        <x:f>Inputs!$F$28</x:f>
        <x:v>600</x:v>
      </x:c>
      <x:c r="D657" s="50" t="n">
        <x:f>IF(B657=1,0,D656+E656)</x:f>
        <x:v>3000</x:v>
      </x:c>
      <x:c r="E657" s="50" t="n">
        <x:f>MIN(C657,MAX(0,Inputs!$B$7-D657))</x:f>
        <x:v>600</x:v>
      </x:c>
      <x:c r="F657" s="50" t="n">
        <x:f>MIN(C657-E657,MAX(0,Inputs!$B$20-O657))</x:f>
        <x:v>0</x:v>
      </x:c>
      <x:c r="G657" s="50" t="n">
        <x:f>0</x:f>
        <x:v>0</x:v>
      </x:c>
      <x:c r="H657" s="41" t="n">
        <x:f>0</x:f>
        <x:v>0</x:v>
      </x:c>
      <x:c r="I657" s="50" t="n">
        <x:f>(I656*(1+Inputs!$B$12))+E657</x:f>
        <x:v>523758.905786158</x:v>
      </x:c>
      <x:c r="J657" s="50" t="n">
        <x:f>(J656*(1+Inputs!$B$12))+F657+P657</x:f>
        <x:v>614267.0747173091</x:v>
      </x:c>
      <x:c r="K657" s="50" t="n">
        <x:f>(K656*(1+Inputs!$B$12))*(1-H657)</x:f>
        <x:v>0</x:v>
      </x:c>
      <x:c r="L657" s="50" t="n">
        <x:f>L656*(1+Inputs!$B$13)+Q657</x:f>
        <x:v>42978.44984598901</x:v>
      </x:c>
      <x:c r="M657" s="50" t="n">
        <x:f>I657+J657+L657</x:f>
        <x:v>1181004.4303494561</x:v>
      </x:c>
      <x:c r="N657" s="50" t="n">
        <x:f>F657+P657</x:f>
        <x:v>0</x:v>
      </x:c>
      <x:c r="O657" s="50" t="n">
        <x:f>IF(B657=1,0,O656+F656+P656)</x:f>
        <x:v>0</x:v>
      </x:c>
      <x:c r="P657" s="50" t="n">
        <x:f>MIN(G657,MAX(0,Inputs!$B$20-O657-F657))</x:f>
        <x:v>0</x:v>
      </x:c>
      <x:c r="Q657" s="50" t="n">
        <x:f>(C657-E657-F657)+(G657-P657)</x:f>
        <x:v>0</x:v>
      </x:c>
    </x:row>
    <x:row r="658">
      <x:c r="A658" s="41" t="n">
        <x:f>IF(B658=1,A657+1,A657)</x:f>
        <x:v>2052</x:v>
      </x:c>
      <x:c r="B658" s="41" t="n">
        <x:f>IF(B657=26,1,B657+1)</x:f>
        <x:v>7</x:v>
      </x:c>
      <x:c r="C658" s="48" t="n">
        <x:f>Inputs!$F$28</x:f>
        <x:v>600</x:v>
      </x:c>
      <x:c r="D658" s="50" t="n">
        <x:f>IF(B658=1,0,D657+E657)</x:f>
        <x:v>3600</x:v>
      </x:c>
      <x:c r="E658" s="50" t="n">
        <x:f>MIN(C658,MAX(0,Inputs!$B$7-D658))</x:f>
        <x:v>600</x:v>
      </x:c>
      <x:c r="F658" s="50" t="n">
        <x:f>MIN(C658-E658,MAX(0,Inputs!$B$20-O658))</x:f>
        <x:v>0</x:v>
      </x:c>
      <x:c r="G658" s="50" t="n">
        <x:f>0</x:f>
        <x:v>0</x:v>
      </x:c>
      <x:c r="H658" s="41" t="n">
        <x:f>0</x:f>
        <x:v>0</x:v>
      </x:c>
      <x:c r="I658" s="50" t="n">
        <x:f>(I657*(1+Inputs!$B$12))+E658</x:f>
        <x:v>525342.6855892953</x:v>
      </x:c>
      <x:c r="J658" s="50" t="n">
        <x:f>(J657*(1+Inputs!$B$12))+F658+P658</x:f>
        <x:v>615420.8566103961</x:v>
      </x:c>
      <x:c r="K658" s="50" t="n">
        <x:f>(K657*(1+Inputs!$B$12))*(1-H658)</x:f>
        <x:v>0</x:v>
      </x:c>
      <x:c r="L658" s="50" t="n">
        <x:f>L657*(1+Inputs!$B$13)+Q658</x:f>
        <x:v>43053.64727808065</x:v>
      </x:c>
      <x:c r="M658" s="50" t="n">
        <x:f>I658+J658+L658</x:f>
        <x:v>1183817.189477772</x:v>
      </x:c>
      <x:c r="N658" s="50" t="n">
        <x:f>F658+P658</x:f>
        <x:v>0</x:v>
      </x:c>
      <x:c r="O658" s="50" t="n">
        <x:f>IF(B658=1,0,O657+F657+P657)</x:f>
        <x:v>0</x:v>
      </x:c>
      <x:c r="P658" s="50" t="n">
        <x:f>MIN(G658,MAX(0,Inputs!$B$20-O658-F658))</x:f>
        <x:v>0</x:v>
      </x:c>
      <x:c r="Q658" s="50" t="n">
        <x:f>(C658-E658-F658)+(G658-P658)</x:f>
        <x:v>0</x:v>
      </x:c>
    </x:row>
    <x:row r="659">
      <x:c r="A659" s="41" t="n">
        <x:f>IF(B659=1,A658+1,A658)</x:f>
        <x:v>2052</x:v>
      </x:c>
      <x:c r="B659" s="41" t="n">
        <x:f>IF(B658=26,1,B658+1)</x:f>
        <x:v>8</x:v>
      </x:c>
      <x:c r="C659" s="48" t="n">
        <x:f>Inputs!$F$28</x:f>
        <x:v>600</x:v>
      </x:c>
      <x:c r="D659" s="50" t="n">
        <x:f>IF(B659=1,0,D658+E658)</x:f>
        <x:v>4200</x:v>
      </x:c>
      <x:c r="E659" s="50" t="n">
        <x:f>MIN(C659,MAX(0,Inputs!$B$7-D659))</x:f>
        <x:v>600</x:v>
      </x:c>
      <x:c r="F659" s="50" t="n">
        <x:f>MIN(C659-E659,MAX(0,Inputs!$B$20-O659))</x:f>
        <x:v>0</x:v>
      </x:c>
      <x:c r="G659" s="50" t="n">
        <x:f>0</x:f>
        <x:v>0</x:v>
      </x:c>
      <x:c r="H659" s="41" t="n">
        <x:f>0</x:f>
        <x:v>0</x:v>
      </x:c>
      <x:c r="I659" s="50" t="n">
        <x:f>(I658*(1+Inputs!$B$12))+E659</x:f>
        <x:v>526929.4402164705</x:v>
      </x:c>
      <x:c r="J659" s="50" t="n">
        <x:f>(J658*(1+Inputs!$B$12))+F659+P659</x:f>
        <x:v>616576.8056596137</x:v>
      </x:c>
      <x:c r="K659" s="50" t="n">
        <x:f>(K658*(1+Inputs!$B$12))*(1-H659)</x:f>
        <x:v>0</x:v>
      </x:c>
      <x:c r="L659" s="50" t="n">
        <x:f>L658*(1+Inputs!$B$13)+Q659</x:f>
        <x:v>43128.97627968709</x:v>
      </x:c>
      <x:c r="M659" s="50" t="n">
        <x:f>I659+J659+L659</x:f>
        <x:v>1186635.2221557712</x:v>
      </x:c>
      <x:c r="N659" s="50" t="n">
        <x:f>F659+P659</x:f>
        <x:v>0</x:v>
      </x:c>
      <x:c r="O659" s="50" t="n">
        <x:f>IF(B659=1,0,O658+F658+P658)</x:f>
        <x:v>0</x:v>
      </x:c>
      <x:c r="P659" s="50" t="n">
        <x:f>MIN(G659,MAX(0,Inputs!$B$20-O659-F659))</x:f>
        <x:v>0</x:v>
      </x:c>
      <x:c r="Q659" s="50" t="n">
        <x:f>(C659-E659-F659)+(G659-P659)</x:f>
        <x:v>0</x:v>
      </x:c>
    </x:row>
    <x:row r="660">
      <x:c r="A660" s="41" t="n">
        <x:f>IF(B660=1,A659+1,A659)</x:f>
        <x:v>2052</x:v>
      </x:c>
      <x:c r="B660" s="41" t="n">
        <x:f>IF(B659=26,1,B659+1)</x:f>
        <x:v>9</x:v>
      </x:c>
      <x:c r="C660" s="48" t="n">
        <x:f>Inputs!$F$28</x:f>
        <x:v>600</x:v>
      </x:c>
      <x:c r="D660" s="50" t="n">
        <x:f>IF(B660=1,0,D659+E659)</x:f>
        <x:v>4800</x:v>
      </x:c>
      <x:c r="E660" s="50" t="n">
        <x:f>MIN(C660,MAX(0,Inputs!$B$7-D660))</x:f>
        <x:v>600</x:v>
      </x:c>
      <x:c r="F660" s="50" t="n">
        <x:f>MIN(C660-E660,MAX(0,Inputs!$B$20-O660))</x:f>
        <x:v>0</x:v>
      </x:c>
      <x:c r="G660" s="50" t="n">
        <x:f>SUM(N626:N651)*Inputs!$B$6</x:f>
        <x:v>3257.1428571439333</x:v>
      </x:c>
      <x:c r="H660" s="41" t="n">
        <x:f>0</x:f>
        <x:v>0</x:v>
      </x:c>
      <x:c r="I660" s="50" t="n">
        <x:f>(I659*(1+Inputs!$B$12))+E660</x:f>
        <x:v>528519.175255315</x:v>
      </x:c>
      <x:c r="J660" s="50" t="n">
        <x:f>(J659*(1+Inputs!$B$12))+F660+P660</x:f>
        <x:v>620992.0687926895</x:v>
      </x:c>
      <x:c r="K660" s="50" t="n">
        <x:f>(K659*(1+Inputs!$B$12))*(1-H660)</x:f>
        <x:v>0</x:v>
      </x:c>
      <x:c r="L660" s="50" t="n">
        <x:f>L659*(1+Inputs!$B$13)+Q660</x:f>
        <x:v>43204.43708100951</x:v>
      </x:c>
      <x:c r="M660" s="50" t="n">
        <x:f>I660+J660+L660</x:f>
        <x:v>1192715.6811290141</x:v>
      </x:c>
      <x:c r="N660" s="50" t="n">
        <x:f>F660+P660</x:f>
        <x:v>3257.1428571439333</x:v>
      </x:c>
      <x:c r="O660" s="50" t="n">
        <x:f>IF(B660=1,0,O659+F659+P659)</x:f>
        <x:v>0</x:v>
      </x:c>
      <x:c r="P660" s="50" t="n">
        <x:f>MIN(G660,MAX(0,Inputs!$B$20-O660-F660))</x:f>
        <x:v>3257.1428571439333</x:v>
      </x:c>
      <x:c r="Q660" s="50" t="n">
        <x:f>(C660-E660-F660)+(G660-P660)</x:f>
        <x:v>0</x:v>
      </x:c>
    </x:row>
    <x:row r="661">
      <x:c r="A661" s="41" t="n">
        <x:f>IF(B661=1,A660+1,A660)</x:f>
        <x:v>2052</x:v>
      </x:c>
      <x:c r="B661" s="41" t="n">
        <x:f>IF(B660=26,1,B660+1)</x:f>
        <x:v>10</x:v>
      </x:c>
      <x:c r="C661" s="48" t="n">
        <x:f>Inputs!$F$28</x:f>
        <x:v>600</x:v>
      </x:c>
      <x:c r="D661" s="50" t="n">
        <x:f>IF(B661=1,0,D660+E660)</x:f>
        <x:v>5400</x:v>
      </x:c>
      <x:c r="E661" s="50" t="n">
        <x:f>MIN(C661,MAX(0,Inputs!$B$7-D661))</x:f>
        <x:v>600</x:v>
      </x:c>
      <x:c r="F661" s="50" t="n">
        <x:f>MIN(C661-E661,MAX(0,Inputs!$B$20-O661))</x:f>
        <x:v>0</x:v>
      </x:c>
      <x:c r="G661" s="50" t="n">
        <x:f>0</x:f>
        <x:v>0</x:v>
      </x:c>
      <x:c r="H661" s="41" t="n">
        <x:f>0</x:f>
        <x:v>0</x:v>
      </x:c>
      <x:c r="I661" s="50" t="n">
        <x:f>(I660*(1+Inputs!$B$12))+E661</x:f>
        <x:v>530111.8963039558</x:v>
      </x:c>
      <x:c r="J661" s="50" t="n">
        <x:f>(J660*(1+Inputs!$B$12))+F661+P661</x:f>
        <x:v>622158.4822864509</x:v>
      </x:c>
      <x:c r="K661" s="50" t="n">
        <x:f>(K660*(1+Inputs!$B$12))*(1-H661)</x:f>
        <x:v>0</x:v>
      </x:c>
      <x:c r="L661" s="50" t="n">
        <x:f>L660*(1+Inputs!$B$13)+Q661</x:f>
        <x:v>43280.02991265186</x:v>
      </x:c>
      <x:c r="M661" s="50" t="n">
        <x:f>I661+J661+L661</x:f>
        <x:v>1195550.4085030586</x:v>
      </x:c>
      <x:c r="N661" s="50" t="n">
        <x:f>F661+P661</x:f>
        <x:v>0</x:v>
      </x:c>
      <x:c r="O661" s="50" t="n">
        <x:f>IF(B661=1,0,O660+F660+P660)</x:f>
        <x:v>3257.1428571439333</x:v>
      </x:c>
      <x:c r="P661" s="50" t="n">
        <x:f>MIN(G661,MAX(0,Inputs!$B$20-O661-F661))</x:f>
        <x:v>0</x:v>
      </x:c>
      <x:c r="Q661" s="50" t="n">
        <x:f>(C661-E661-F661)+(G661-P661)</x:f>
        <x:v>0</x:v>
      </x:c>
    </x:row>
    <x:row r="662">
      <x:c r="A662" s="41" t="n">
        <x:f>IF(B662=1,A661+1,A661)</x:f>
        <x:v>2052</x:v>
      </x:c>
      <x:c r="B662" s="41" t="n">
        <x:f>IF(B661=26,1,B661+1)</x:f>
        <x:v>11</x:v>
      </x:c>
      <x:c r="C662" s="48" t="n">
        <x:f>Inputs!$F$28</x:f>
        <x:v>600</x:v>
      </x:c>
      <x:c r="D662" s="50" t="n">
        <x:f>IF(B662=1,0,D661+E661)</x:f>
        <x:v>6000</x:v>
      </x:c>
      <x:c r="E662" s="50" t="n">
        <x:f>MIN(C662,MAX(0,Inputs!$B$7-D662))</x:f>
        <x:v>600</x:v>
      </x:c>
      <x:c r="F662" s="50" t="n">
        <x:f>MIN(C662-E662,MAX(0,Inputs!$B$20-O662))</x:f>
        <x:v>0</x:v>
      </x:c>
      <x:c r="G662" s="50" t="n">
        <x:f>0</x:f>
        <x:v>0</x:v>
      </x:c>
      <x:c r="H662" s="41" t="n">
        <x:f>0</x:f>
        <x:v>0</x:v>
      </x:c>
      <x:c r="I662" s="50" t="n">
        <x:f>(I661*(1+Inputs!$B$12))+E662</x:f>
        <x:v>531707.6089710348</x:v>
      </x:c>
      <x:c r="J662" s="50" t="n">
        <x:f>(J661*(1+Inputs!$B$12))+F662+P662</x:f>
        <x:v>623327.0866623617</x:v>
      </x:c>
      <x:c r="K662" s="50" t="n">
        <x:f>(K661*(1+Inputs!$B$12))*(1-H662)</x:f>
        <x:v>0</x:v>
      </x:c>
      <x:c r="L662" s="50" t="n">
        <x:f>L661*(1+Inputs!$B$13)+Q662</x:f>
        <x:v>43355.755005621555</x:v>
      </x:c>
      <x:c r="M662" s="50" t="n">
        <x:f>I662+J662+L662</x:f>
        <x:v>1198390.450639018</x:v>
      </x:c>
      <x:c r="N662" s="50" t="n">
        <x:f>F662+P662</x:f>
        <x:v>0</x:v>
      </x:c>
      <x:c r="O662" s="50" t="n">
        <x:f>IF(B662=1,0,O661+F661+P661)</x:f>
        <x:v>3257.1428571439333</x:v>
      </x:c>
      <x:c r="P662" s="50" t="n">
        <x:f>MIN(G662,MAX(0,Inputs!$B$20-O662-F662))</x:f>
        <x:v>0</x:v>
      </x:c>
      <x:c r="Q662" s="50" t="n">
        <x:f>(C662-E662-F662)+(G662-P662)</x:f>
        <x:v>0</x:v>
      </x:c>
    </x:row>
    <x:row r="663">
      <x:c r="A663" s="41" t="n">
        <x:f>IF(B663=1,A662+1,A662)</x:f>
        <x:v>2052</x:v>
      </x:c>
      <x:c r="B663" s="41" t="n">
        <x:f>IF(B662=26,1,B662+1)</x:f>
        <x:v>12</x:v>
      </x:c>
      <x:c r="C663" s="48" t="n">
        <x:f>Inputs!$F$28</x:f>
        <x:v>600</x:v>
      </x:c>
      <x:c r="D663" s="50" t="n">
        <x:f>IF(B663=1,0,D662+E662)</x:f>
        <x:v>6600</x:v>
      </x:c>
      <x:c r="E663" s="50" t="n">
        <x:f>MIN(C663,MAX(0,Inputs!$B$7-D663))</x:f>
        <x:v>600</x:v>
      </x:c>
      <x:c r="F663" s="50" t="n">
        <x:f>MIN(C663-E663,MAX(0,Inputs!$B$20-O663))</x:f>
        <x:v>0</x:v>
      </x:c>
      <x:c r="G663" s="50" t="n">
        <x:f>0</x:f>
        <x:v>0</x:v>
      </x:c>
      <x:c r="H663" s="41" t="n">
        <x:f>0</x:f>
        <x:v>0</x:v>
      </x:c>
      <x:c r="I663" s="50" t="n">
        <x:f>(I662*(1+Inputs!$B$12))+E663</x:f>
        <x:v>533306.3188757284</x:v>
      </x:c>
      <x:c r="J663" s="50" t="n">
        <x:f>(J662*(1+Inputs!$B$12))+F663+P663</x:f>
        <x:v>624497.8860355704</x:v>
      </x:c>
      <x:c r="K663" s="50" t="n">
        <x:f>(K662*(1+Inputs!$B$12))*(1-H663)</x:f>
        <x:v>0</x:v>
      </x:c>
      <x:c r="L663" s="50" t="n">
        <x:f>L662*(1+Inputs!$B$13)+Q663</x:f>
        <x:v>43431.61259133021</x:v>
      </x:c>
      <x:c r="M663" s="50" t="n">
        <x:f>I663+J663+L663</x:f>
        <x:v>1201235.817502629</x:v>
      </x:c>
      <x:c r="N663" s="50" t="n">
        <x:f>F663+P663</x:f>
        <x:v>0</x:v>
      </x:c>
      <x:c r="O663" s="50" t="n">
        <x:f>IF(B663=1,0,O662+F662+P662)</x:f>
        <x:v>3257.1428571439333</x:v>
      </x:c>
      <x:c r="P663" s="50" t="n">
        <x:f>MIN(G663,MAX(0,Inputs!$B$20-O663-F663))</x:f>
        <x:v>0</x:v>
      </x:c>
      <x:c r="Q663" s="50" t="n">
        <x:f>(C663-E663-F663)+(G663-P663)</x:f>
        <x:v>0</x:v>
      </x:c>
    </x:row>
    <x:row r="664">
      <x:c r="A664" s="41" t="n">
        <x:f>IF(B664=1,A663+1,A663)</x:f>
        <x:v>2052</x:v>
      </x:c>
      <x:c r="B664" s="41" t="n">
        <x:f>IF(B663=26,1,B663+1)</x:f>
        <x:v>13</x:v>
      </x:c>
      <x:c r="C664" s="48" t="n">
        <x:f>Inputs!$F$28</x:f>
        <x:v>600</x:v>
      </x:c>
      <x:c r="D664" s="50" t="n">
        <x:f>IF(B664=1,0,D663+E663)</x:f>
        <x:v>7200</x:v>
      </x:c>
      <x:c r="E664" s="50" t="n">
        <x:f>MIN(C664,MAX(0,Inputs!$B$7-D664))</x:f>
        <x:v>600</x:v>
      </x:c>
      <x:c r="F664" s="50" t="n">
        <x:f>MIN(C664-E664,MAX(0,Inputs!$B$20-O664))</x:f>
        <x:v>0</x:v>
      </x:c>
      <x:c r="G664" s="50" t="n">
        <x:f>0</x:f>
        <x:v>0</x:v>
      </x:c>
      <x:c r="H664" s="41" t="n">
        <x:f>0</x:f>
        <x:v>0</x:v>
      </x:c>
      <x:c r="I664" s="50" t="n">
        <x:f>(I663*(1+Inputs!$B$12))+E664</x:f>
        <x:v>534908.031647768</x:v>
      </x:c>
      <x:c r="J664" s="50" t="n">
        <x:f>(J663*(1+Inputs!$B$12))+F664+P664</x:f>
        <x:v>625670.8845289546</x:v>
      </x:c>
      <x:c r="K664" s="50" t="n">
        <x:f>(K663*(1+Inputs!$B$12))*(1-H664)</x:f>
        <x:v>0</x:v>
      </x:c>
      <x:c r="L664" s="50" t="n">
        <x:f>L663*(1+Inputs!$B$13)+Q664</x:f>
        <x:v>43507.60290159432</x:v>
      </x:c>
      <x:c r="M664" s="50" t="n">
        <x:f>I664+J664+L664</x:f>
        <x:v>1204086.5190783169</x:v>
      </x:c>
      <x:c r="N664" s="50" t="n">
        <x:f>F664+P664</x:f>
        <x:v>0</x:v>
      </x:c>
      <x:c r="O664" s="50" t="n">
        <x:f>IF(B664=1,0,O663+F663+P663)</x:f>
        <x:v>3257.1428571439333</x:v>
      </x:c>
      <x:c r="P664" s="50" t="n">
        <x:f>MIN(G664,MAX(0,Inputs!$B$20-O664-F664))</x:f>
        <x:v>0</x:v>
      </x:c>
      <x:c r="Q664" s="50" t="n">
        <x:f>(C664-E664-F664)+(G664-P664)</x:f>
        <x:v>0</x:v>
      </x:c>
    </x:row>
    <x:row r="665">
      <x:c r="A665" s="41" t="n">
        <x:f>IF(B665=1,A664+1,A664)</x:f>
        <x:v>2052</x:v>
      </x:c>
      <x:c r="B665" s="41" t="n">
        <x:f>IF(B664=26,1,B664+1)</x:f>
        <x:v>14</x:v>
      </x:c>
      <x:c r="C665" s="48" t="n">
        <x:f>Inputs!$F$28</x:f>
        <x:v>600</x:v>
      </x:c>
      <x:c r="D665" s="50" t="n">
        <x:f>IF(B665=1,0,D664+E664)</x:f>
        <x:v>7800</x:v>
      </x:c>
      <x:c r="E665" s="50" t="n">
        <x:f>MIN(C665,MAX(0,Inputs!$B$7-D665))</x:f>
        <x:v>200</x:v>
      </x:c>
      <x:c r="F665" s="50" t="n">
        <x:f>MIN(C665-E665,MAX(0,Inputs!$B$20-O665))</x:f>
        <x:v>400</x:v>
      </x:c>
      <x:c r="G665" s="50" t="n">
        <x:f>0</x:f>
        <x:v>0</x:v>
      </x:c>
      <x:c r="H665" s="41" t="n">
        <x:f>0</x:f>
        <x:v>0</x:v>
      </x:c>
      <x:c r="I665" s="50" t="n">
        <x:f>(I664*(1+Inputs!$B$12))+E665</x:f>
        <x:v>536112.752927459</x:v>
      </x:c>
      <x:c r="J665" s="50" t="n">
        <x:f>(J664*(1+Inputs!$B$12))+F665+P665</x:f>
        <x:v>627246.0862731364</x:v>
      </x:c>
      <x:c r="K665" s="50" t="n">
        <x:f>(K664*(1+Inputs!$B$12))*(1-H665)</x:f>
        <x:v>0</x:v>
      </x:c>
      <x:c r="L665" s="50" t="n">
        <x:f>L664*(1+Inputs!$B$13)+Q665</x:f>
        <x:v>43583.72616863598</x:v>
      </x:c>
      <x:c r="M665" s="50" t="n">
        <x:f>I665+J665+L665</x:f>
        <x:v>1206942.5653692314</x:v>
      </x:c>
      <x:c r="N665" s="50" t="n">
        <x:f>F665+P665</x:f>
        <x:v>400</x:v>
      </x:c>
      <x:c r="O665" s="50" t="n">
        <x:f>IF(B665=1,0,O664+F664+P664)</x:f>
        <x:v>3257.1428571439333</x:v>
      </x:c>
      <x:c r="P665" s="50" t="n">
        <x:f>MIN(G665,MAX(0,Inputs!$B$20-O665-F665))</x:f>
        <x:v>0</x:v>
      </x:c>
      <x:c r="Q665" s="50" t="n">
        <x:f>(C665-E665-F665)+(G665-P665)</x:f>
        <x:v>0</x:v>
      </x:c>
    </x:row>
    <x:row r="666">
      <x:c r="A666" s="41" t="n">
        <x:f>IF(B666=1,A665+1,A665)</x:f>
        <x:v>2052</x:v>
      </x:c>
      <x:c r="B666" s="41" t="n">
        <x:f>IF(B665=26,1,B665+1)</x:f>
        <x:v>15</x:v>
      </x:c>
      <x:c r="C666" s="48" t="n">
        <x:f>Inputs!$F$28</x:f>
        <x:v>600</x:v>
      </x:c>
      <x:c r="D666" s="50" t="n">
        <x:f>IF(B666=1,0,D665+E665)</x:f>
        <x:v>8000</x:v>
      </x:c>
      <x:c r="E666" s="50" t="n">
        <x:f>MIN(C666,MAX(0,Inputs!$B$7-D666))</x:f>
        <x:v>0</x:v>
      </x:c>
      <x:c r="F666" s="50" t="n">
        <x:f>MIN(C666-E666,MAX(0,Inputs!$B$20-O666))</x:f>
        <x:v>600</x:v>
      </x:c>
      <x:c r="G666" s="50" t="n">
        <x:f>0</x:f>
        <x:v>0</x:v>
      </x:c>
      <x:c r="H666" s="41" t="n">
        <x:f>0</x:f>
        <x:v>0</x:v>
      </x:c>
      <x:c r="I666" s="50" t="n">
        <x:f>(I665*(1+Inputs!$B$12))+E666</x:f>
        <x:v>537119.7370430661</x:v>
      </x:c>
      <x:c r="J666" s="50" t="n">
        <x:f>(J665*(1+Inputs!$B$12))+F666+P666</x:f>
        <x:v>629024.2467291314</x:v>
      </x:c>
      <x:c r="K666" s="50" t="n">
        <x:f>(K665*(1+Inputs!$B$12))*(1-H666)</x:f>
        <x:v>0</x:v>
      </x:c>
      <x:c r="L666" s="50" t="n">
        <x:f>L665*(1+Inputs!$B$13)+Q666</x:f>
        <x:v>43659.9826250836</x:v>
      </x:c>
      <x:c r="M666" s="50" t="n">
        <x:f>I666+J666+L666</x:f>
        <x:v>1209803.966397281</x:v>
      </x:c>
      <x:c r="N666" s="50" t="n">
        <x:f>F666+P666</x:f>
        <x:v>600</x:v>
      </x:c>
      <x:c r="O666" s="50" t="n">
        <x:f>IF(B666=1,0,O665+F665+P665)</x:f>
        <x:v>3657.1428571439333</x:v>
      </x:c>
      <x:c r="P666" s="50" t="n">
        <x:f>MIN(G666,MAX(0,Inputs!$B$20-O666-F666))</x:f>
        <x:v>0</x:v>
      </x:c>
      <x:c r="Q666" s="50" t="n">
        <x:f>(C666-E666-F666)+(G666-P666)</x:f>
        <x:v>0</x:v>
      </x:c>
    </x:row>
    <x:row r="667">
      <x:c r="A667" s="41" t="n">
        <x:f>IF(B667=1,A666+1,A666)</x:f>
        <x:v>2052</x:v>
      </x:c>
      <x:c r="B667" s="41" t="n">
        <x:f>IF(B666=26,1,B666+1)</x:f>
        <x:v>16</x:v>
      </x:c>
      <x:c r="C667" s="48" t="n">
        <x:f>Inputs!$F$28</x:f>
        <x:v>600</x:v>
      </x:c>
      <x:c r="D667" s="50" t="n">
        <x:f>IF(B667=1,0,D666+E666)</x:f>
        <x:v>8000</x:v>
      </x:c>
      <x:c r="E667" s="50" t="n">
        <x:f>MIN(C667,MAX(0,Inputs!$B$7-D667))</x:f>
        <x:v>0</x:v>
      </x:c>
      <x:c r="F667" s="50" t="n">
        <x:f>MIN(C667-E667,MAX(0,Inputs!$B$20-O667))</x:f>
        <x:v>600</x:v>
      </x:c>
      <x:c r="G667" s="50" t="n">
        <x:f>0</x:f>
        <x:v>0</x:v>
      </x:c>
      <x:c r="H667" s="41" t="n">
        <x:f>0</x:f>
        <x:v>0</x:v>
      </x:c>
      <x:c r="I667" s="50" t="n">
        <x:f>(I666*(1+Inputs!$B$12))+E667</x:f>
        <x:v>538128.6125835712</x:v>
      </x:c>
      <x:c r="J667" s="50" t="n">
        <x:f>(J666*(1+Inputs!$B$12))+F667+P667</x:f>
        <x:v>630805.747115625</x:v>
      </x:c>
      <x:c r="K667" s="50" t="n">
        <x:f>(K666*(1+Inputs!$B$12))*(1-H667)</x:f>
        <x:v>0</x:v>
      </x:c>
      <x:c r="L667" s="50" t="n">
        <x:f>L666*(1+Inputs!$B$13)+Q667</x:f>
        <x:v>43736.3725039726</x:v>
      </x:c>
      <x:c r="M667" s="50" t="n">
        <x:f>I667+J667+L667</x:f>
        <x:v>1212670.7322031688</x:v>
      </x:c>
      <x:c r="N667" s="50" t="n">
        <x:f>F667+P667</x:f>
        <x:v>600</x:v>
      </x:c>
      <x:c r="O667" s="50" t="n">
        <x:f>IF(B667=1,0,O666+F666+P666)</x:f>
        <x:v>4257.142857143934</x:v>
      </x:c>
      <x:c r="P667" s="50" t="n">
        <x:f>MIN(G667,MAX(0,Inputs!$B$20-O667-F667))</x:f>
        <x:v>0</x:v>
      </x:c>
      <x:c r="Q667" s="50" t="n">
        <x:f>(C667-E667-F667)+(G667-P667)</x:f>
        <x:v>0</x:v>
      </x:c>
    </x:row>
    <x:row r="668">
      <x:c r="A668" s="41" t="n">
        <x:f>IF(B668=1,A667+1,A667)</x:f>
        <x:v>2052</x:v>
      </x:c>
      <x:c r="B668" s="41" t="n">
        <x:f>IF(B667=26,1,B667+1)</x:f>
        <x:v>17</x:v>
      </x:c>
      <x:c r="C668" s="48" t="n">
        <x:f>Inputs!$F$28</x:f>
        <x:v>600</x:v>
      </x:c>
      <x:c r="D668" s="50" t="n">
        <x:f>IF(B668=1,0,D667+E667)</x:f>
        <x:v>8000</x:v>
      </x:c>
      <x:c r="E668" s="50" t="n">
        <x:f>MIN(C668,MAX(0,Inputs!$B$7-D668))</x:f>
        <x:v>0</x:v>
      </x:c>
      <x:c r="F668" s="50" t="n">
        <x:f>MIN(C668-E668,MAX(0,Inputs!$B$20-O668))</x:f>
        <x:v>600</x:v>
      </x:c>
      <x:c r="G668" s="50" t="n">
        <x:f>0</x:f>
        <x:v>0</x:v>
      </x:c>
      <x:c r="H668" s="41" t="n">
        <x:f>0</x:f>
        <x:v>0</x:v>
      </x:c>
      <x:c r="I668" s="50" t="n">
        <x:f>(I667*(1+Inputs!$B$12))+E668</x:f>
        <x:v>539139.3831016504</x:v>
      </x:c>
      <x:c r="J668" s="50" t="n">
        <x:f>(J667*(1+Inputs!$B$12))+F668+P668</x:f>
        <x:v>632590.5937060305</x:v>
      </x:c>
      <x:c r="K668" s="50" t="n">
        <x:f>(K667*(1+Inputs!$B$12))*(1-H668)</x:f>
        <x:v>0</x:v>
      </x:c>
      <x:c r="L668" s="50" t="n">
        <x:f>L667*(1+Inputs!$B$13)+Q668</x:f>
        <x:v>43812.896038746134</x:v>
      </x:c>
      <x:c r="M668" s="50" t="n">
        <x:f>I668+J668+L668</x:f>
        <x:v>1215542.8728464271</x:v>
      </x:c>
      <x:c r="N668" s="50" t="n">
        <x:f>F668+P668</x:f>
        <x:v>600</x:v>
      </x:c>
      <x:c r="O668" s="50" t="n">
        <x:f>IF(B668=1,0,O667+F667+P667)</x:f>
        <x:v>4857.142857143934</x:v>
      </x:c>
      <x:c r="P668" s="50" t="n">
        <x:f>MIN(G668,MAX(0,Inputs!$B$20-O668-F668))</x:f>
        <x:v>0</x:v>
      </x:c>
      <x:c r="Q668" s="50" t="n">
        <x:f>(C668-E668-F668)+(G668-P668)</x:f>
        <x:v>0</x:v>
      </x:c>
    </x:row>
    <x:row r="669">
      <x:c r="A669" s="41" t="n">
        <x:f>IF(B669=1,A668+1,A668)</x:f>
        <x:v>2052</x:v>
      </x:c>
      <x:c r="B669" s="41" t="n">
        <x:f>IF(B668=26,1,B668+1)</x:f>
        <x:v>18</x:v>
      </x:c>
      <x:c r="C669" s="48" t="n">
        <x:f>Inputs!$F$28</x:f>
        <x:v>600</x:v>
      </x:c>
      <x:c r="D669" s="50" t="n">
        <x:f>IF(B669=1,0,D668+E668)</x:f>
        <x:v>8000</x:v>
      </x:c>
      <x:c r="E669" s="50" t="n">
        <x:f>MIN(C669,MAX(0,Inputs!$B$7-D669))</x:f>
        <x:v>0</x:v>
      </x:c>
      <x:c r="F669" s="50" t="n">
        <x:f>MIN(C669-E669,MAX(0,Inputs!$B$20-O669))</x:f>
        <x:v>600</x:v>
      </x:c>
      <x:c r="G669" s="50" t="n">
        <x:f>0</x:f>
        <x:v>0</x:v>
      </x:c>
      <x:c r="H669" s="41" t="n">
        <x:f>0</x:f>
        <x:v>0</x:v>
      </x:c>
      <x:c r="I669" s="50" t="n">
        <x:f>(I668*(1+Inputs!$B$12))+E669</x:f>
        <x:v>540152.0521566523</x:v>
      </x:c>
      <x:c r="J669" s="50" t="n">
        <x:f>(J668*(1+Inputs!$B$12))+F669+P669</x:f>
        <x:v>634378.792785545</x:v>
      </x:c>
      <x:c r="K669" s="50" t="n">
        <x:f>(K668*(1+Inputs!$B$12))*(1-H669)</x:f>
        <x:v>0</x:v>
      </x:c>
      <x:c r="L669" s="50" t="n">
        <x:f>L668*(1+Inputs!$B$13)+Q669</x:f>
        <x:v>43889.55346325581</x:v>
      </x:c>
      <x:c r="M669" s="50" t="n">
        <x:f>I669+J669+L669</x:f>
        <x:v>1218420.398405453</x:v>
      </x:c>
      <x:c r="N669" s="50" t="n">
        <x:f>F669+P669</x:f>
        <x:v>600</x:v>
      </x:c>
      <x:c r="O669" s="50" t="n">
        <x:f>IF(B669=1,0,O668+F668+P668)</x:f>
        <x:v>5457.142857143934</x:v>
      </x:c>
      <x:c r="P669" s="50" t="n">
        <x:f>MIN(G669,MAX(0,Inputs!$B$20-O669-F669))</x:f>
        <x:v>0</x:v>
      </x:c>
      <x:c r="Q669" s="50" t="n">
        <x:f>(C669-E669-F669)+(G669-P669)</x:f>
        <x:v>0</x:v>
      </x:c>
    </x:row>
    <x:row r="670">
      <x:c r="A670" s="41" t="n">
        <x:f>IF(B670=1,A669+1,A669)</x:f>
        <x:v>2052</x:v>
      </x:c>
      <x:c r="B670" s="41" t="n">
        <x:f>IF(B669=26,1,B669+1)</x:f>
        <x:v>19</x:v>
      </x:c>
      <x:c r="C670" s="48" t="n">
        <x:f>Inputs!$F$28</x:f>
        <x:v>600</x:v>
      </x:c>
      <x:c r="D670" s="50" t="n">
        <x:f>IF(B670=1,0,D669+E669)</x:f>
        <x:v>8000</x:v>
      </x:c>
      <x:c r="E670" s="50" t="n">
        <x:f>MIN(C670,MAX(0,Inputs!$B$7-D670))</x:f>
        <x:v>0</x:v>
      </x:c>
      <x:c r="F670" s="50" t="n">
        <x:f>MIN(C670-E670,MAX(0,Inputs!$B$20-O670))</x:f>
        <x:v>600</x:v>
      </x:c>
      <x:c r="G670" s="50" t="n">
        <x:f>0</x:f>
        <x:v>0</x:v>
      </x:c>
      <x:c r="H670" s="41" t="n">
        <x:f>0</x:f>
        <x:v>0</x:v>
      </x:c>
      <x:c r="I670" s="50" t="n">
        <x:f>(I669*(1+Inputs!$B$12))+E670</x:f>
        <x:v>541166.6233146115</x:v>
      </x:c>
      <x:c r="J670" s="50" t="n">
        <x:f>(J669*(1+Inputs!$B$12))+F670+P670</x:f>
        <x:v>636170.3506511708</x:v>
      </x:c>
      <x:c r="K670" s="50" t="n">
        <x:f>(K669*(1+Inputs!$B$12))*(1-H670)</x:f>
        <x:v>0</x:v>
      </x:c>
      <x:c r="L670" s="50" t="n">
        <x:f>L669*(1+Inputs!$B$13)+Q670</x:f>
        <x:v>43966.34501176239</x:v>
      </x:c>
      <x:c r="M670" s="50" t="n">
        <x:f>I670+J670+L670</x:f>
        <x:v>1221303.3189775445</x:v>
      </x:c>
      <x:c r="N670" s="50" t="n">
        <x:f>F670+P670</x:f>
        <x:v>600</x:v>
      </x:c>
      <x:c r="O670" s="50" t="n">
        <x:f>IF(B670=1,0,O669+F669+P669)</x:f>
        <x:v>6057.142857143934</x:v>
      </x:c>
      <x:c r="P670" s="50" t="n">
        <x:f>MIN(G670,MAX(0,Inputs!$B$20-O670-F670))</x:f>
        <x:v>0</x:v>
      </x:c>
      <x:c r="Q670" s="50" t="n">
        <x:f>(C670-E670-F670)+(G670-P670)</x:f>
        <x:v>0</x:v>
      </x:c>
    </x:row>
    <x:row r="671">
      <x:c r="A671" s="41" t="n">
        <x:f>IF(B671=1,A670+1,A670)</x:f>
        <x:v>2052</x:v>
      </x:c>
      <x:c r="B671" s="41" t="n">
        <x:f>IF(B670=26,1,B670+1)</x:f>
        <x:v>20</x:v>
      </x:c>
      <x:c r="C671" s="48" t="n">
        <x:f>Inputs!$F$28</x:f>
        <x:v>600</x:v>
      </x:c>
      <x:c r="D671" s="50" t="n">
        <x:f>IF(B671=1,0,D670+E670)</x:f>
        <x:v>8000</x:v>
      </x:c>
      <x:c r="E671" s="50" t="n">
        <x:f>MIN(C671,MAX(0,Inputs!$B$7-D671))</x:f>
        <x:v>0</x:v>
      </x:c>
      <x:c r="F671" s="50" t="n">
        <x:f>MIN(C671-E671,MAX(0,Inputs!$B$20-O671))</x:f>
        <x:v>600</x:v>
      </x:c>
      <x:c r="G671" s="50" t="n">
        <x:f>0</x:f>
        <x:v>0</x:v>
      </x:c>
      <x:c r="H671" s="41" t="n">
        <x:f>0</x:f>
        <x:v>0</x:v>
      </x:c>
      <x:c r="I671" s="50" t="n">
        <x:f>(I670*(1+Inputs!$B$12))+E671</x:f>
        <x:v>542183.1001482605</x:v>
      </x:c>
      <x:c r="J671" s="50" t="n">
        <x:f>(J670*(1+Inputs!$B$12))+F671+P671</x:f>
        <x:v>637965.273611738</x:v>
      </x:c>
      <x:c r="K671" s="50" t="n">
        <x:f>(K670*(1+Inputs!$B$12))*(1-H671)</x:f>
        <x:v>0</x:v>
      </x:c>
      <x:c r="L671" s="50" t="n">
        <x:f>L670*(1+Inputs!$B$13)+Q671</x:f>
        <x:v>44043.2709189365</x:v>
      </x:c>
      <x:c r="M671" s="50" t="n">
        <x:f>I671+J671+L671</x:f>
        <x:v>1224191.644678935</x:v>
      </x:c>
      <x:c r="N671" s="50" t="n">
        <x:f>F671+P671</x:f>
        <x:v>600</x:v>
      </x:c>
      <x:c r="O671" s="50" t="n">
        <x:f>IF(B671=1,0,O670+F670+P670)</x:f>
        <x:v>6657.142857143934</x:v>
      </x:c>
      <x:c r="P671" s="50" t="n">
        <x:f>MIN(G671,MAX(0,Inputs!$B$20-O671-F671))</x:f>
        <x:v>0</x:v>
      </x:c>
      <x:c r="Q671" s="50" t="n">
        <x:f>(C671-E671-F671)+(G671-P671)</x:f>
        <x:v>0</x:v>
      </x:c>
    </x:row>
    <x:row r="672">
      <x:c r="A672" s="41" t="n">
        <x:f>IF(B672=1,A671+1,A671)</x:f>
        <x:v>2052</x:v>
      </x:c>
      <x:c r="B672" s="41" t="n">
        <x:f>IF(B671=26,1,B671+1)</x:f>
        <x:v>21</x:v>
      </x:c>
      <x:c r="C672" s="48" t="n">
        <x:f>Inputs!$F$28</x:f>
        <x:v>600</x:v>
      </x:c>
      <x:c r="D672" s="50" t="n">
        <x:f>IF(B672=1,0,D671+E671)</x:f>
        <x:v>8000</x:v>
      </x:c>
      <x:c r="E672" s="50" t="n">
        <x:f>MIN(C672,MAX(0,Inputs!$B$7-D672))</x:f>
        <x:v>0</x:v>
      </x:c>
      <x:c r="F672" s="50" t="n">
        <x:f>MIN(C672-E672,MAX(0,Inputs!$B$20-O672))</x:f>
        <x:v>600</x:v>
      </x:c>
      <x:c r="G672" s="50" t="n">
        <x:f>0</x:f>
        <x:v>0</x:v>
      </x:c>
      <x:c r="H672" s="41" t="n">
        <x:f>0</x:f>
        <x:v>0</x:v>
      </x:c>
      <x:c r="I672" s="50" t="n">
        <x:f>(I671*(1+Inputs!$B$12))+E672</x:f>
        <x:v>543201.4862370424</x:v>
      </x:c>
      <x:c r="J672" s="50" t="n">
        <x:f>(J671*(1+Inputs!$B$12))+F672+P672</x:f>
        <x:v>639763.5679879265</x:v>
      </x:c>
      <x:c r="K672" s="50" t="n">
        <x:f>(K671*(1+Inputs!$B$12))*(1-H672)</x:f>
        <x:v>0</x:v>
      </x:c>
      <x:c r="L672" s="50" t="n">
        <x:f>L671*(1+Inputs!$B$13)+Q672</x:f>
        <x:v>44120.33141985937</x:v>
      </x:c>
      <x:c r="M672" s="50" t="n">
        <x:f>I672+J672+L672</x:f>
        <x:v>1227085.3856448282</x:v>
      </x:c>
      <x:c r="N672" s="50" t="n">
        <x:f>F672+P672</x:f>
        <x:v>600</x:v>
      </x:c>
      <x:c r="O672" s="50" t="n">
        <x:f>IF(B672=1,0,O671+F671+P671)</x:f>
        <x:v>7257.142857143934</x:v>
      </x:c>
      <x:c r="P672" s="50" t="n">
        <x:f>MIN(G672,MAX(0,Inputs!$B$20-O672-F672))</x:f>
        <x:v>0</x:v>
      </x:c>
      <x:c r="Q672" s="50" t="n">
        <x:f>(C672-E672-F672)+(G672-P672)</x:f>
        <x:v>0</x:v>
      </x:c>
    </x:row>
    <x:row r="673">
      <x:c r="A673" s="41" t="n">
        <x:f>IF(B673=1,A672+1,A672)</x:f>
        <x:v>2052</x:v>
      </x:c>
      <x:c r="B673" s="41" t="n">
        <x:f>IF(B672=26,1,B672+1)</x:f>
        <x:v>22</x:v>
      </x:c>
      <x:c r="C673" s="48" t="n">
        <x:f>Inputs!$F$28</x:f>
        <x:v>600</x:v>
      </x:c>
      <x:c r="D673" s="50" t="n">
        <x:f>IF(B673=1,0,D672+E672)</x:f>
        <x:v>8000</x:v>
      </x:c>
      <x:c r="E673" s="50" t="n">
        <x:f>MIN(C673,MAX(0,Inputs!$B$7-D673))</x:f>
        <x:v>0</x:v>
      </x:c>
      <x:c r="F673" s="50" t="n">
        <x:f>MIN(C673-E673,MAX(0,Inputs!$B$20-O673))</x:f>
        <x:v>600</x:v>
      </x:c>
      <x:c r="G673" s="50" t="n">
        <x:f>0</x:f>
        <x:v>0</x:v>
      </x:c>
      <x:c r="H673" s="41" t="n">
        <x:f>0</x:f>
        <x:v>0</x:v>
      </x:c>
      <x:c r="I673" s="50" t="n">
        <x:f>(I672*(1+Inputs!$B$12))+E673</x:f>
        <x:v>544221.7851671237</x:v>
      </x:c>
      <x:c r="J673" s="50" t="n">
        <x:f>(J672*(1+Inputs!$B$12))+F673+P673</x:f>
        <x:v>641565.2401122886</x:v>
      </x:c>
      <x:c r="K673" s="50" t="n">
        <x:f>(K672*(1+Inputs!$B$12))*(1-H673)</x:f>
        <x:v>0</x:v>
      </x:c>
      <x:c r="L673" s="50" t="n">
        <x:f>L672*(1+Inputs!$B$13)+Q673</x:f>
        <x:v>44197.52675002355</x:v>
      </x:c>
      <x:c r="M673" s="50" t="n">
        <x:f>I673+J673+L673</x:f>
        <x:v>1229984.5520294358</x:v>
      </x:c>
      <x:c r="N673" s="50" t="n">
        <x:f>F673+P673</x:f>
        <x:v>600</x:v>
      </x:c>
      <x:c r="O673" s="50" t="n">
        <x:f>IF(B673=1,0,O672+F672+P672)</x:f>
        <x:v>7857.142857143934</x:v>
      </x:c>
      <x:c r="P673" s="50" t="n">
        <x:f>MIN(G673,MAX(0,Inputs!$B$20-O673-F673))</x:f>
        <x:v>0</x:v>
      </x:c>
      <x:c r="Q673" s="50" t="n">
        <x:f>(C673-E673-F673)+(G673-P673)</x:f>
        <x:v>0</x:v>
      </x:c>
    </x:row>
    <x:row r="674">
      <x:c r="A674" s="41" t="n">
        <x:f>IF(B674=1,A673+1,A673)</x:f>
        <x:v>2052</x:v>
      </x:c>
      <x:c r="B674" s="41" t="n">
        <x:f>IF(B673=26,1,B673+1)</x:f>
        <x:v>23</x:v>
      </x:c>
      <x:c r="C674" s="48" t="n">
        <x:f>Inputs!$F$28</x:f>
        <x:v>600</x:v>
      </x:c>
      <x:c r="D674" s="50" t="n">
        <x:f>IF(B674=1,0,D673+E673)</x:f>
        <x:v>8000</x:v>
      </x:c>
      <x:c r="E674" s="50" t="n">
        <x:f>MIN(C674,MAX(0,Inputs!$B$7-D674))</x:f>
        <x:v>0</x:v>
      </x:c>
      <x:c r="F674" s="50" t="n">
        <x:f>MIN(C674-E674,MAX(0,Inputs!$B$20-O674))</x:f>
        <x:v>600</x:v>
      </x:c>
      <x:c r="G674" s="50" t="n">
        <x:f>0</x:f>
        <x:v>0</x:v>
      </x:c>
      <x:c r="H674" s="41" t="n">
        <x:f>0</x:f>
        <x:v>0</x:v>
      </x:c>
      <x:c r="I674" s="50" t="n">
        <x:f>(I673*(1+Inputs!$B$12))+E674</x:f>
        <x:v>545244.0005314068</x:v>
      </x:c>
      <x:c r="J674" s="50" t="n">
        <x:f>(J673*(1+Inputs!$B$12))+F674+P674</x:f>
        <x:v>643370.2963292708</x:v>
      </x:c>
      <x:c r="K674" s="50" t="n">
        <x:f>(K673*(1+Inputs!$B$12))*(1-H674)</x:f>
        <x:v>0</x:v>
      </x:c>
      <x:c r="L674" s="50" t="n">
        <x:f>L673*(1+Inputs!$B$13)+Q674</x:f>
        <x:v>44274.8571453336</x:v>
      </x:c>
      <x:c r="M674" s="50" t="n">
        <x:f>I674+J674+L674</x:f>
        <x:v>1232889.1540060113</x:v>
      </x:c>
      <x:c r="N674" s="50" t="n">
        <x:f>F674+P674</x:f>
        <x:v>600</x:v>
      </x:c>
      <x:c r="O674" s="50" t="n">
        <x:f>IF(B674=1,0,O673+F673+P673)</x:f>
        <x:v>8457.142857143934</x:v>
      </x:c>
      <x:c r="P674" s="50" t="n">
        <x:f>MIN(G674,MAX(0,Inputs!$B$20-O674-F674))</x:f>
        <x:v>0</x:v>
      </x:c>
      <x:c r="Q674" s="50" t="n">
        <x:f>(C674-E674-F674)+(G674-P674)</x:f>
        <x:v>0</x:v>
      </x:c>
    </x:row>
    <x:row r="675">
      <x:c r="A675" s="41" t="n">
        <x:f>IF(B675=1,A674+1,A674)</x:f>
        <x:v>2052</x:v>
      </x:c>
      <x:c r="B675" s="41" t="n">
        <x:f>IF(B674=26,1,B674+1)</x:f>
        <x:v>24</x:v>
      </x:c>
      <x:c r="C675" s="48" t="n">
        <x:f>Inputs!$F$28</x:f>
        <x:v>600</x:v>
      </x:c>
      <x:c r="D675" s="50" t="n">
        <x:f>IF(B675=1,0,D674+E674)</x:f>
        <x:v>8000</x:v>
      </x:c>
      <x:c r="E675" s="50" t="n">
        <x:f>MIN(C675,MAX(0,Inputs!$B$7-D675))</x:f>
        <x:v>0</x:v>
      </x:c>
      <x:c r="F675" s="50" t="n">
        <x:f>MIN(C675-E675,MAX(0,Inputs!$B$20-O675))</x:f>
        <x:v>600</x:v>
      </x:c>
      <x:c r="G675" s="50" t="n">
        <x:f>0</x:f>
        <x:v>0</x:v>
      </x:c>
      <x:c r="H675" s="41" t="n">
        <x:f>0</x:f>
        <x:v>0</x:v>
      </x:c>
      <x:c r="I675" s="50" t="n">
        <x:f>(I674*(1+Inputs!$B$12))+E675</x:f>
        <x:v>546268.1359295428</x:v>
      </x:c>
      <x:c r="J675" s="50" t="n">
        <x:f>(J674*(1+Inputs!$B$12))+F675+P675</x:f>
        <x:v>645178.7429952367</x:v>
      </x:c>
      <x:c r="K675" s="50" t="n">
        <x:f>(K674*(1+Inputs!$B$12))*(1-H675)</x:f>
        <x:v>0</x:v>
      </x:c>
      <x:c r="L675" s="50" t="n">
        <x:f>L674*(1+Inputs!$B$13)+Q675</x:f>
        <x:v>44352.32284210684</x:v>
      </x:c>
      <x:c r="M675" s="50" t="n">
        <x:f>I675+J675+L675</x:f>
        <x:v>1235799.2017668865</x:v>
      </x:c>
      <x:c r="N675" s="50" t="n">
        <x:f>F675+P675</x:f>
        <x:v>600</x:v>
      </x:c>
      <x:c r="O675" s="50" t="n">
        <x:f>IF(B675=1,0,O674+F674+P674)</x:f>
        <x:v>9057.142857143934</x:v>
      </x:c>
      <x:c r="P675" s="50" t="n">
        <x:f>MIN(G675,MAX(0,Inputs!$B$20-O675-F675))</x:f>
        <x:v>0</x:v>
      </x:c>
      <x:c r="Q675" s="50" t="n">
        <x:f>(C675-E675-F675)+(G675-P675)</x:f>
        <x:v>0</x:v>
      </x:c>
    </x:row>
    <x:row r="676">
      <x:c r="A676" s="41" t="n">
        <x:f>IF(B676=1,A675+1,A675)</x:f>
        <x:v>2052</x:v>
      </x:c>
      <x:c r="B676" s="41" t="n">
        <x:f>IF(B675=26,1,B675+1)</x:f>
        <x:v>25</x:v>
      </x:c>
      <x:c r="C676" s="48" t="n">
        <x:f>Inputs!$F$28</x:f>
        <x:v>600</x:v>
      </x:c>
      <x:c r="D676" s="50" t="n">
        <x:f>IF(B676=1,0,D675+E675)</x:f>
        <x:v>8000</x:v>
      </x:c>
      <x:c r="E676" s="50" t="n">
        <x:f>MIN(C676,MAX(0,Inputs!$B$7-D676))</x:f>
        <x:v>0</x:v>
      </x:c>
      <x:c r="F676" s="50" t="n">
        <x:f>MIN(C676-E676,MAX(0,Inputs!$B$20-O676))</x:f>
        <x:v>600</x:v>
      </x:c>
      <x:c r="G676" s="50" t="n">
        <x:f>0</x:f>
        <x:v>0</x:v>
      </x:c>
      <x:c r="H676" s="41" t="n">
        <x:f>0</x:f>
        <x:v>0</x:v>
      </x:c>
      <x:c r="I676" s="50" t="n">
        <x:f>(I675*(1+Inputs!$B$12))+E676</x:f>
        <x:v>547294.194967944</x:v>
      </x:c>
      <x:c r="J676" s="50" t="n">
        <x:f>(J675*(1+Inputs!$B$12))+F676+P676</x:f>
        <x:v>646990.5864784889</x:v>
      </x:c>
      <x:c r="K676" s="50" t="n">
        <x:f>(K675*(1+Inputs!$B$12))*(1-H676)</x:f>
        <x:v>0</x:v>
      </x:c>
      <x:c r="L676" s="50" t="n">
        <x:f>L675*(1+Inputs!$B$13)+Q676</x:f>
        <x:v>44429.92407707407</x:v>
      </x:c>
      <x:c r="M676" s="50" t="n">
        <x:f>I676+J676+L676</x:f>
        <x:v>1238714.7055235067</x:v>
      </x:c>
      <x:c r="N676" s="50" t="n">
        <x:f>F676+P676</x:f>
        <x:v>600</x:v>
      </x:c>
      <x:c r="O676" s="50" t="n">
        <x:f>IF(B676=1,0,O675+F675+P675)</x:f>
        <x:v>9657.142857143934</x:v>
      </x:c>
      <x:c r="P676" s="50" t="n">
        <x:f>MIN(G676,MAX(0,Inputs!$B$20-O676-F676))</x:f>
        <x:v>0</x:v>
      </x:c>
      <x:c r="Q676" s="50" t="n">
        <x:f>(C676-E676-F676)+(G676-P676)</x:f>
        <x:v>0</x:v>
      </x:c>
    </x:row>
    <x:row r="677">
      <x:c r="A677" s="41" t="n">
        <x:f>IF(B677=1,A676+1,A676)</x:f>
        <x:v>2052</x:v>
      </x:c>
      <x:c r="B677" s="41" t="n">
        <x:f>IF(B676=26,1,B676+1)</x:f>
        <x:v>26</x:v>
      </x:c>
      <x:c r="C677" s="48" t="n">
        <x:f>Inputs!$F$28</x:f>
        <x:v>600</x:v>
      </x:c>
      <x:c r="D677" s="50" t="n">
        <x:f>IF(B677=1,0,D676+E676)</x:f>
        <x:v>8000</x:v>
      </x:c>
      <x:c r="E677" s="50" t="n">
        <x:f>MIN(C677,MAX(0,Inputs!$B$7-D677))</x:f>
        <x:v>0</x:v>
      </x:c>
      <x:c r="F677" s="50" t="n">
        <x:f>MIN(C677-E677,MAX(0,Inputs!$B$20-O677))</x:f>
        <x:v>600</x:v>
      </x:c>
      <x:c r="G677" s="50" t="n">
        <x:f>0</x:f>
        <x:v>0</x:v>
      </x:c>
      <x:c r="H677" s="41" t="n">
        <x:f>IF(A677=Inputs!$B$8,1,0)</x:f>
        <x:v>0</x:v>
      </x:c>
      <x:c r="I677" s="50" t="n">
        <x:f>(I676*(1+Inputs!$B$12))+E677</x:f>
        <x:v>548322.1812597964</x:v>
      </x:c>
      <x:c r="J677" s="50" t="n">
        <x:f>(J676*(1+Inputs!$B$12))+F677+P677</x:f>
        <x:v>648805.8331592917</x:v>
      </x:c>
      <x:c r="K677" s="50" t="n">
        <x:f>(K676*(1+Inputs!$B$12))*(1-H677)</x:f>
        <x:v>0</x:v>
      </x:c>
      <x:c r="L677" s="50" t="n">
        <x:f>L676*(1+Inputs!$B$13)+Q677</x:f>
        <x:v>44507.661087380286</x:v>
      </x:c>
      <x:c r="M677" s="50" t="n">
        <x:f>I677+J677+L677</x:f>
        <x:v>1241635.6755064684</x:v>
      </x:c>
      <x:c r="N677" s="50" t="n">
        <x:f>F677+P677</x:f>
        <x:v>600</x:v>
      </x:c>
      <x:c r="O677" s="50" t="n">
        <x:f>IF(B677=1,0,O676+F676+P676)</x:f>
        <x:v>10257.142857143934</x:v>
      </x:c>
      <x:c r="P677" s="50" t="n">
        <x:f>MIN(G677,MAX(0,Inputs!$B$20-O677-F677))</x:f>
        <x:v>0</x:v>
      </x:c>
      <x:c r="Q677" s="50" t="n">
        <x:f>(C677-E677-F677)+(G677-P677)</x:f>
        <x:v>0</x:v>
      </x:c>
    </x:row>
    <x:row r="678">
      <x:c r="A678" s="41" t="n">
        <x:f>IF(B678=1,A677+1,A677)</x:f>
        <x:v>2053</x:v>
      </x:c>
      <x:c r="B678" s="41" t="n">
        <x:f>IF(B677=26,1,B677+1)</x:f>
        <x:v>1</x:v>
      </x:c>
      <x:c r="C678" s="48" t="n">
        <x:f>Inputs!$F$29</x:f>
        <x:v>600</x:v>
      </x:c>
      <x:c r="D678" s="50" t="n">
        <x:f>IF(B678=1,0,D677+E677)</x:f>
        <x:v>0</x:v>
      </x:c>
      <x:c r="E678" s="50" t="n">
        <x:f>MIN(C678,MAX(0,Inputs!$B$7-D678))</x:f>
        <x:v>600</x:v>
      </x:c>
      <x:c r="F678" s="50" t="n">
        <x:f>MIN(C678-E678,MAX(0,Inputs!$B$20-O678))</x:f>
        <x:v>0</x:v>
      </x:c>
      <x:c r="G678" s="50" t="n">
        <x:f>0</x:f>
        <x:v>0</x:v>
      </x:c>
      <x:c r="H678" s="41" t="n">
        <x:f>0</x:f>
        <x:v>0</x:v>
      </x:c>
      <x:c r="I678" s="50" t="n">
        <x:f>(I677*(1+Inputs!$B$12))+E678</x:f>
        <x:v>549952.0984250729</x:v>
      </x:c>
      <x:c r="J678" s="50" t="n">
        <x:f>(J677*(1+Inputs!$B$12))+F678+P678</x:f>
        <x:v>650024.4894298933</x:v>
      </x:c>
      <x:c r="K678" s="50" t="n">
        <x:f>(K677*(1+Inputs!$B$12))*(1-H678)</x:f>
        <x:v>0</x:v>
      </x:c>
      <x:c r="L678" s="50" t="n">
        <x:f>L677*(1+Inputs!$B$13)+Q678</x:f>
        <x:v>44585.53411058539</x:v>
      </x:c>
      <x:c r="M678" s="50" t="n">
        <x:f>I678+J678+L678</x:f>
        <x:v>1244562.1219655515</x:v>
      </x:c>
      <x:c r="N678" s="50" t="n">
        <x:f>F678+P678</x:f>
        <x:v>0</x:v>
      </x:c>
      <x:c r="O678" s="50" t="n">
        <x:f>IF(B678=1,0,O677+F677+P677)</x:f>
        <x:v>0</x:v>
      </x:c>
      <x:c r="P678" s="50" t="n">
        <x:f>MIN(G678,MAX(0,Inputs!$B$20-O678-F678))</x:f>
        <x:v>0</x:v>
      </x:c>
      <x:c r="Q678" s="50" t="n">
        <x:f>(C678-E678-F678)+(G678-P678)</x:f>
        <x:v>0</x:v>
      </x:c>
    </x:row>
    <x:row r="679">
      <x:c r="A679" s="41" t="n">
        <x:f>IF(B679=1,A678+1,A678)</x:f>
        <x:v>2053</x:v>
      </x:c>
      <x:c r="B679" s="41" t="n">
        <x:f>IF(B678=26,1,B678+1)</x:f>
        <x:v>2</x:v>
      </x:c>
      <x:c r="C679" s="48" t="n">
        <x:f>Inputs!$F$29</x:f>
        <x:v>600</x:v>
      </x:c>
      <x:c r="D679" s="50" t="n">
        <x:f>IF(B679=1,0,D678+E678)</x:f>
        <x:v>600</x:v>
      </x:c>
      <x:c r="E679" s="50" t="n">
        <x:f>MIN(C679,MAX(0,Inputs!$B$7-D679))</x:f>
        <x:v>600</x:v>
      </x:c>
      <x:c r="F679" s="50" t="n">
        <x:f>MIN(C679-E679,MAX(0,Inputs!$B$20-O679))</x:f>
        <x:v>0</x:v>
      </x:c>
      <x:c r="G679" s="50" t="n">
        <x:f>0</x:f>
        <x:v>0</x:v>
      </x:c>
      <x:c r="H679" s="41" t="n">
        <x:f>0</x:f>
        <x:v>0</x:v>
      </x:c>
      <x:c r="I679" s="50" t="n">
        <x:f>(I678*(1+Inputs!$B$12))+E679</x:f>
        <x:v>551585.0770744984</x:v>
      </x:c>
      <x:c r="J679" s="50" t="n">
        <x:f>(J678*(1+Inputs!$B$12))+F679+P679</x:f>
        <x:v>651245.4347105963</x:v>
      </x:c>
      <x:c r="K679" s="50" t="n">
        <x:f>(K678*(1+Inputs!$B$12))*(1-H679)</x:f>
        <x:v>0</x:v>
      </x:c>
      <x:c r="L679" s="50" t="n">
        <x:f>L678*(1+Inputs!$B$13)+Q679</x:f>
        <x:v>44663.54338466495</x:v>
      </x:c>
      <x:c r="M679" s="50" t="n">
        <x:f>I679+J679+L679</x:f>
        <x:v>1247494.0551697596</x:v>
      </x:c>
      <x:c r="N679" s="50" t="n">
        <x:f>F679+P679</x:f>
        <x:v>0</x:v>
      </x:c>
      <x:c r="O679" s="50" t="n">
        <x:f>IF(B679=1,0,O678+F678+P678)</x:f>
        <x:v>0</x:v>
      </x:c>
      <x:c r="P679" s="50" t="n">
        <x:f>MIN(G679,MAX(0,Inputs!$B$20-O679-F679))</x:f>
        <x:v>0</x:v>
      </x:c>
      <x:c r="Q679" s="50" t="n">
        <x:f>(C679-E679-F679)+(G679-P679)</x:f>
        <x:v>0</x:v>
      </x:c>
    </x:row>
    <x:row r="680">
      <x:c r="A680" s="41" t="n">
        <x:f>IF(B680=1,A679+1,A679)</x:f>
        <x:v>2053</x:v>
      </x:c>
      <x:c r="B680" s="41" t="n">
        <x:f>IF(B679=26,1,B679+1)</x:f>
        <x:v>3</x:v>
      </x:c>
      <x:c r="C680" s="48" t="n">
        <x:f>Inputs!$F$29</x:f>
        <x:v>600</x:v>
      </x:c>
      <x:c r="D680" s="50" t="n">
        <x:f>IF(B680=1,0,D679+E679)</x:f>
        <x:v>1200</x:v>
      </x:c>
      <x:c r="E680" s="50" t="n">
        <x:f>MIN(C680,MAX(0,Inputs!$B$7-D680))</x:f>
        <x:v>600</x:v>
      </x:c>
      <x:c r="F680" s="50" t="n">
        <x:f>MIN(C680-E680,MAX(0,Inputs!$B$20-O680))</x:f>
        <x:v>0</x:v>
      </x:c>
      <x:c r="G680" s="50" t="n">
        <x:f>0</x:f>
        <x:v>0</x:v>
      </x:c>
      <x:c r="H680" s="41" t="n">
        <x:f>0</x:f>
        <x:v>0</x:v>
      </x:c>
      <x:c r="I680" s="50" t="n">
        <x:f>(I679*(1+Inputs!$B$12))+E680</x:f>
        <x:v>553221.1229584789</x:v>
      </x:c>
      <x:c r="J680" s="50" t="n">
        <x:f>(J679*(1+Inputs!$B$12))+F680+P680</x:f>
        <x:v>652468.6733008634</x:v>
      </x:c>
      <x:c r="K680" s="50" t="n">
        <x:f>(K679*(1+Inputs!$B$12))*(1-H680)</x:f>
        <x:v>0</x:v>
      </x:c>
      <x:c r="L680" s="50" t="n">
        <x:f>L679*(1+Inputs!$B$13)+Q680</x:f>
        <x:v>44741.6891480109</x:v>
      </x:c>
      <x:c r="M680" s="50" t="n">
        <x:f>I680+J680+L680</x:f>
        <x:v>1250431.4854073531</x:v>
      </x:c>
      <x:c r="N680" s="50" t="n">
        <x:f>F680+P680</x:f>
        <x:v>0</x:v>
      </x:c>
      <x:c r="O680" s="50" t="n">
        <x:f>IF(B680=1,0,O679+F679+P679)</x:f>
        <x:v>0</x:v>
      </x:c>
      <x:c r="P680" s="50" t="n">
        <x:f>MIN(G680,MAX(0,Inputs!$B$20-O680-F680))</x:f>
        <x:v>0</x:v>
      </x:c>
      <x:c r="Q680" s="50" t="n">
        <x:f>(C680-E680-F680)+(G680-P680)</x:f>
        <x:v>0</x:v>
      </x:c>
    </x:row>
    <x:row r="681">
      <x:c r="A681" s="41" t="n">
        <x:f>IF(B681=1,A680+1,A680)</x:f>
        <x:v>2053</x:v>
      </x:c>
      <x:c r="B681" s="41" t="n">
        <x:f>IF(B680=26,1,B680+1)</x:f>
        <x:v>4</x:v>
      </x:c>
      <x:c r="C681" s="48" t="n">
        <x:f>Inputs!$F$29</x:f>
        <x:v>600</x:v>
      </x:c>
      <x:c r="D681" s="50" t="n">
        <x:f>IF(B681=1,0,D680+E680)</x:f>
        <x:v>1800</x:v>
      </x:c>
      <x:c r="E681" s="50" t="n">
        <x:f>MIN(C681,MAX(0,Inputs!$B$7-D681))</x:f>
        <x:v>600</x:v>
      </x:c>
      <x:c r="F681" s="50" t="n">
        <x:f>MIN(C681-E681,MAX(0,Inputs!$B$20-O681))</x:f>
        <x:v>0</x:v>
      </x:c>
      <x:c r="G681" s="50" t="n">
        <x:f>0</x:f>
        <x:v>0</x:v>
      </x:c>
      <x:c r="H681" s="41" t="n">
        <x:f>0</x:f>
        <x:v>0</x:v>
      </x:c>
      <x:c r="I681" s="50" t="n">
        <x:f>(I680*(1+Inputs!$B$12))+E681</x:f>
        <x:v>554860.2418382211</x:v>
      </x:c>
      <x:c r="J681" s="50" t="n">
        <x:f>(J680*(1+Inputs!$B$12))+F681+P681</x:f>
        <x:v>653694.2095082329</x:v>
      </x:c>
      <x:c r="K681" s="50" t="n">
        <x:f>(K680*(1+Inputs!$B$12))*(1-H681)</x:f>
        <x:v>0</x:v>
      </x:c>
      <x:c r="L681" s="50" t="n">
        <x:f>L680*(1+Inputs!$B$13)+Q681</x:f>
        <x:v>44819.97163943228</x:v>
      </x:c>
      <x:c r="M681" s="50" t="n">
        <x:f>I681+J681+L681</x:f>
        <x:v>1253374.4229858862</x:v>
      </x:c>
      <x:c r="N681" s="50" t="n">
        <x:f>F681+P681</x:f>
        <x:v>0</x:v>
      </x:c>
      <x:c r="O681" s="50" t="n">
        <x:f>IF(B681=1,0,O680+F680+P680)</x:f>
        <x:v>0</x:v>
      </x:c>
      <x:c r="P681" s="50" t="n">
        <x:f>MIN(G681,MAX(0,Inputs!$B$20-O681-F681))</x:f>
        <x:v>0</x:v>
      </x:c>
      <x:c r="Q681" s="50" t="n">
        <x:f>(C681-E681-F681)+(G681-P681)</x:f>
        <x:v>0</x:v>
      </x:c>
    </x:row>
    <x:row r="682">
      <x:c r="A682" s="41" t="n">
        <x:f>IF(B682=1,A681+1,A681)</x:f>
        <x:v>2053</x:v>
      </x:c>
      <x:c r="B682" s="41" t="n">
        <x:f>IF(B681=26,1,B681+1)</x:f>
        <x:v>5</x:v>
      </x:c>
      <x:c r="C682" s="48" t="n">
        <x:f>Inputs!$F$29</x:f>
        <x:v>600</x:v>
      </x:c>
      <x:c r="D682" s="50" t="n">
        <x:f>IF(B682=1,0,D681+E681)</x:f>
        <x:v>2400</x:v>
      </x:c>
      <x:c r="E682" s="50" t="n">
        <x:f>MIN(C682,MAX(0,Inputs!$B$7-D682))</x:f>
        <x:v>600</x:v>
      </x:c>
      <x:c r="F682" s="50" t="n">
        <x:f>MIN(C682-E682,MAX(0,Inputs!$B$20-O682))</x:f>
        <x:v>0</x:v>
      </x:c>
      <x:c r="G682" s="50" t="n">
        <x:f>0</x:f>
        <x:v>0</x:v>
      </x:c>
      <x:c r="H682" s="41" t="n">
        <x:f>0</x:f>
        <x:v>0</x:v>
      </x:c>
      <x:c r="I682" s="50" t="n">
        <x:f>(I681*(1+Inputs!$B$12))+E682</x:f>
        <x:v>556502.4394857532</x:v>
      </x:c>
      <x:c r="J682" s="50" t="n">
        <x:f>(J681*(1+Inputs!$B$12))+F682+P682</x:f>
        <x:v>654922.0476483343</x:v>
      </x:c>
      <x:c r="K682" s="50" t="n">
        <x:f>(K681*(1+Inputs!$B$12))*(1-H682)</x:f>
        <x:v>0</x:v>
      </x:c>
      <x:c r="L682" s="50" t="n">
        <x:f>L681*(1+Inputs!$B$13)+Q682</x:f>
        <x:v>44898.39109815597</x:v>
      </x:c>
      <x:c r="M682" s="50" t="n">
        <x:f>I682+J682+L682</x:f>
        <x:v>1256322.8782322432</x:v>
      </x:c>
      <x:c r="N682" s="50" t="n">
        <x:f>F682+P682</x:f>
        <x:v>0</x:v>
      </x:c>
      <x:c r="O682" s="50" t="n">
        <x:f>IF(B682=1,0,O681+F681+P681)</x:f>
        <x:v>0</x:v>
      </x:c>
      <x:c r="P682" s="50" t="n">
        <x:f>MIN(G682,MAX(0,Inputs!$B$20-O682-F682))</x:f>
        <x:v>0</x:v>
      </x:c>
      <x:c r="Q682" s="50" t="n">
        <x:f>(C682-E682-F682)+(G682-P682)</x:f>
        <x:v>0</x:v>
      </x:c>
    </x:row>
    <x:row r="683">
      <x:c r="A683" s="41" t="n">
        <x:f>IF(B683=1,A682+1,A682)</x:f>
        <x:v>2053</x:v>
      </x:c>
      <x:c r="B683" s="41" t="n">
        <x:f>IF(B682=26,1,B682+1)</x:f>
        <x:v>6</x:v>
      </x:c>
      <x:c r="C683" s="48" t="n">
        <x:f>Inputs!$F$29</x:f>
        <x:v>600</x:v>
      </x:c>
      <x:c r="D683" s="50" t="n">
        <x:f>IF(B683=1,0,D682+E682)</x:f>
        <x:v>3000</x:v>
      </x:c>
      <x:c r="E683" s="50" t="n">
        <x:f>MIN(C683,MAX(0,Inputs!$B$7-D683))</x:f>
        <x:v>600</x:v>
      </x:c>
      <x:c r="F683" s="50" t="n">
        <x:f>MIN(C683-E683,MAX(0,Inputs!$B$20-O683))</x:f>
        <x:v>0</x:v>
      </x:c>
      <x:c r="G683" s="50" t="n">
        <x:f>0</x:f>
        <x:v>0</x:v>
      </x:c>
      <x:c r="H683" s="41" t="n">
        <x:f>0</x:f>
        <x:v>0</x:v>
      </x:c>
      <x:c r="I683" s="50" t="n">
        <x:f>(I682*(1+Inputs!$B$12))+E683</x:f>
        <x:v>558147.721683945</x:v>
      </x:c>
      <x:c r="J683" s="50" t="n">
        <x:f>(J682*(1+Inputs!$B$12))+F683+P683</x:f>
        <x:v>656152.192044903</x:v>
      </x:c>
      <x:c r="K683" s="50" t="n">
        <x:f>(K682*(1+Inputs!$B$12))*(1-H683)</x:f>
        <x:v>0</x:v>
      </x:c>
      <x:c r="L683" s="50" t="n">
        <x:f>L682*(1+Inputs!$B$13)+Q683</x:f>
        <x:v>44976.9477638274</x:v>
      </x:c>
      <x:c r="M683" s="50" t="n">
        <x:f>I683+J683+L683</x:f>
        <x:v>1259276.8614926755</x:v>
      </x:c>
      <x:c r="N683" s="50" t="n">
        <x:f>F683+P683</x:f>
        <x:v>0</x:v>
      </x:c>
      <x:c r="O683" s="50" t="n">
        <x:f>IF(B683=1,0,O682+F682+P682)</x:f>
        <x:v>0</x:v>
      </x:c>
      <x:c r="P683" s="50" t="n">
        <x:f>MIN(G683,MAX(0,Inputs!$B$20-O683-F683))</x:f>
        <x:v>0</x:v>
      </x:c>
      <x:c r="Q683" s="50" t="n">
        <x:f>(C683-E683-F683)+(G683-P683)</x:f>
        <x:v>0</x:v>
      </x:c>
    </x:row>
    <x:row r="684">
      <x:c r="A684" s="41" t="n">
        <x:f>IF(B684=1,A683+1,A683)</x:f>
        <x:v>2053</x:v>
      </x:c>
      <x:c r="B684" s="41" t="n">
        <x:f>IF(B683=26,1,B683+1)</x:f>
        <x:v>7</x:v>
      </x:c>
      <x:c r="C684" s="48" t="n">
        <x:f>Inputs!$F$29</x:f>
        <x:v>600</x:v>
      </x:c>
      <x:c r="D684" s="50" t="n">
        <x:f>IF(B684=1,0,D683+E683)</x:f>
        <x:v>3600</x:v>
      </x:c>
      <x:c r="E684" s="50" t="n">
        <x:f>MIN(C684,MAX(0,Inputs!$B$7-D684))</x:f>
        <x:v>600</x:v>
      </x:c>
      <x:c r="F684" s="50" t="n">
        <x:f>MIN(C684-E684,MAX(0,Inputs!$B$20-O684))</x:f>
        <x:v>0</x:v>
      </x:c>
      <x:c r="G684" s="50" t="n">
        <x:f>0</x:f>
        <x:v>0</x:v>
      </x:c>
      <x:c r="H684" s="41" t="n">
        <x:f>0</x:f>
        <x:v>0</x:v>
      </x:c>
      <x:c r="I684" s="50" t="n">
        <x:f>(I683*(1+Inputs!$B$12))+E684</x:f>
        <x:v>559796.0942265285</x:v>
      </x:c>
      <x:c r="J684" s="50" t="n">
        <x:f>(J683*(1+Inputs!$B$12))+F684+P684</x:f>
        <x:v>657384.6470297956</x:v>
      </x:c>
      <x:c r="K684" s="50" t="n">
        <x:f>(K683*(1+Inputs!$B$12))*(1-H684)</x:f>
        <x:v>0</x:v>
      </x:c>
      <x:c r="L684" s="50" t="n">
        <x:f>L683*(1+Inputs!$B$13)+Q684</x:f>
        <x:v>45055.6418765113</x:v>
      </x:c>
      <x:c r="M684" s="50" t="n">
        <x:f>I684+J684+L684</x:f>
        <x:v>1262236.3831328354</x:v>
      </x:c>
      <x:c r="N684" s="50" t="n">
        <x:f>F684+P684</x:f>
        <x:v>0</x:v>
      </x:c>
      <x:c r="O684" s="50" t="n">
        <x:f>IF(B684=1,0,O683+F683+P683)</x:f>
        <x:v>0</x:v>
      </x:c>
      <x:c r="P684" s="50" t="n">
        <x:f>MIN(G684,MAX(0,Inputs!$B$20-O684-F684))</x:f>
        <x:v>0</x:v>
      </x:c>
      <x:c r="Q684" s="50" t="n">
        <x:f>(C684-E684-F684)+(G684-P684)</x:f>
        <x:v>0</x:v>
      </x:c>
    </x:row>
    <x:row r="685">
      <x:c r="A685" s="41" t="n">
        <x:f>IF(B685=1,A684+1,A684)</x:f>
        <x:v>2053</x:v>
      </x:c>
      <x:c r="B685" s="41" t="n">
        <x:f>IF(B684=26,1,B684+1)</x:f>
        <x:v>8</x:v>
      </x:c>
      <x:c r="C685" s="48" t="n">
        <x:f>Inputs!$F$29</x:f>
        <x:v>600</x:v>
      </x:c>
      <x:c r="D685" s="50" t="n">
        <x:f>IF(B685=1,0,D684+E684)</x:f>
        <x:v>4200</x:v>
      </x:c>
      <x:c r="E685" s="50" t="n">
        <x:f>MIN(C685,MAX(0,Inputs!$B$7-D685))</x:f>
        <x:v>600</x:v>
      </x:c>
      <x:c r="F685" s="50" t="n">
        <x:f>MIN(C685-E685,MAX(0,Inputs!$B$20-O685))</x:f>
        <x:v>0</x:v>
      </x:c>
      <x:c r="G685" s="50" t="n">
        <x:f>0</x:f>
        <x:v>0</x:v>
      </x:c>
      <x:c r="H685" s="41" t="n">
        <x:f>0</x:f>
        <x:v>0</x:v>
      </x:c>
      <x:c r="I685" s="50" t="n">
        <x:f>(I684*(1+Inputs!$B$12))+E685</x:f>
        <x:v>561447.5629181179</x:v>
      </x:c>
      <x:c r="J685" s="50" t="n">
        <x:f>(J684*(1+Inputs!$B$12))+F685+P685</x:f>
        <x:v>658619.4169430054</x:v>
      </x:c>
      <x:c r="K685" s="50" t="n">
        <x:f>(K684*(1+Inputs!$B$12))*(1-H685)</x:f>
        <x:v>0</x:v>
      </x:c>
      <x:c r="L685" s="50" t="n">
        <x:f>L684*(1+Inputs!$B$13)+Q685</x:f>
        <x:v>45134.47367669244</x:v>
      </x:c>
      <x:c r="M685" s="50" t="n">
        <x:f>I685+J685+L685</x:f>
        <x:v>1265201.4535378157</x:v>
      </x:c>
      <x:c r="N685" s="50" t="n">
        <x:f>F685+P685</x:f>
        <x:v>0</x:v>
      </x:c>
      <x:c r="O685" s="50" t="n">
        <x:f>IF(B685=1,0,O684+F684+P684)</x:f>
        <x:v>0</x:v>
      </x:c>
      <x:c r="P685" s="50" t="n">
        <x:f>MIN(G685,MAX(0,Inputs!$B$20-O685-F685))</x:f>
        <x:v>0</x:v>
      </x:c>
      <x:c r="Q685" s="50" t="n">
        <x:f>(C685-E685-F685)+(G685-P685)</x:f>
        <x:v>0</x:v>
      </x:c>
    </x:row>
    <x:row r="686">
      <x:c r="A686" s="41" t="n">
        <x:f>IF(B686=1,A685+1,A685)</x:f>
        <x:v>2053</x:v>
      </x:c>
      <x:c r="B686" s="41" t="n">
        <x:f>IF(B685=26,1,B685+1)</x:f>
        <x:v>9</x:v>
      </x:c>
      <x:c r="C686" s="48" t="n">
        <x:f>Inputs!$F$29</x:f>
        <x:v>600</x:v>
      </x:c>
      <x:c r="D686" s="50" t="n">
        <x:f>IF(B686=1,0,D685+E685)</x:f>
        <x:v>4800</x:v>
      </x:c>
      <x:c r="E686" s="50" t="n">
        <x:f>MIN(C686,MAX(0,Inputs!$B$7-D686))</x:f>
        <x:v>600</x:v>
      </x:c>
      <x:c r="F686" s="50" t="n">
        <x:f>MIN(C686-E686,MAX(0,Inputs!$B$20-O686))</x:f>
        <x:v>0</x:v>
      </x:c>
      <x:c r="G686" s="50" t="n">
        <x:f>SUM(N652:N677)*Inputs!$B$6</x:f>
        <x:v>3257.14285714318</x:v>
      </x:c>
      <x:c r="H686" s="41" t="n">
        <x:f>0</x:f>
        <x:v>0</x:v>
      </x:c>
      <x:c r="I686" s="50" t="n">
        <x:f>(I685*(1+Inputs!$B$12))+E686</x:f>
        <x:v>563102.13357423</x:v>
      </x:c>
      <x:c r="J686" s="50" t="n">
        <x:f>(J685*(1+Inputs!$B$12))+F686+P686</x:f>
        <x:v>663113.6489898209</x:v>
      </x:c>
      <x:c r="K686" s="50" t="n">
        <x:f>(K685*(1+Inputs!$B$12))*(1-H686)</x:f>
        <x:v>0</x:v>
      </x:c>
      <x:c r="L686" s="50" t="n">
        <x:f>L685*(1+Inputs!$B$13)+Q686</x:f>
        <x:v>45213.44340527635</x:v>
      </x:c>
      <x:c r="M686" s="50" t="n">
        <x:f>I686+J686+L686</x:f>
        <x:v>1271429.2259693274</x:v>
      </x:c>
      <x:c r="N686" s="50" t="n">
        <x:f>F686+P686</x:f>
        <x:v>3257.14285714318</x:v>
      </x:c>
      <x:c r="O686" s="50" t="n">
        <x:f>IF(B686=1,0,O685+F685+P685)</x:f>
        <x:v>0</x:v>
      </x:c>
      <x:c r="P686" s="50" t="n">
        <x:f>MIN(G686,MAX(0,Inputs!$B$20-O686-F686))</x:f>
        <x:v>3257.14285714318</x:v>
      </x:c>
      <x:c r="Q686" s="50" t="n">
        <x:f>(C686-E686-F686)+(G686-P686)</x:f>
        <x:v>0</x:v>
      </x:c>
    </x:row>
    <x:row r="687">
      <x:c r="A687" s="41" t="n">
        <x:f>IF(B687=1,A686+1,A686)</x:f>
        <x:v>2053</x:v>
      </x:c>
      <x:c r="B687" s="41" t="n">
        <x:f>IF(B686=26,1,B686+1)</x:f>
        <x:v>10</x:v>
      </x:c>
      <x:c r="C687" s="48" t="n">
        <x:f>Inputs!$F$29</x:f>
        <x:v>600</x:v>
      </x:c>
      <x:c r="D687" s="50" t="n">
        <x:f>IF(B687=1,0,D686+E686)</x:f>
        <x:v>5400</x:v>
      </x:c>
      <x:c r="E687" s="50" t="n">
        <x:f>MIN(C687,MAX(0,Inputs!$B$7-D687))</x:f>
        <x:v>600</x:v>
      </x:c>
      <x:c r="F687" s="50" t="n">
        <x:f>MIN(C687-E687,MAX(0,Inputs!$B$20-O687))</x:f>
        <x:v>0</x:v>
      </x:c>
      <x:c r="G687" s="50" t="n">
        <x:f>0</x:f>
        <x:v>0</x:v>
      </x:c>
      <x:c r="H687" s="41" t="n">
        <x:f>0</x:f>
        <x:v>0</x:v>
      </x:c>
      <x:c r="I687" s="50" t="n">
        <x:f>(I686*(1+Inputs!$B$12))+E687</x:f>
        <x:v>564759.8120213056</x:v>
      </x:c>
      <x:c r="J687" s="50" t="n">
        <x:f>(J686*(1+Inputs!$B$12))+F687+P687</x:f>
        <x:v>664359.1797251536</x:v>
      </x:c>
      <x:c r="K687" s="50" t="n">
        <x:f>(K686*(1+Inputs!$B$12))*(1-H687)</x:f>
        <x:v>0</x:v>
      </x:c>
      <x:c r="L687" s="50" t="n">
        <x:f>L686*(1+Inputs!$B$13)+Q687</x:f>
        <x:v>45292.551303590066</x:v>
      </x:c>
      <x:c r="M687" s="50" t="n">
        <x:f>I687+J687+L687</x:f>
        <x:v>1274411.5430500493</x:v>
      </x:c>
      <x:c r="N687" s="50" t="n">
        <x:f>F687+P687</x:f>
        <x:v>0</x:v>
      </x:c>
      <x:c r="O687" s="50" t="n">
        <x:f>IF(B687=1,0,O686+F686+P686)</x:f>
        <x:v>3257.14285714318</x:v>
      </x:c>
      <x:c r="P687" s="50" t="n">
        <x:f>MIN(G687,MAX(0,Inputs!$B$20-O687-F687))</x:f>
        <x:v>0</x:v>
      </x:c>
      <x:c r="Q687" s="50" t="n">
        <x:f>(C687-E687-F687)+(G687-P687)</x:f>
        <x:v>0</x:v>
      </x:c>
    </x:row>
    <x:row r="688">
      <x:c r="A688" s="41" t="n">
        <x:f>IF(B688=1,A687+1,A687)</x:f>
        <x:v>2053</x:v>
      </x:c>
      <x:c r="B688" s="41" t="n">
        <x:f>IF(B687=26,1,B687+1)</x:f>
        <x:v>11</x:v>
      </x:c>
      <x:c r="C688" s="48" t="n">
        <x:f>Inputs!$F$29</x:f>
        <x:v>600</x:v>
      </x:c>
      <x:c r="D688" s="50" t="n">
        <x:f>IF(B688=1,0,D687+E687)</x:f>
        <x:v>6000</x:v>
      </x:c>
      <x:c r="E688" s="50" t="n">
        <x:f>MIN(C688,MAX(0,Inputs!$B$7-D688))</x:f>
        <x:v>600</x:v>
      </x:c>
      <x:c r="F688" s="50" t="n">
        <x:f>MIN(C688-E688,MAX(0,Inputs!$B$20-O688))</x:f>
        <x:v>0</x:v>
      </x:c>
      <x:c r="G688" s="50" t="n">
        <x:f>0</x:f>
        <x:v>0</x:v>
      </x:c>
      <x:c r="H688" s="41" t="n">
        <x:f>0</x:f>
        <x:v>0</x:v>
      </x:c>
      <x:c r="I688" s="50" t="n">
        <x:f>(I687*(1+Inputs!$B$12))+E688</x:f>
        <x:v>566420.6040967286</x:v>
      </x:c>
      <x:c r="J688" s="50" t="n">
        <x:f>(J687*(1+Inputs!$B$12))+F688+P688</x:f>
        <x:v>665607.0499490717</x:v>
      </x:c>
      <x:c r="K688" s="50" t="n">
        <x:f>(K687*(1+Inputs!$B$12))*(1-H688)</x:f>
        <x:v>0</x:v>
      </x:c>
      <x:c r="L688" s="50" t="n">
        <x:f>L687*(1+Inputs!$B$13)+Q688</x:f>
        <x:v>45371.79761338285</x:v>
      </x:c>
      <x:c r="M688" s="50" t="n">
        <x:f>I688+J688+L688</x:f>
        <x:v>1277399.451659183</x:v>
      </x:c>
      <x:c r="N688" s="50" t="n">
        <x:f>F688+P688</x:f>
        <x:v>0</x:v>
      </x:c>
      <x:c r="O688" s="50" t="n">
        <x:f>IF(B688=1,0,O687+F687+P687)</x:f>
        <x:v>3257.14285714318</x:v>
      </x:c>
      <x:c r="P688" s="50" t="n">
        <x:f>MIN(G688,MAX(0,Inputs!$B$20-O688-F688))</x:f>
        <x:v>0</x:v>
      </x:c>
      <x:c r="Q688" s="50" t="n">
        <x:f>(C688-E688-F688)+(G688-P688)</x:f>
        <x:v>0</x:v>
      </x:c>
    </x:row>
    <x:row r="689">
      <x:c r="A689" s="41" t="n">
        <x:f>IF(B689=1,A688+1,A688)</x:f>
        <x:v>2053</x:v>
      </x:c>
      <x:c r="B689" s="41" t="n">
        <x:f>IF(B688=26,1,B688+1)</x:f>
        <x:v>12</x:v>
      </x:c>
      <x:c r="C689" s="48" t="n">
        <x:f>Inputs!$F$29</x:f>
        <x:v>600</x:v>
      </x:c>
      <x:c r="D689" s="50" t="n">
        <x:f>IF(B689=1,0,D688+E688)</x:f>
        <x:v>6600</x:v>
      </x:c>
      <x:c r="E689" s="50" t="n">
        <x:f>MIN(C689,MAX(0,Inputs!$B$7-D689))</x:f>
        <x:v>600</x:v>
      </x:c>
      <x:c r="F689" s="50" t="n">
        <x:f>MIN(C689-E689,MAX(0,Inputs!$B$20-O689))</x:f>
        <x:v>0</x:v>
      </x:c>
      <x:c r="G689" s="50" t="n">
        <x:f>0</x:f>
        <x:v>0</x:v>
      </x:c>
      <x:c r="H689" s="41" t="n">
        <x:f>0</x:f>
        <x:v>0</x:v>
      </x:c>
      <x:c r="I689" s="50" t="n">
        <x:f>(I688*(1+Inputs!$B$12))+E689</x:f>
        <x:v>568084.5156488478</x:v>
      </x:c>
      <x:c r="J689" s="50" t="n">
        <x:f>(J688*(1+Inputs!$B$12))+F689+P689</x:f>
        <x:v>666857.2640558521</x:v>
      </x:c>
      <x:c r="K689" s="50" t="n">
        <x:f>(K688*(1+Inputs!$B$12))*(1-H689)</x:f>
        <x:v>0</x:v>
      </x:c>
      <x:c r="L689" s="50" t="n">
        <x:f>L688*(1+Inputs!$B$13)+Q689</x:f>
        <x:v>45451.182576826955</x:v>
      </x:c>
      <x:c r="M689" s="50" t="n">
        <x:f>I689+J689+L689</x:f>
        <x:v>1280392.9622815268</x:v>
      </x:c>
      <x:c r="N689" s="50" t="n">
        <x:f>F689+P689</x:f>
        <x:v>0</x:v>
      </x:c>
      <x:c r="O689" s="50" t="n">
        <x:f>IF(B689=1,0,O688+F688+P688)</x:f>
        <x:v>3257.14285714318</x:v>
      </x:c>
      <x:c r="P689" s="50" t="n">
        <x:f>MIN(G689,MAX(0,Inputs!$B$20-O689-F689))</x:f>
        <x:v>0</x:v>
      </x:c>
      <x:c r="Q689" s="50" t="n">
        <x:f>(C689-E689-F689)+(G689-P689)</x:f>
        <x:v>0</x:v>
      </x:c>
    </x:row>
    <x:row r="690">
      <x:c r="A690" s="41" t="n">
        <x:f>IF(B690=1,A689+1,A689)</x:f>
        <x:v>2053</x:v>
      </x:c>
      <x:c r="B690" s="41" t="n">
        <x:f>IF(B689=26,1,B689+1)</x:f>
        <x:v>13</x:v>
      </x:c>
      <x:c r="C690" s="48" t="n">
        <x:f>Inputs!$F$29</x:f>
        <x:v>600</x:v>
      </x:c>
      <x:c r="D690" s="50" t="n">
        <x:f>IF(B690=1,0,D689+E689)</x:f>
        <x:v>7200</x:v>
      </x:c>
      <x:c r="E690" s="50" t="n">
        <x:f>MIN(C690,MAX(0,Inputs!$B$7-D690))</x:f>
        <x:v>600</x:v>
      </x:c>
      <x:c r="F690" s="50" t="n">
        <x:f>MIN(C690-E690,MAX(0,Inputs!$B$20-O690))</x:f>
        <x:v>0</x:v>
      </x:c>
      <x:c r="G690" s="50" t="n">
        <x:f>0</x:f>
        <x:v>0</x:v>
      </x:c>
      <x:c r="H690" s="41" t="n">
        <x:f>0</x:f>
        <x:v>0</x:v>
      </x:c>
      <x:c r="I690" s="50" t="n">
        <x:f>(I689*(1+Inputs!$B$12))+E690</x:f>
        <x:v>569751.5525369968</x:v>
      </x:c>
      <x:c r="J690" s="50" t="n">
        <x:f>(J689*(1+Inputs!$B$12))+F690+P690</x:f>
        <x:v>668109.8264480253</x:v>
      </x:c>
      <x:c r="K690" s="50" t="n">
        <x:f>(K689*(1+Inputs!$B$12))*(1-H690)</x:f>
        <x:v>0</x:v>
      </x:c>
      <x:c r="L690" s="50" t="n">
        <x:f>L689*(1+Inputs!$B$13)+Q690</x:f>
        <x:v>45530.70643651835</x:v>
      </x:c>
      <x:c r="M690" s="50" t="n">
        <x:f>I690+J690+L690</x:f>
        <x:v>1283392.0854215405</x:v>
      </x:c>
      <x:c r="N690" s="50" t="n">
        <x:f>F690+P690</x:f>
        <x:v>0</x:v>
      </x:c>
      <x:c r="O690" s="50" t="n">
        <x:f>IF(B690=1,0,O689+F689+P689)</x:f>
        <x:v>3257.14285714318</x:v>
      </x:c>
      <x:c r="P690" s="50" t="n">
        <x:f>MIN(G690,MAX(0,Inputs!$B$20-O690-F690))</x:f>
        <x:v>0</x:v>
      </x:c>
      <x:c r="Q690" s="50" t="n">
        <x:f>(C690-E690-F690)+(G690-P690)</x:f>
        <x:v>0</x:v>
      </x:c>
    </x:row>
    <x:row r="691">
      <x:c r="A691" s="41" t="n">
        <x:f>IF(B691=1,A690+1,A690)</x:f>
        <x:v>2053</x:v>
      </x:c>
      <x:c r="B691" s="41" t="n">
        <x:f>IF(B690=26,1,B690+1)</x:f>
        <x:v>14</x:v>
      </x:c>
      <x:c r="C691" s="48" t="n">
        <x:f>Inputs!$F$29</x:f>
        <x:v>600</x:v>
      </x:c>
      <x:c r="D691" s="50" t="n">
        <x:f>IF(B691=1,0,D690+E690)</x:f>
        <x:v>7800</x:v>
      </x:c>
      <x:c r="E691" s="50" t="n">
        <x:f>MIN(C691,MAX(0,Inputs!$B$7-D691))</x:f>
        <x:v>200</x:v>
      </x:c>
      <x:c r="F691" s="50" t="n">
        <x:f>MIN(C691-E691,MAX(0,Inputs!$B$20-O691))</x:f>
        <x:v>400</x:v>
      </x:c>
      <x:c r="G691" s="50" t="n">
        <x:f>0</x:f>
        <x:v>0</x:v>
      </x:c>
      <x:c r="H691" s="41" t="n">
        <x:f>0</x:f>
        <x:v>0</x:v>
      </x:c>
      <x:c r="I691" s="50" t="n">
        <x:f>(I690*(1+Inputs!$B$12))+E691</x:f>
        <x:v>571021.7206315148</x:v>
      </x:c>
      <x:c r="J691" s="50" t="n">
        <x:f>(J690*(1+Inputs!$B$12))+F691+P691</x:f>
        <x:v>669764.7415363913</x:v>
      </x:c>
      <x:c r="K691" s="50" t="n">
        <x:f>(K690*(1+Inputs!$B$12))*(1-H691)</x:f>
        <x:v>0</x:v>
      </x:c>
      <x:c r="L691" s="50" t="n">
        <x:f>L690*(1+Inputs!$B$13)+Q691</x:f>
        <x:v>45610.36943547744</x:v>
      </x:c>
      <x:c r="M691" s="50" t="n">
        <x:f>I691+J691+L691</x:f>
        <x:v>1286396.8316033836</x:v>
      </x:c>
      <x:c r="N691" s="50" t="n">
        <x:f>F691+P691</x:f>
        <x:v>400</x:v>
      </x:c>
      <x:c r="O691" s="50" t="n">
        <x:f>IF(B691=1,0,O690+F690+P690)</x:f>
        <x:v>3257.14285714318</x:v>
      </x:c>
      <x:c r="P691" s="50" t="n">
        <x:f>MIN(G691,MAX(0,Inputs!$B$20-O691-F691))</x:f>
        <x:v>0</x:v>
      </x:c>
      <x:c r="Q691" s="50" t="n">
        <x:f>(C691-E691-F691)+(G691-P691)</x:f>
        <x:v>0</x:v>
      </x:c>
    </x:row>
    <x:row r="692">
      <x:c r="A692" s="41" t="n">
        <x:f>IF(B692=1,A691+1,A691)</x:f>
        <x:v>2053</x:v>
      </x:c>
      <x:c r="B692" s="41" t="n">
        <x:f>IF(B691=26,1,B691+1)</x:f>
        <x:v>15</x:v>
      </x:c>
      <x:c r="C692" s="48" t="n">
        <x:f>Inputs!$F$29</x:f>
        <x:v>600</x:v>
      </x:c>
      <x:c r="D692" s="50" t="n">
        <x:f>IF(B692=1,0,D691+E691)</x:f>
        <x:v>8000</x:v>
      </x:c>
      <x:c r="E692" s="50" t="n">
        <x:f>MIN(C692,MAX(0,Inputs!$B$7-D692))</x:f>
        <x:v>0</x:v>
      </x:c>
      <x:c r="F692" s="50" t="n">
        <x:f>MIN(C692-E692,MAX(0,Inputs!$B$20-O692))</x:f>
        <x:v>600</x:v>
      </x:c>
      <x:c r="G692" s="50" t="n">
        <x:f>0</x:f>
        <x:v>0</x:v>
      </x:c>
      <x:c r="H692" s="41" t="n">
        <x:f>0</x:f>
        <x:v>0</x:v>
      </x:c>
      <x:c r="I692" s="50" t="n">
        <x:f>(I691*(1+Inputs!$B$12))+E692</x:f>
        <x:v>572094.2744911324</x:v>
      </x:c>
      <x:c r="J692" s="50" t="n">
        <x:f>(J691*(1+Inputs!$B$12))+F692+P692</x:f>
        <x:v>671622.7650626701</x:v>
      </x:c>
      <x:c r="K692" s="50" t="n">
        <x:f>(K691*(1+Inputs!$B$12))*(1-H692)</x:f>
        <x:v>0</x:v>
      </x:c>
      <x:c r="L692" s="50" t="n">
        <x:f>L691*(1+Inputs!$B$13)+Q692</x:f>
        <x:v>45690.17181714987</x:v>
      </x:c>
      <x:c r="M692" s="50" t="n">
        <x:f>I692+J692+L692</x:f>
        <x:v>1289407.2113709524</x:v>
      </x:c>
      <x:c r="N692" s="50" t="n">
        <x:f>F692+P692</x:f>
        <x:v>600</x:v>
      </x:c>
      <x:c r="O692" s="50" t="n">
        <x:f>IF(B692=1,0,O691+F691+P691)</x:f>
        <x:v>3657.14285714318</x:v>
      </x:c>
      <x:c r="P692" s="50" t="n">
        <x:f>MIN(G692,MAX(0,Inputs!$B$20-O692-F692))</x:f>
        <x:v>0</x:v>
      </x:c>
      <x:c r="Q692" s="50" t="n">
        <x:f>(C692-E692-F692)+(G692-P692)</x:f>
        <x:v>0</x:v>
      </x:c>
    </x:row>
    <x:row r="693">
      <x:c r="A693" s="41" t="n">
        <x:f>IF(B693=1,A692+1,A692)</x:f>
        <x:v>2053</x:v>
      </x:c>
      <x:c r="B693" s="41" t="n">
        <x:f>IF(B692=26,1,B692+1)</x:f>
        <x:v>16</x:v>
      </x:c>
      <x:c r="C693" s="48" t="n">
        <x:f>Inputs!$F$29</x:f>
        <x:v>600</x:v>
      </x:c>
      <x:c r="D693" s="50" t="n">
        <x:f>IF(B693=1,0,D692+E692)</x:f>
        <x:v>8000</x:v>
      </x:c>
      <x:c r="E693" s="50" t="n">
        <x:f>MIN(C693,MAX(0,Inputs!$B$7-D693))</x:f>
        <x:v>0</x:v>
      </x:c>
      <x:c r="F693" s="50" t="n">
        <x:f>MIN(C693-E693,MAX(0,Inputs!$B$20-O693))</x:f>
        <x:v>600</x:v>
      </x:c>
      <x:c r="G693" s="50" t="n">
        <x:f>0</x:f>
        <x:v>0</x:v>
      </x:c>
      <x:c r="H693" s="41" t="n">
        <x:f>0</x:f>
        <x:v>0</x:v>
      </x:c>
      <x:c r="I693" s="50" t="n">
        <x:f>(I692*(1+Inputs!$B$12))+E693</x:f>
        <x:v>573168.8429357301</x:v>
      </x:c>
      <x:c r="J693" s="50" t="n">
        <x:f>(J692*(1+Inputs!$B$12))+F693+P693</x:f>
        <x:v>673484.2785267784</x:v>
      </x:c>
      <x:c r="K693" s="50" t="n">
        <x:f>(K692*(1+Inputs!$B$12))*(1-H693)</x:f>
        <x:v>0</x:v>
      </x:c>
      <x:c r="L693" s="50" t="n">
        <x:f>L692*(1+Inputs!$B$13)+Q693</x:f>
        <x:v>45770.11382540721</x:v>
      </x:c>
      <x:c r="M693" s="50" t="n">
        <x:f>I693+J693+L693</x:f>
        <x:v>1292423.2352879157</x:v>
      </x:c>
      <x:c r="N693" s="50" t="n">
        <x:f>F693+P693</x:f>
        <x:v>600</x:v>
      </x:c>
      <x:c r="O693" s="50" t="n">
        <x:f>IF(B693=1,0,O692+F692+P692)</x:f>
        <x:v>4257.142857143181</x:v>
      </x:c>
      <x:c r="P693" s="50" t="n">
        <x:f>MIN(G693,MAX(0,Inputs!$B$20-O693-F693))</x:f>
        <x:v>0</x:v>
      </x:c>
      <x:c r="Q693" s="50" t="n">
        <x:f>(C693-E693-F693)+(G693-P693)</x:f>
        <x:v>0</x:v>
      </x:c>
    </x:row>
    <x:row r="694">
      <x:c r="A694" s="41" t="n">
        <x:f>IF(B694=1,A693+1,A693)</x:f>
        <x:v>2053</x:v>
      </x:c>
      <x:c r="B694" s="41" t="n">
        <x:f>IF(B693=26,1,B693+1)</x:f>
        <x:v>17</x:v>
      </x:c>
      <x:c r="C694" s="48" t="n">
        <x:f>Inputs!$F$29</x:f>
        <x:v>600</x:v>
      </x:c>
      <x:c r="D694" s="50" t="n">
        <x:f>IF(B694=1,0,D693+E693)</x:f>
        <x:v>8000</x:v>
      </x:c>
      <x:c r="E694" s="50" t="n">
        <x:f>MIN(C694,MAX(0,Inputs!$B$7-D694))</x:f>
        <x:v>0</x:v>
      </x:c>
      <x:c r="F694" s="50" t="n">
        <x:f>MIN(C694-E694,MAX(0,Inputs!$B$20-O694))</x:f>
        <x:v>600</x:v>
      </x:c>
      <x:c r="G694" s="50" t="n">
        <x:f>0</x:f>
        <x:v>0</x:v>
      </x:c>
      <x:c r="H694" s="41" t="n">
        <x:f>0</x:f>
        <x:v>0</x:v>
      </x:c>
      <x:c r="I694" s="50" t="n">
        <x:f>(I693*(1+Inputs!$B$12))+E694</x:f>
        <x:v>574245.4297493164</x:v>
      </x:c>
      <x:c r="J694" s="50" t="n">
        <x:f>(J693*(1+Inputs!$B$12))+F694+P694</x:f>
        <x:v>675349.2884838897</x:v>
      </x:c>
      <x:c r="K694" s="50" t="n">
        <x:f>(K693*(1+Inputs!$B$12))*(1-H694)</x:f>
        <x:v>0</x:v>
      </x:c>
      <x:c r="L694" s="50" t="n">
        <x:f>L693*(1+Inputs!$B$13)+Q694</x:f>
        <x:v>45850.19570454771</x:v>
      </x:c>
      <x:c r="M694" s="50" t="n">
        <x:f>I694+J694+L694</x:f>
        <x:v>1295444.9139377538</x:v>
      </x:c>
      <x:c r="N694" s="50" t="n">
        <x:f>F694+P694</x:f>
        <x:v>600</x:v>
      </x:c>
      <x:c r="O694" s="50" t="n">
        <x:f>IF(B694=1,0,O693+F693+P693)</x:f>
        <x:v>4857.142857143181</x:v>
      </x:c>
      <x:c r="P694" s="50" t="n">
        <x:f>MIN(G694,MAX(0,Inputs!$B$20-O694-F694))</x:f>
        <x:v>0</x:v>
      </x:c>
      <x:c r="Q694" s="50" t="n">
        <x:f>(C694-E694-F694)+(G694-P694)</x:f>
        <x:v>0</x:v>
      </x:c>
    </x:row>
    <x:row r="695">
      <x:c r="A695" s="41" t="n">
        <x:f>IF(B695=1,A694+1,A694)</x:f>
        <x:v>2053</x:v>
      </x:c>
      <x:c r="B695" s="41" t="n">
        <x:f>IF(B694=26,1,B694+1)</x:f>
        <x:v>18</x:v>
      </x:c>
      <x:c r="C695" s="48" t="n">
        <x:f>Inputs!$F$29</x:f>
        <x:v>600</x:v>
      </x:c>
      <x:c r="D695" s="50" t="n">
        <x:f>IF(B695=1,0,D694+E694)</x:f>
        <x:v>8000</x:v>
      </x:c>
      <x:c r="E695" s="50" t="n">
        <x:f>MIN(C695,MAX(0,Inputs!$B$7-D695))</x:f>
        <x:v>0</x:v>
      </x:c>
      <x:c r="F695" s="50" t="n">
        <x:f>MIN(C695-E695,MAX(0,Inputs!$B$20-O695))</x:f>
        <x:v>600</x:v>
      </x:c>
      <x:c r="G695" s="50" t="n">
        <x:f>0</x:f>
        <x:v>0</x:v>
      </x:c>
      <x:c r="H695" s="41" t="n">
        <x:f>0</x:f>
        <x:v>0</x:v>
      </x:c>
      <x:c r="I695" s="50" t="n">
        <x:f>(I694*(1+Inputs!$B$12))+E695</x:f>
        <x:v>575324.038723007</x:v>
      </x:c>
      <x:c r="J695" s="50" t="n">
        <x:f>(J694*(1+Inputs!$B$12))+F695+P695</x:f>
        <x:v>677217.8015014896</x:v>
      </x:c>
      <x:c r="K695" s="50" t="n">
        <x:f>(K694*(1+Inputs!$B$12))*(1-H695)</x:f>
        <x:v>0</x:v>
      </x:c>
      <x:c r="L695" s="50" t="n">
        <x:f>L694*(1+Inputs!$B$13)+Q695</x:f>
        <x:v>45930.41769929709</x:v>
      </x:c>
      <x:c r="M695" s="50" t="n">
        <x:f>I695+J695+L695</x:f>
        <x:v>1298472.2579237937</x:v>
      </x:c>
      <x:c r="N695" s="50" t="n">
        <x:f>F695+P695</x:f>
        <x:v>600</x:v>
      </x:c>
      <x:c r="O695" s="50" t="n">
        <x:f>IF(B695=1,0,O694+F694+P694)</x:f>
        <x:v>5457.142857143181</x:v>
      </x:c>
      <x:c r="P695" s="50" t="n">
        <x:f>MIN(G695,MAX(0,Inputs!$B$20-O695-F695))</x:f>
        <x:v>0</x:v>
      </x:c>
      <x:c r="Q695" s="50" t="n">
        <x:f>(C695-E695-F695)+(G695-P695)</x:f>
        <x:v>0</x:v>
      </x:c>
    </x:row>
    <x:row r="696">
      <x:c r="A696" s="41" t="n">
        <x:f>IF(B696=1,A695+1,A695)</x:f>
        <x:v>2053</x:v>
      </x:c>
      <x:c r="B696" s="41" t="n">
        <x:f>IF(B695=26,1,B695+1)</x:f>
        <x:v>19</x:v>
      </x:c>
      <x:c r="C696" s="48" t="n">
        <x:f>Inputs!$F$29</x:f>
        <x:v>600</x:v>
      </x:c>
      <x:c r="D696" s="50" t="n">
        <x:f>IF(B696=1,0,D695+E695)</x:f>
        <x:v>8000</x:v>
      </x:c>
      <x:c r="E696" s="50" t="n">
        <x:f>MIN(C696,MAX(0,Inputs!$B$7-D696))</x:f>
        <x:v>0</x:v>
      </x:c>
      <x:c r="F696" s="50" t="n">
        <x:f>MIN(C696-E696,MAX(0,Inputs!$B$20-O696))</x:f>
        <x:v>600</x:v>
      </x:c>
      <x:c r="G696" s="50" t="n">
        <x:f>0</x:f>
        <x:v>0</x:v>
      </x:c>
      <x:c r="H696" s="41" t="n">
        <x:f>0</x:f>
        <x:v>0</x:v>
      </x:c>
      <x:c r="I696" s="50" t="n">
        <x:f>(I695*(1+Inputs!$B$12))+E696</x:f>
        <x:v>576404.6736550385</x:v>
      </x:c>
      <x:c r="J696" s="50" t="n">
        <x:f>(J695*(1+Inputs!$B$12))+F696+P696</x:f>
        <x:v>679089.8241593997</x:v>
      </x:c>
      <x:c r="K696" s="50" t="n">
        <x:f>(K695*(1+Inputs!$B$12))*(1-H696)</x:f>
        <x:v>0</x:v>
      </x:c>
      <x:c r="L696" s="50" t="n">
        <x:f>L695*(1+Inputs!$B$13)+Q696</x:f>
        <x:v>46010.78005480922</x:v>
      </x:c>
      <x:c r="M696" s="50" t="n">
        <x:f>I696+J696+L696</x:f>
        <x:v>1301505.2778692476</x:v>
      </x:c>
      <x:c r="N696" s="50" t="n">
        <x:f>F696+P696</x:f>
        <x:v>600</x:v>
      </x:c>
      <x:c r="O696" s="50" t="n">
        <x:f>IF(B696=1,0,O695+F695+P695)</x:f>
        <x:v>6057.142857143181</x:v>
      </x:c>
      <x:c r="P696" s="50" t="n">
        <x:f>MIN(G696,MAX(0,Inputs!$B$20-O696-F696))</x:f>
        <x:v>0</x:v>
      </x:c>
      <x:c r="Q696" s="50" t="n">
        <x:f>(C696-E696-F696)+(G696-P696)</x:f>
        <x:v>0</x:v>
      </x:c>
    </x:row>
    <x:row r="697">
      <x:c r="A697" s="41" t="n">
        <x:f>IF(B697=1,A696+1,A696)</x:f>
        <x:v>2053</x:v>
      </x:c>
      <x:c r="B697" s="41" t="n">
        <x:f>IF(B696=26,1,B696+1)</x:f>
        <x:v>20</x:v>
      </x:c>
      <x:c r="C697" s="48" t="n">
        <x:f>Inputs!$F$29</x:f>
        <x:v>600</x:v>
      </x:c>
      <x:c r="D697" s="50" t="n">
        <x:f>IF(B697=1,0,D696+E696)</x:f>
        <x:v>8000</x:v>
      </x:c>
      <x:c r="E697" s="50" t="n">
        <x:f>MIN(C697,MAX(0,Inputs!$B$7-D697))</x:f>
        <x:v>0</x:v>
      </x:c>
      <x:c r="F697" s="50" t="n">
        <x:f>MIN(C697-E697,MAX(0,Inputs!$B$20-O697))</x:f>
        <x:v>600</x:v>
      </x:c>
      <x:c r="G697" s="50" t="n">
        <x:f>0</x:f>
        <x:v>0</x:v>
      </x:c>
      <x:c r="H697" s="41" t="n">
        <x:f>0</x:f>
        <x:v>0</x:v>
      </x:c>
      <x:c r="I697" s="50" t="n">
        <x:f>(I696*(1+Inputs!$B$12))+E697</x:f>
        <x:v>577487.3383507817</x:v>
      </x:c>
      <x:c r="J697" s="50" t="n">
        <x:f>(J696*(1+Inputs!$B$12))+F697+P697</x:f>
        <x:v>680965.3630498007</x:v>
      </x:c>
      <x:c r="K697" s="50" t="n">
        <x:f>(K696*(1+Inputs!$B$12))*(1-H697)</x:f>
        <x:v>0</x:v>
      </x:c>
      <x:c r="L697" s="50" t="n">
        <x:f>L696*(1+Inputs!$B$13)+Q697</x:f>
        <x:v>46091.28301666693</x:v>
      </x:c>
      <x:c r="M697" s="50" t="n">
        <x:f>I697+J697+L697</x:f>
        <x:v>1304543.9844172494</x:v>
      </x:c>
      <x:c r="N697" s="50" t="n">
        <x:f>F697+P697</x:f>
        <x:v>600</x:v>
      </x:c>
      <x:c r="O697" s="50" t="n">
        <x:f>IF(B697=1,0,O696+F696+P696)</x:f>
        <x:v>6657.142857143181</x:v>
      </x:c>
      <x:c r="P697" s="50" t="n">
        <x:f>MIN(G697,MAX(0,Inputs!$B$20-O697-F697))</x:f>
        <x:v>0</x:v>
      </x:c>
      <x:c r="Q697" s="50" t="n">
        <x:f>(C697-E697-F697)+(G697-P697)</x:f>
        <x:v>0</x:v>
      </x:c>
    </x:row>
    <x:row r="698">
      <x:c r="A698" s="41" t="n">
        <x:f>IF(B698=1,A697+1,A697)</x:f>
        <x:v>2053</x:v>
      </x:c>
      <x:c r="B698" s="41" t="n">
        <x:f>IF(B697=26,1,B697+1)</x:f>
        <x:v>21</x:v>
      </x:c>
      <x:c r="C698" s="48" t="n">
        <x:f>Inputs!$F$29</x:f>
        <x:v>600</x:v>
      </x:c>
      <x:c r="D698" s="50" t="n">
        <x:f>IF(B698=1,0,D697+E697)</x:f>
        <x:v>8000</x:v>
      </x:c>
      <x:c r="E698" s="50" t="n">
        <x:f>MIN(C698,MAX(0,Inputs!$B$7-D698))</x:f>
        <x:v>0</x:v>
      </x:c>
      <x:c r="F698" s="50" t="n">
        <x:f>MIN(C698-E698,MAX(0,Inputs!$B$20-O698))</x:f>
        <x:v>600</x:v>
      </x:c>
      <x:c r="G698" s="50" t="n">
        <x:f>0</x:f>
        <x:v>0</x:v>
      </x:c>
      <x:c r="H698" s="41" t="n">
        <x:f>0</x:f>
        <x:v>0</x:v>
      </x:c>
      <x:c r="I698" s="50" t="n">
        <x:f>(I697*(1+Inputs!$B$12))+E698</x:f>
        <x:v>578572.0366227553</x:v>
      </x:c>
      <x:c r="J698" s="50" t="n">
        <x:f>(J697*(1+Inputs!$B$12))+F698+P698</x:f>
        <x:v>682844.4247772552</x:v>
      </x:c>
      <x:c r="K698" s="50" t="n">
        <x:f>(K697*(1+Inputs!$B$12))*(1-H698)</x:f>
        <x:v>0</x:v>
      </x:c>
      <x:c r="L698" s="50" t="n">
        <x:f>L697*(1+Inputs!$B$13)+Q698</x:f>
        <x:v>46171.926830882716</x:v>
      </x:c>
      <x:c r="M698" s="50" t="n">
        <x:f>I698+J698+L698</x:f>
        <x:v>1307588.3882308933</x:v>
      </x:c>
      <x:c r="N698" s="50" t="n">
        <x:f>F698+P698</x:f>
        <x:v>600</x:v>
      </x:c>
      <x:c r="O698" s="50" t="n">
        <x:f>IF(B698=1,0,O697+F697+P697)</x:f>
        <x:v>7257.142857143181</x:v>
      </x:c>
      <x:c r="P698" s="50" t="n">
        <x:f>MIN(G698,MAX(0,Inputs!$B$20-O698-F698))</x:f>
        <x:v>0</x:v>
      </x:c>
      <x:c r="Q698" s="50" t="n">
        <x:f>(C698-E698-F698)+(G698-P698)</x:f>
        <x:v>0</x:v>
      </x:c>
    </x:row>
    <x:row r="699">
      <x:c r="A699" s="41" t="n">
        <x:f>IF(B699=1,A698+1,A698)</x:f>
        <x:v>2053</x:v>
      </x:c>
      <x:c r="B699" s="41" t="n">
        <x:f>IF(B698=26,1,B698+1)</x:f>
        <x:v>22</x:v>
      </x:c>
      <x:c r="C699" s="48" t="n">
        <x:f>Inputs!$F$29</x:f>
        <x:v>600</x:v>
      </x:c>
      <x:c r="D699" s="50" t="n">
        <x:f>IF(B699=1,0,D698+E698)</x:f>
        <x:v>8000</x:v>
      </x:c>
      <x:c r="E699" s="50" t="n">
        <x:f>MIN(C699,MAX(0,Inputs!$B$7-D699))</x:f>
        <x:v>0</x:v>
      </x:c>
      <x:c r="F699" s="50" t="n">
        <x:f>MIN(C699-E699,MAX(0,Inputs!$B$20-O699))</x:f>
        <x:v>600</x:v>
      </x:c>
      <x:c r="G699" s="50" t="n">
        <x:f>0</x:f>
        <x:v>0</x:v>
      </x:c>
      <x:c r="H699" s="41" t="n">
        <x:f>0</x:f>
        <x:v>0</x:v>
      </x:c>
      <x:c r="I699" s="50" t="n">
        <x:f>(I698*(1+Inputs!$B$12))+E699</x:f>
        <x:v>579658.7722906389</x:v>
      </x:c>
      <x:c r="J699" s="50" t="n">
        <x:f>(J698*(1+Inputs!$B$12))+F699+P699</x:f>
        <x:v>684727.0159587311</x:v>
      </x:c>
      <x:c r="K699" s="50" t="n">
        <x:f>(K698*(1+Inputs!$B$12))*(1-H699)</x:f>
        <x:v>0</x:v>
      </x:c>
      <x:c r="L699" s="50" t="n">
        <x:f>L698*(1+Inputs!$B$13)+Q699</x:f>
        <x:v>46252.71174389953</x:v>
      </x:c>
      <x:c r="M699" s="50" t="n">
        <x:f>I699+J699+L699</x:f>
        <x:v>1310638.4999932696</x:v>
      </x:c>
      <x:c r="N699" s="50" t="n">
        <x:f>F699+P699</x:f>
        <x:v>600</x:v>
      </x:c>
      <x:c r="O699" s="50" t="n">
        <x:f>IF(B699=1,0,O698+F698+P698)</x:f>
        <x:v>7857.142857143181</x:v>
      </x:c>
      <x:c r="P699" s="50" t="n">
        <x:f>MIN(G699,MAX(0,Inputs!$B$20-O699-F699))</x:f>
        <x:v>0</x:v>
      </x:c>
      <x:c r="Q699" s="50" t="n">
        <x:f>(C699-E699-F699)+(G699-P699)</x:f>
        <x:v>0</x:v>
      </x:c>
    </x:row>
    <x:row r="700">
      <x:c r="A700" s="41" t="n">
        <x:f>IF(B700=1,A699+1,A699)</x:f>
        <x:v>2053</x:v>
      </x:c>
      <x:c r="B700" s="41" t="n">
        <x:f>IF(B699=26,1,B699+1)</x:f>
        <x:v>23</x:v>
      </x:c>
      <x:c r="C700" s="48" t="n">
        <x:f>Inputs!$F$29</x:f>
        <x:v>600</x:v>
      </x:c>
      <x:c r="D700" s="50" t="n">
        <x:f>IF(B700=1,0,D699+E699)</x:f>
        <x:v>8000</x:v>
      </x:c>
      <x:c r="E700" s="50" t="n">
        <x:f>MIN(C700,MAX(0,Inputs!$B$7-D700))</x:f>
        <x:v>0</x:v>
      </x:c>
      <x:c r="F700" s="50" t="n">
        <x:f>MIN(C700-E700,MAX(0,Inputs!$B$20-O700))</x:f>
        <x:v>600</x:v>
      </x:c>
      <x:c r="G700" s="50" t="n">
        <x:f>0</x:f>
        <x:v>0</x:v>
      </x:c>
      <x:c r="H700" s="41" t="n">
        <x:f>0</x:f>
        <x:v>0</x:v>
      </x:c>
      <x:c r="I700" s="50" t="n">
        <x:f>(I699*(1+Inputs!$B$12))+E700</x:f>
        <x:v>580747.5491812866</x:v>
      </x:c>
      <x:c r="J700" s="50" t="n">
        <x:f>(J699*(1+Inputs!$B$12))+F700+P700</x:f>
        <x:v>686613.1432236251</x:v>
      </x:c>
      <x:c r="K700" s="50" t="n">
        <x:f>(K699*(1+Inputs!$B$12))*(1-H700)</x:f>
        <x:v>0</x:v>
      </x:c>
      <x:c r="L700" s="50" t="n">
        <x:f>L699*(1+Inputs!$B$13)+Q700</x:f>
        <x:v>46333.63800259149</x:v>
      </x:c>
      <x:c r="M700" s="50" t="n">
        <x:f>I700+J700+L700</x:f>
        <x:v>1313694.3304075033</x:v>
      </x:c>
      <x:c r="N700" s="50" t="n">
        <x:f>F700+P700</x:f>
        <x:v>600</x:v>
      </x:c>
      <x:c r="O700" s="50" t="n">
        <x:f>IF(B700=1,0,O699+F699+P699)</x:f>
        <x:v>8457.14285714318</x:v>
      </x:c>
      <x:c r="P700" s="50" t="n">
        <x:f>MIN(G700,MAX(0,Inputs!$B$20-O700-F700))</x:f>
        <x:v>0</x:v>
      </x:c>
      <x:c r="Q700" s="50" t="n">
        <x:f>(C700-E700-F700)+(G700-P700)</x:f>
        <x:v>0</x:v>
      </x:c>
    </x:row>
    <x:row r="701">
      <x:c r="A701" s="41" t="n">
        <x:f>IF(B701=1,A700+1,A700)</x:f>
        <x:v>2053</x:v>
      </x:c>
      <x:c r="B701" s="41" t="n">
        <x:f>IF(B700=26,1,B700+1)</x:f>
        <x:v>24</x:v>
      </x:c>
      <x:c r="C701" s="48" t="n">
        <x:f>Inputs!$F$29</x:f>
        <x:v>600</x:v>
      </x:c>
      <x:c r="D701" s="50" t="n">
        <x:f>IF(B701=1,0,D700+E700)</x:f>
        <x:v>8000</x:v>
      </x:c>
      <x:c r="E701" s="50" t="n">
        <x:f>MIN(C701,MAX(0,Inputs!$B$7-D701))</x:f>
        <x:v>0</x:v>
      </x:c>
      <x:c r="F701" s="50" t="n">
        <x:f>MIN(C701-E701,MAX(0,Inputs!$B$20-O701))</x:f>
        <x:v>600</x:v>
      </x:c>
      <x:c r="G701" s="50" t="n">
        <x:f>0</x:f>
        <x:v>0</x:v>
      </x:c>
      <x:c r="H701" s="41" t="n">
        <x:f>0</x:f>
        <x:v>0</x:v>
      </x:c>
      <x:c r="I701" s="50" t="n">
        <x:f>(I700*(1+Inputs!$B$12))+E701</x:f>
        <x:v>581838.3711287406</x:v>
      </x:c>
      <x:c r="J701" s="50" t="n">
        <x:f>(J700*(1+Inputs!$B$12))+F701+P701</x:f>
        <x:v>688502.8132137862</x:v>
      </x:c>
      <x:c r="K701" s="50" t="n">
        <x:f>(K700*(1+Inputs!$B$12))*(1-H701)</x:f>
        <x:v>0</x:v>
      </x:c>
      <x:c r="L701" s="50" t="n">
        <x:f>L700*(1+Inputs!$B$13)+Q701</x:f>
        <x:v>46414.70585426469</x:v>
      </x:c>
      <x:c r="M701" s="50" t="n">
        <x:f>I701+J701+L701</x:f>
        <x:v>1316755.8901967916</x:v>
      </x:c>
      <x:c r="N701" s="50" t="n">
        <x:f>F701+P701</x:f>
        <x:v>600</x:v>
      </x:c>
      <x:c r="O701" s="50" t="n">
        <x:f>IF(B701=1,0,O700+F700+P700)</x:f>
        <x:v>9057.14285714318</x:v>
      </x:c>
      <x:c r="P701" s="50" t="n">
        <x:f>MIN(G701,MAX(0,Inputs!$B$20-O701-F701))</x:f>
        <x:v>0</x:v>
      </x:c>
      <x:c r="Q701" s="50" t="n">
        <x:f>(C701-E701-F701)+(G701-P701)</x:f>
        <x:v>0</x:v>
      </x:c>
    </x:row>
    <x:row r="702">
      <x:c r="A702" s="41" t="n">
        <x:f>IF(B702=1,A701+1,A701)</x:f>
        <x:v>2053</x:v>
      </x:c>
      <x:c r="B702" s="41" t="n">
        <x:f>IF(B701=26,1,B701+1)</x:f>
        <x:v>25</x:v>
      </x:c>
      <x:c r="C702" s="48" t="n">
        <x:f>Inputs!$F$29</x:f>
        <x:v>600</x:v>
      </x:c>
      <x:c r="D702" s="50" t="n">
        <x:f>IF(B702=1,0,D701+E701)</x:f>
        <x:v>8000</x:v>
      </x:c>
      <x:c r="E702" s="50" t="n">
        <x:f>MIN(C702,MAX(0,Inputs!$B$7-D702))</x:f>
        <x:v>0</x:v>
      </x:c>
      <x:c r="F702" s="50" t="n">
        <x:f>MIN(C702-E702,MAX(0,Inputs!$B$20-O702))</x:f>
        <x:v>600</x:v>
      </x:c>
      <x:c r="G702" s="50" t="n">
        <x:f>0</x:f>
        <x:v>0</x:v>
      </x:c>
      <x:c r="H702" s="41" t="n">
        <x:f>0</x:f>
        <x:v>0</x:v>
      </x:c>
      <x:c r="I702" s="50" t="n">
        <x:f>(I701*(1+Inputs!$B$12))+E702</x:f>
        <x:v>582931.2419742446</x:v>
      </x:c>
      <x:c r="J702" s="50" t="n">
        <x:f>(J701*(1+Inputs!$B$12))+F702+P702</x:f>
        <x:v>690396.0325835386</x:v>
      </x:c>
      <x:c r="K702" s="50" t="n">
        <x:f>(K701*(1+Inputs!$B$12))*(1-H702)</x:f>
        <x:v>0</x:v>
      </x:c>
      <x:c r="L702" s="50" t="n">
        <x:f>L701*(1+Inputs!$B$13)+Q702</x:f>
        <x:v>46495.915546657896</x:v>
      </x:c>
      <x:c r="M702" s="50" t="n">
        <x:f>I702+J702+L702</x:f>
        <x:v>1319823.1901044413</x:v>
      </x:c>
      <x:c r="N702" s="50" t="n">
        <x:f>F702+P702</x:f>
        <x:v>600</x:v>
      </x:c>
      <x:c r="O702" s="50" t="n">
        <x:f>IF(B702=1,0,O701+F701+P701)</x:f>
        <x:v>9657.14285714318</x:v>
      </x:c>
      <x:c r="P702" s="50" t="n">
        <x:f>MIN(G702,MAX(0,Inputs!$B$20-O702-F702))</x:f>
        <x:v>0</x:v>
      </x:c>
      <x:c r="Q702" s="50" t="n">
        <x:f>(C702-E702-F702)+(G702-P702)</x:f>
        <x:v>0</x:v>
      </x:c>
    </x:row>
    <x:row r="703">
      <x:c r="A703" s="41" t="n">
        <x:f>IF(B703=1,A702+1,A702)</x:f>
        <x:v>2053</x:v>
      </x:c>
      <x:c r="B703" s="41" t="n">
        <x:f>IF(B702=26,1,B702+1)</x:f>
        <x:v>26</x:v>
      </x:c>
      <x:c r="C703" s="48" t="n">
        <x:f>Inputs!$F$29</x:f>
        <x:v>600</x:v>
      </x:c>
      <x:c r="D703" s="50" t="n">
        <x:f>IF(B703=1,0,D702+E702)</x:f>
        <x:v>8000</x:v>
      </x:c>
      <x:c r="E703" s="50" t="n">
        <x:f>MIN(C703,MAX(0,Inputs!$B$7-D703))</x:f>
        <x:v>0</x:v>
      </x:c>
      <x:c r="F703" s="50" t="n">
        <x:f>MIN(C703-E703,MAX(0,Inputs!$B$20-O703))</x:f>
        <x:v>600</x:v>
      </x:c>
      <x:c r="G703" s="50" t="n">
        <x:f>0</x:f>
        <x:v>0</x:v>
      </x:c>
      <x:c r="H703" s="41" t="n">
        <x:f>IF(A703=Inputs!$B$8,1,0)</x:f>
        <x:v>0</x:v>
      </x:c>
      <x:c r="I703" s="50" t="n">
        <x:f>(I702*(1+Inputs!$B$12))+E703</x:f>
        <x:v>584026.1655662573</x:v>
      </x:c>
      <x:c r="J703" s="50" t="n">
        <x:f>(J702*(1+Inputs!$B$12))+F703+P703</x:f>
        <x:v>692292.8079997052</x:v>
      </x:c>
      <x:c r="K703" s="50" t="n">
        <x:f>(K702*(1+Inputs!$B$12))*(1-H703)</x:f>
        <x:v>0</x:v>
      </x:c>
      <x:c r="L703" s="50" t="n">
        <x:f>L702*(1+Inputs!$B$13)+Q703</x:f>
        <x:v>46577.267327943344</x:v>
      </x:c>
      <x:c r="M703" s="50" t="n">
        <x:f>I703+J703+L703</x:f>
        <x:v>1322896.240893906</x:v>
      </x:c>
      <x:c r="N703" s="50" t="n">
        <x:f>F703+P703</x:f>
        <x:v>600</x:v>
      </x:c>
      <x:c r="O703" s="50" t="n">
        <x:f>IF(B703=1,0,O702+F702+P702)</x:f>
        <x:v>10257.14285714318</x:v>
      </x:c>
      <x:c r="P703" s="50" t="n">
        <x:f>MIN(G703,MAX(0,Inputs!$B$20-O703-F703))</x:f>
        <x:v>0</x:v>
      </x:c>
      <x:c r="Q703" s="50" t="n">
        <x:f>(C703-E703-F703)+(G703-P703)</x:f>
        <x:v>0</x:v>
      </x:c>
    </x:row>
    <x:row r="704">
      <x:c r="A704" s="41" t="n">
        <x:f>IF(B704=1,A703+1,A703)</x:f>
        <x:v>2054</x:v>
      </x:c>
      <x:c r="B704" s="41" t="n">
        <x:f>IF(B703=26,1,B703+1)</x:f>
        <x:v>1</x:v>
      </x:c>
      <x:c r="C704" s="48" t="n">
        <x:f>Inputs!$F$30</x:f>
        <x:v>600</x:v>
      </x:c>
      <x:c r="D704" s="50" t="n">
        <x:f>IF(B704=1,0,D703+E703)</x:f>
        <x:v>0</x:v>
      </x:c>
      <x:c r="E704" s="50" t="n">
        <x:f>MIN(C704,MAX(0,Inputs!$B$7-D704))</x:f>
        <x:v>600</x:v>
      </x:c>
      <x:c r="F704" s="50" t="n">
        <x:f>MIN(C704-E704,MAX(0,Inputs!$B$20-O704))</x:f>
        <x:v>0</x:v>
      </x:c>
      <x:c r="G704" s="50" t="n">
        <x:f>0</x:f>
        <x:v>0</x:v>
      </x:c>
      <x:c r="H704" s="41" t="n">
        <x:f>0</x:f>
        <x:v>0</x:v>
      </x:c>
      <x:c r="I704" s="50" t="n">
        <x:f>(I703*(1+Inputs!$B$12))+E704</x:f>
        <x:v>585723.145760466</x:v>
      </x:c>
      <x:c r="J704" s="50" t="n">
        <x:f>(J703*(1+Inputs!$B$12))+F704+P704</x:f>
        <x:v>693593.1461416315</x:v>
      </x:c>
      <x:c r="K704" s="50" t="n">
        <x:f>(K703*(1+Inputs!$B$12))*(1-H704)</x:f>
        <x:v>0</x:v>
      </x:c>
      <x:c r="L704" s="50" t="n">
        <x:f>L703*(1+Inputs!$B$13)+Q704</x:f>
        <x:v>46658.76144672748</x:v>
      </x:c>
      <x:c r="M704" s="50" t="n">
        <x:f>I704+J704+L704</x:f>
        <x:v>1325975.0533488248</x:v>
      </x:c>
      <x:c r="N704" s="50" t="n">
        <x:f>F704+P704</x:f>
        <x:v>0</x:v>
      </x:c>
      <x:c r="O704" s="50" t="n">
        <x:f>IF(B704=1,0,O703+F703+P703)</x:f>
        <x:v>0</x:v>
      </x:c>
      <x:c r="P704" s="50" t="n">
        <x:f>MIN(G704,MAX(0,Inputs!$B$20-O704-F704))</x:f>
        <x:v>0</x:v>
      </x:c>
      <x:c r="Q704" s="50" t="n">
        <x:f>(C704-E704-F704)+(G704-P704)</x:f>
        <x:v>0</x:v>
      </x:c>
    </x:row>
    <x:row r="705">
      <x:c r="A705" s="41" t="n">
        <x:f>IF(B705=1,A704+1,A704)</x:f>
        <x:v>2054</x:v>
      </x:c>
      <x:c r="B705" s="41" t="n">
        <x:f>IF(B704=26,1,B704+1)</x:f>
        <x:v>2</x:v>
      </x:c>
      <x:c r="C705" s="48" t="n">
        <x:f>Inputs!$F$30</x:f>
        <x:v>600</x:v>
      </x:c>
      <x:c r="D705" s="50" t="n">
        <x:f>IF(B705=1,0,D704+E704)</x:f>
        <x:v>600</x:v>
      </x:c>
      <x:c r="E705" s="50" t="n">
        <x:f>MIN(C705,MAX(0,Inputs!$B$7-D705))</x:f>
        <x:v>600</x:v>
      </x:c>
      <x:c r="F705" s="50" t="n">
        <x:f>MIN(C705-E705,MAX(0,Inputs!$B$20-O705))</x:f>
        <x:v>0</x:v>
      </x:c>
      <x:c r="G705" s="50" t="n">
        <x:f>0</x:f>
        <x:v>0</x:v>
      </x:c>
      <x:c r="H705" s="41" t="n">
        <x:f>0</x:f>
        <x:v>0</x:v>
      </x:c>
      <x:c r="I705" s="50" t="n">
        <x:f>(I704*(1+Inputs!$B$12))+E705</x:f>
        <x:v>587423.3134037527</x:v>
      </x:c>
      <x:c r="J705" s="50" t="n">
        <x:f>(J704*(1+Inputs!$B$12))+F705+P705</x:f>
        <x:v>694895.9267172562</x:v>
      </x:c>
      <x:c r="K705" s="50" t="n">
        <x:f>(K704*(1+Inputs!$B$12))*(1-H705)</x:f>
        <x:v>0</x:v>
      </x:c>
      <x:c r="L705" s="50" t="n">
        <x:f>L704*(1+Inputs!$B$13)+Q705</x:f>
        <x:v>46740.39815205174</x:v>
      </x:c>
      <x:c r="M705" s="50" t="n">
        <x:f>I705+J705+L705</x:f>
        <x:v>1329059.6382730606</x:v>
      </x:c>
      <x:c r="N705" s="50" t="n">
        <x:f>F705+P705</x:f>
        <x:v>0</x:v>
      </x:c>
      <x:c r="O705" s="50" t="n">
        <x:f>IF(B705=1,0,O704+F704+P704)</x:f>
        <x:v>0</x:v>
      </x:c>
      <x:c r="P705" s="50" t="n">
        <x:f>MIN(G705,MAX(0,Inputs!$B$20-O705-F705))</x:f>
        <x:v>0</x:v>
      </x:c>
      <x:c r="Q705" s="50" t="n">
        <x:f>(C705-E705-F705)+(G705-P705)</x:f>
        <x:v>0</x:v>
      </x:c>
    </x:row>
    <x:row r="706">
      <x:c r="A706" s="41" t="n">
        <x:f>IF(B706=1,A705+1,A705)</x:f>
        <x:v>2054</x:v>
      </x:c>
      <x:c r="B706" s="41" t="n">
        <x:f>IF(B705=26,1,B705+1)</x:f>
        <x:v>3</x:v>
      </x:c>
      <x:c r="C706" s="48" t="n">
        <x:f>Inputs!$F$30</x:f>
        <x:v>600</x:v>
      </x:c>
      <x:c r="D706" s="50" t="n">
        <x:f>IF(B706=1,0,D705+E705)</x:f>
        <x:v>1200</x:v>
      </x:c>
      <x:c r="E706" s="50" t="n">
        <x:f>MIN(C706,MAX(0,Inputs!$B$7-D706))</x:f>
        <x:v>600</x:v>
      </x:c>
      <x:c r="F706" s="50" t="n">
        <x:f>MIN(C706-E706,MAX(0,Inputs!$B$20-O706))</x:f>
        <x:v>0</x:v>
      </x:c>
      <x:c r="G706" s="50" t="n">
        <x:f>0</x:f>
        <x:v>0</x:v>
      </x:c>
      <x:c r="H706" s="41" t="n">
        <x:f>0</x:f>
        <x:v>0</x:v>
      </x:c>
      <x:c r="I706" s="50" t="n">
        <x:f>(I705*(1+Inputs!$B$12))+E706</x:f>
        <x:v>589126.6744831242</x:v>
      </x:c>
      <x:c r="J706" s="50" t="n">
        <x:f>(J705*(1+Inputs!$B$12))+F706+P706</x:f>
        <x:v>696201.1543142184</x:v>
      </x:c>
      <x:c r="K706" s="50" t="n">
        <x:f>(K705*(1+Inputs!$B$12))*(1-H706)</x:f>
        <x:v>0</x:v>
      </x:c>
      <x:c r="L706" s="50" t="n">
        <x:f>L705*(1+Inputs!$B$13)+Q706</x:f>
        <x:v>46822.17769339328</x:v>
      </x:c>
      <x:c r="M706" s="50" t="n">
        <x:f>I706+J706+L706</x:f>
        <x:v>1332150.006490736</x:v>
      </x:c>
      <x:c r="N706" s="50" t="n">
        <x:f>F706+P706</x:f>
        <x:v>0</x:v>
      </x:c>
      <x:c r="O706" s="50" t="n">
        <x:f>IF(B706=1,0,O705+F705+P705)</x:f>
        <x:v>0</x:v>
      </x:c>
      <x:c r="P706" s="50" t="n">
        <x:f>MIN(G706,MAX(0,Inputs!$B$20-O706-F706))</x:f>
        <x:v>0</x:v>
      </x:c>
      <x:c r="Q706" s="50" t="n">
        <x:f>(C706-E706-F706)+(G706-P706)</x:f>
        <x:v>0</x:v>
      </x:c>
    </x:row>
    <x:row r="707">
      <x:c r="A707" s="41" t="n">
        <x:f>IF(B707=1,A706+1,A706)</x:f>
        <x:v>2054</x:v>
      </x:c>
      <x:c r="B707" s="41" t="n">
        <x:f>IF(B706=26,1,B706+1)</x:f>
        <x:v>4</x:v>
      </x:c>
      <x:c r="C707" s="48" t="n">
        <x:f>Inputs!$F$30</x:f>
        <x:v>600</x:v>
      </x:c>
      <x:c r="D707" s="50" t="n">
        <x:f>IF(B707=1,0,D706+E706)</x:f>
        <x:v>1800</x:v>
      </x:c>
      <x:c r="E707" s="50" t="n">
        <x:f>MIN(C707,MAX(0,Inputs!$B$7-D707))</x:f>
        <x:v>600</x:v>
      </x:c>
      <x:c r="F707" s="50" t="n">
        <x:f>MIN(C707-E707,MAX(0,Inputs!$B$20-O707))</x:f>
        <x:v>0</x:v>
      </x:c>
      <x:c r="G707" s="50" t="n">
        <x:f>0</x:f>
        <x:v>0</x:v>
      </x:c>
      <x:c r="H707" s="41" t="n">
        <x:f>0</x:f>
        <x:v>0</x:v>
      </x:c>
      <x:c r="I707" s="50" t="n">
        <x:f>(I706*(1+Inputs!$B$12))+E707</x:f>
        <x:v>590833.2349968323</x:v>
      </x:c>
      <x:c r="J707" s="50" t="n">
        <x:f>(J706*(1+Inputs!$B$12))+F707+P707</x:f>
        <x:v>697508.8335287746</x:v>
      </x:c>
      <x:c r="K707" s="50" t="n">
        <x:f>(K706*(1+Inputs!$B$12))*(1-H707)</x:f>
        <x:v>0</x:v>
      </x:c>
      <x:c r="L707" s="50" t="n">
        <x:f>L706*(1+Inputs!$B$13)+Q707</x:f>
        <x:v>46904.100320665755</x:v>
      </x:c>
      <x:c r="M707" s="50" t="n">
        <x:f>I707+J707+L707</x:f>
        <x:v>1335246.1688462726</x:v>
      </x:c>
      <x:c r="N707" s="50" t="n">
        <x:f>F707+P707</x:f>
        <x:v>0</x:v>
      </x:c>
      <x:c r="O707" s="50" t="n">
        <x:f>IF(B707=1,0,O706+F706+P706)</x:f>
        <x:v>0</x:v>
      </x:c>
      <x:c r="P707" s="50" t="n">
        <x:f>MIN(G707,MAX(0,Inputs!$B$20-O707-F707))</x:f>
        <x:v>0</x:v>
      </x:c>
      <x:c r="Q707" s="50" t="n">
        <x:f>(C707-E707-F707)+(G707-P707)</x:f>
        <x:v>0</x:v>
      </x:c>
    </x:row>
    <x:row r="708">
      <x:c r="A708" s="41" t="n">
        <x:f>IF(B708=1,A707+1,A707)</x:f>
        <x:v>2054</x:v>
      </x:c>
      <x:c r="B708" s="41" t="n">
        <x:f>IF(B707=26,1,B707+1)</x:f>
        <x:v>5</x:v>
      </x:c>
      <x:c r="C708" s="48" t="n">
        <x:f>Inputs!$F$30</x:f>
        <x:v>600</x:v>
      </x:c>
      <x:c r="D708" s="50" t="n">
        <x:f>IF(B708=1,0,D707+E707)</x:f>
        <x:v>2400</x:v>
      </x:c>
      <x:c r="E708" s="50" t="n">
        <x:f>MIN(C708,MAX(0,Inputs!$B$7-D708))</x:f>
        <x:v>600</x:v>
      </x:c>
      <x:c r="F708" s="50" t="n">
        <x:f>MIN(C708-E708,MAX(0,Inputs!$B$20-O708))</x:f>
        <x:v>0</x:v>
      </x:c>
      <x:c r="G708" s="50" t="n">
        <x:f>0</x:f>
        <x:v>0</x:v>
      </x:c>
      <x:c r="H708" s="41" t="n">
        <x:f>0</x:f>
        <x:v>0</x:v>
      </x:c>
      <x:c r="I708" s="50" t="n">
        <x:f>(I707*(1+Inputs!$B$12))+E708</x:f>
        <x:v>592543.0009543959</x:v>
      </x:c>
      <x:c r="J708" s="50" t="n">
        <x:f>(J707*(1+Inputs!$B$12))+F708+P708</x:f>
        <x:v>698818.9689658141</x:v>
      </x:c>
      <x:c r="K708" s="50" t="n">
        <x:f>(K707*(1+Inputs!$B$12))*(1-H708)</x:f>
        <x:v>0</x:v>
      </x:c>
      <x:c r="L708" s="50" t="n">
        <x:f>L707*(1+Inputs!$B$13)+Q708</x:f>
        <x:v>46986.16628422009</x:v>
      </x:c>
      <x:c r="M708" s="50" t="n">
        <x:f>I708+J708+L708</x:f>
        <x:v>1338348.1362044301</x:v>
      </x:c>
      <x:c r="N708" s="50" t="n">
        <x:f>F708+P708</x:f>
        <x:v>0</x:v>
      </x:c>
      <x:c r="O708" s="50" t="n">
        <x:f>IF(B708=1,0,O707+F707+P707)</x:f>
        <x:v>0</x:v>
      </x:c>
      <x:c r="P708" s="50" t="n">
        <x:f>MIN(G708,MAX(0,Inputs!$B$20-O708-F708))</x:f>
        <x:v>0</x:v>
      </x:c>
      <x:c r="Q708" s="50" t="n">
        <x:f>(C708-E708-F708)+(G708-P708)</x:f>
        <x:v>0</x:v>
      </x:c>
    </x:row>
    <x:row r="709">
      <x:c r="A709" s="41" t="n">
        <x:f>IF(B709=1,A708+1,A708)</x:f>
        <x:v>2054</x:v>
      </x:c>
      <x:c r="B709" s="41" t="n">
        <x:f>IF(B708=26,1,B708+1)</x:f>
        <x:v>6</x:v>
      </x:c>
      <x:c r="C709" s="48" t="n">
        <x:f>Inputs!$F$30</x:f>
        <x:v>600</x:v>
      </x:c>
      <x:c r="D709" s="50" t="n">
        <x:f>IF(B709=1,0,D708+E708)</x:f>
        <x:v>3000</x:v>
      </x:c>
      <x:c r="E709" s="50" t="n">
        <x:f>MIN(C709,MAX(0,Inputs!$B$7-D709))</x:f>
        <x:v>600</x:v>
      </x:c>
      <x:c r="F709" s="50" t="n">
        <x:f>MIN(C709-E709,MAX(0,Inputs!$B$20-O709))</x:f>
        <x:v>0</x:v>
      </x:c>
      <x:c r="G709" s="50" t="n">
        <x:f>0</x:f>
        <x:v>0</x:v>
      </x:c>
      <x:c r="H709" s="41" t="n">
        <x:f>0</x:f>
        <x:v>0</x:v>
      </x:c>
      <x:c r="I709" s="50" t="n">
        <x:f>(I708*(1+Inputs!$B$12))+E709</x:f>
        <x:v>594255.9783766209</x:v>
      </x:c>
      <x:c r="J709" s="50" t="n">
        <x:f>(J708*(1+Inputs!$B$12))+F709+P709</x:f>
        <x:v>700131.5652388759</x:v>
      </x:c>
      <x:c r="K709" s="50" t="n">
        <x:f>(K708*(1+Inputs!$B$12))*(1-H709)</x:f>
        <x:v>0</x:v>
      </x:c>
      <x:c r="L709" s="50" t="n">
        <x:f>L708*(1+Inputs!$B$13)+Q709</x:f>
        <x:v>47068.37583484524</x:v>
      </x:c>
      <x:c r="M709" s="50" t="n">
        <x:f>I709+J709+L709</x:f>
        <x:v>1341455.919450342</x:v>
      </x:c>
      <x:c r="N709" s="50" t="n">
        <x:f>F709+P709</x:f>
        <x:v>0</x:v>
      </x:c>
      <x:c r="O709" s="50" t="n">
        <x:f>IF(B709=1,0,O708+F708+P708)</x:f>
        <x:v>0</x:v>
      </x:c>
      <x:c r="P709" s="50" t="n">
        <x:f>MIN(G709,MAX(0,Inputs!$B$20-O709-F709))</x:f>
        <x:v>0</x:v>
      </x:c>
      <x:c r="Q709" s="50" t="n">
        <x:f>(C709-E709-F709)+(G709-P709)</x:f>
        <x:v>0</x:v>
      </x:c>
    </x:row>
    <x:row r="710">
      <x:c r="A710" s="41" t="n">
        <x:f>IF(B710=1,A709+1,A709)</x:f>
        <x:v>2054</x:v>
      </x:c>
      <x:c r="B710" s="41" t="n">
        <x:f>IF(B709=26,1,B709+1)</x:f>
        <x:v>7</x:v>
      </x:c>
      <x:c r="C710" s="48" t="n">
        <x:f>Inputs!$F$30</x:f>
        <x:v>600</x:v>
      </x:c>
      <x:c r="D710" s="50" t="n">
        <x:f>IF(B710=1,0,D709+E709)</x:f>
        <x:v>3600</x:v>
      </x:c>
      <x:c r="E710" s="50" t="n">
        <x:f>MIN(C710,MAX(0,Inputs!$B$7-D710))</x:f>
        <x:v>600</x:v>
      </x:c>
      <x:c r="F710" s="50" t="n">
        <x:f>MIN(C710-E710,MAX(0,Inputs!$B$20-O710))</x:f>
        <x:v>0</x:v>
      </x:c>
      <x:c r="G710" s="50" t="n">
        <x:f>0</x:f>
        <x:v>0</x:v>
      </x:c>
      <x:c r="H710" s="41" t="n">
        <x:f>0</x:f>
        <x:v>0</x:v>
      </x:c>
      <x:c r="I710" s="50" t="n">
        <x:f>(I709*(1+Inputs!$B$12))+E710</x:f>
        <x:v>595972.1732956229</x:v>
      </x:c>
      <x:c r="J710" s="50" t="n">
        <x:f>(J709*(1+Inputs!$B$12))+F710+P710</x:f>
        <x:v>701446.6269701645</x:v>
      </x:c>
      <x:c r="K710" s="50" t="n">
        <x:f>(K709*(1+Inputs!$B$12))*(1-H710)</x:f>
        <x:v>0</x:v>
      </x:c>
      <x:c r="L710" s="50" t="n">
        <x:f>L709*(1+Inputs!$B$13)+Q710</x:f>
        <x:v>47150.72922376895</x:v>
      </x:c>
      <x:c r="M710" s="50" t="n">
        <x:f>I710+J710+L710</x:f>
        <x:v>1344569.5294895563</x:v>
      </x:c>
      <x:c r="N710" s="50" t="n">
        <x:f>F710+P710</x:f>
        <x:v>0</x:v>
      </x:c>
      <x:c r="O710" s="50" t="n">
        <x:f>IF(B710=1,0,O709+F709+P709)</x:f>
        <x:v>0</x:v>
      </x:c>
      <x:c r="P710" s="50" t="n">
        <x:f>MIN(G710,MAX(0,Inputs!$B$20-O710-F710))</x:f>
        <x:v>0</x:v>
      </x:c>
      <x:c r="Q710" s="50" t="n">
        <x:f>(C710-E710-F710)+(G710-P710)</x:f>
        <x:v>0</x:v>
      </x:c>
    </x:row>
    <x:row r="711">
      <x:c r="A711" s="41" t="n">
        <x:f>IF(B711=1,A710+1,A710)</x:f>
        <x:v>2054</x:v>
      </x:c>
      <x:c r="B711" s="41" t="n">
        <x:f>IF(B710=26,1,B710+1)</x:f>
        <x:v>8</x:v>
      </x:c>
      <x:c r="C711" s="48" t="n">
        <x:f>Inputs!$F$30</x:f>
        <x:v>600</x:v>
      </x:c>
      <x:c r="D711" s="50" t="n">
        <x:f>IF(B711=1,0,D710+E710)</x:f>
        <x:v>4200</x:v>
      </x:c>
      <x:c r="E711" s="50" t="n">
        <x:f>MIN(C711,MAX(0,Inputs!$B$7-D711))</x:f>
        <x:v>600</x:v>
      </x:c>
      <x:c r="F711" s="50" t="n">
        <x:f>MIN(C711-E711,MAX(0,Inputs!$B$20-O711))</x:f>
        <x:v>0</x:v>
      </x:c>
      <x:c r="G711" s="50" t="n">
        <x:f>0</x:f>
        <x:v>0</x:v>
      </x:c>
      <x:c r="H711" s="41" t="n">
        <x:f>0</x:f>
        <x:v>0</x:v>
      </x:c>
      <x:c r="I711" s="50" t="n">
        <x:f>(I710*(1+Inputs!$B$12))+E711</x:f>
        <x:v>597691.5917548471</x:v>
      </x:c>
      <x:c r="J711" s="50" t="n">
        <x:f>(J710*(1+Inputs!$B$12))+F711+P711</x:f>
        <x:v>702764.1587905663</x:v>
      </x:c>
      <x:c r="K711" s="50" t="n">
        <x:f>(K710*(1+Inputs!$B$12))*(1-H711)</x:f>
        <x:v>0</x:v>
      </x:c>
      <x:c r="L711" s="50" t="n">
        <x:f>L710*(1+Inputs!$B$13)+Q711</x:f>
        <x:v>47233.22670265852</x:v>
      </x:c>
      <x:c r="M711" s="50" t="n">
        <x:f>I711+J711+L711</x:f>
        <x:v>1347688.9772480717</x:v>
      </x:c>
      <x:c r="N711" s="50" t="n">
        <x:f>F711+P711</x:f>
        <x:v>0</x:v>
      </x:c>
      <x:c r="O711" s="50" t="n">
        <x:f>IF(B711=1,0,O710+F710+P710)</x:f>
        <x:v>0</x:v>
      </x:c>
      <x:c r="P711" s="50" t="n">
        <x:f>MIN(G711,MAX(0,Inputs!$B$20-O711-F711))</x:f>
        <x:v>0</x:v>
      </x:c>
      <x:c r="Q711" s="50" t="n">
        <x:f>(C711-E711-F711)+(G711-P711)</x:f>
        <x:v>0</x:v>
      </x:c>
    </x:row>
    <x:row r="712">
      <x:c r="A712" s="41" t="n">
        <x:f>IF(B712=1,A711+1,A711)</x:f>
        <x:v>2054</x:v>
      </x:c>
      <x:c r="B712" s="41" t="n">
        <x:f>IF(B711=26,1,B711+1)</x:f>
        <x:v>9</x:v>
      </x:c>
      <x:c r="C712" s="48" t="n">
        <x:f>Inputs!$F$30</x:f>
        <x:v>600</x:v>
      </x:c>
      <x:c r="D712" s="50" t="n">
        <x:f>IF(B712=1,0,D711+E711)</x:f>
        <x:v>4800</x:v>
      </x:c>
      <x:c r="E712" s="50" t="n">
        <x:f>MIN(C712,MAX(0,Inputs!$B$7-D712))</x:f>
        <x:v>600</x:v>
      </x:c>
      <x:c r="F712" s="50" t="n">
        <x:f>MIN(C712-E712,MAX(0,Inputs!$B$20-O712))</x:f>
        <x:v>0</x:v>
      </x:c>
      <x:c r="G712" s="50" t="n">
        <x:f>SUM(N678:N703)*Inputs!$B$6</x:f>
        <x:v>3257.142857142954</x:v>
      </x:c>
      <x:c r="H712" s="41" t="n">
        <x:f>0</x:f>
        <x:v>0</x:v>
      </x:c>
      <x:c r="I712" s="50" t="n">
        <x:f>(I711*(1+Inputs!$B$12))+E712</x:f>
        <x:v>599414.2398090904</x:v>
      </x:c>
      <x:c r="J712" s="50" t="n">
        <x:f>(J711*(1+Inputs!$B$12))+F712+P712</x:f>
        <x:v>707341.3081968088</x:v>
      </x:c>
      <x:c r="K712" s="50" t="n">
        <x:f>(K711*(1+Inputs!$B$12))*(1-H712)</x:f>
        <x:v>0</x:v>
      </x:c>
      <x:c r="L712" s="50" t="n">
        <x:f>L711*(1+Inputs!$B$13)+Q712</x:f>
        <x:v>47315.86852362158</x:v>
      </x:c>
      <x:c r="M712" s="50" t="n">
        <x:f>I712+J712+L712</x:f>
        <x:v>1354071.4165295209</x:v>
      </x:c>
      <x:c r="N712" s="50" t="n">
        <x:f>F712+P712</x:f>
        <x:v>3257.142857142954</x:v>
      </x:c>
      <x:c r="O712" s="50" t="n">
        <x:f>IF(B712=1,0,O711+F711+P711)</x:f>
        <x:v>0</x:v>
      </x:c>
      <x:c r="P712" s="50" t="n">
        <x:f>MIN(G712,MAX(0,Inputs!$B$20-O712-F712))</x:f>
        <x:v>3257.142857142954</x:v>
      </x:c>
      <x:c r="Q712" s="50" t="n">
        <x:f>(C712-E712-F712)+(G712-P712)</x:f>
        <x:v>0</x:v>
      </x:c>
    </x:row>
    <x:row r="713">
      <x:c r="A713" s="41" t="n">
        <x:f>IF(B713=1,A712+1,A712)</x:f>
        <x:v>2054</x:v>
      </x:c>
      <x:c r="B713" s="41" t="n">
        <x:f>IF(B712=26,1,B712+1)</x:f>
        <x:v>10</x:v>
      </x:c>
      <x:c r="C713" s="48" t="n">
        <x:f>Inputs!$F$30</x:f>
        <x:v>600</x:v>
      </x:c>
      <x:c r="D713" s="50" t="n">
        <x:f>IF(B713=1,0,D712+E712)</x:f>
        <x:v>5400</x:v>
      </x:c>
      <x:c r="E713" s="50" t="n">
        <x:f>MIN(C713,MAX(0,Inputs!$B$7-D713))</x:f>
        <x:v>600</x:v>
      </x:c>
      <x:c r="F713" s="50" t="n">
        <x:f>MIN(C713-E713,MAX(0,Inputs!$B$20-O713))</x:f>
        <x:v>0</x:v>
      </x:c>
      <x:c r="G713" s="50" t="n">
        <x:f>0</x:f>
        <x:v>0</x:v>
      </x:c>
      <x:c r="H713" s="41" t="n">
        <x:f>0</x:f>
        <x:v>0</x:v>
      </x:c>
      <x:c r="I713" s="50" t="n">
        <x:f>(I712*(1+Inputs!$B$12))+E713</x:f>
        <x:v>601140.1235245224</x:v>
      </x:c>
      <x:c r="J713" s="50" t="n">
        <x:f>(J712*(1+Inputs!$B$12))+F713+P713</x:f>
        <x:v>708669.9120357913</x:v>
      </x:c>
      <x:c r="K713" s="50" t="n">
        <x:f>(K712*(1+Inputs!$B$12))*(1-H713)</x:f>
        <x:v>0</x:v>
      </x:c>
      <x:c r="L713" s="50" t="n">
        <x:f>L712*(1+Inputs!$B$13)+Q713</x:f>
        <x:v>47398.654939206885</x:v>
      </x:c>
      <x:c r="M713" s="50" t="n">
        <x:f>I713+J713+L713</x:f>
        <x:v>1357208.6904995204</x:v>
      </x:c>
      <x:c r="N713" s="50" t="n">
        <x:f>F713+P713</x:f>
        <x:v>0</x:v>
      </x:c>
      <x:c r="O713" s="50" t="n">
        <x:f>IF(B713=1,0,O712+F712+P712)</x:f>
        <x:v>3257.142857142954</x:v>
      </x:c>
      <x:c r="P713" s="50" t="n">
        <x:f>MIN(G713,MAX(0,Inputs!$B$20-O713-F713))</x:f>
        <x:v>0</x:v>
      </x:c>
      <x:c r="Q713" s="50" t="n">
        <x:f>(C713-E713-F713)+(G713-P713)</x:f>
        <x:v>0</x:v>
      </x:c>
    </x:row>
    <x:row r="714">
      <x:c r="A714" s="41" t="n">
        <x:f>IF(B714=1,A713+1,A713)</x:f>
        <x:v>2054</x:v>
      </x:c>
      <x:c r="B714" s="41" t="n">
        <x:f>IF(B713=26,1,B713+1)</x:f>
        <x:v>11</x:v>
      </x:c>
      <x:c r="C714" s="48" t="n">
        <x:f>Inputs!$F$30</x:f>
        <x:v>600</x:v>
      </x:c>
      <x:c r="D714" s="50" t="n">
        <x:f>IF(B714=1,0,D713+E713)</x:f>
        <x:v>6000</x:v>
      </x:c>
      <x:c r="E714" s="50" t="n">
        <x:f>MIN(C714,MAX(0,Inputs!$B$7-D714))</x:f>
        <x:v>600</x:v>
      </x:c>
      <x:c r="F714" s="50" t="n">
        <x:f>MIN(C714-E714,MAX(0,Inputs!$B$20-O714))</x:f>
        <x:v>0</x:v>
      </x:c>
      <x:c r="G714" s="50" t="n">
        <x:f>0</x:f>
        <x:v>0</x:v>
      </x:c>
      <x:c r="H714" s="41" t="n">
        <x:f>0</x:f>
        <x:v>0</x:v>
      </x:c>
      <x:c r="I714" s="50" t="n">
        <x:f>(I713*(1+Inputs!$B$12))+E714</x:f>
        <x:v>602869.2489787068</x:v>
      </x:c>
      <x:c r="J714" s="50" t="n">
        <x:f>(J713*(1+Inputs!$B$12))+F714+P714</x:f>
        <x:v>710001.0114001171</x:v>
      </x:c>
      <x:c r="K714" s="50" t="n">
        <x:f>(K713*(1+Inputs!$B$12))*(1-H714)</x:f>
        <x:v>0</x:v>
      </x:c>
      <x:c r="L714" s="50" t="n">
        <x:f>L713*(1+Inputs!$B$13)+Q714</x:f>
        <x:v>47481.58620240504</x:v>
      </x:c>
      <x:c r="M714" s="50" t="n">
        <x:f>I714+J714+L714</x:f>
        <x:v>1360351.8465812288</x:v>
      </x:c>
      <x:c r="N714" s="50" t="n">
        <x:f>F714+P714</x:f>
        <x:v>0</x:v>
      </x:c>
      <x:c r="O714" s="50" t="n">
        <x:f>IF(B714=1,0,O713+F713+P713)</x:f>
        <x:v>3257.142857142954</x:v>
      </x:c>
      <x:c r="P714" s="50" t="n">
        <x:f>MIN(G714,MAX(0,Inputs!$B$20-O714-F714))</x:f>
        <x:v>0</x:v>
      </x:c>
      <x:c r="Q714" s="50" t="n">
        <x:f>(C714-E714-F714)+(G714-P714)</x:f>
        <x:v>0</x:v>
      </x:c>
    </x:row>
    <x:row r="715">
      <x:c r="A715" s="41" t="n">
        <x:f>IF(B715=1,A714+1,A714)</x:f>
        <x:v>2054</x:v>
      </x:c>
      <x:c r="B715" s="41" t="n">
        <x:f>IF(B714=26,1,B714+1)</x:f>
        <x:v>12</x:v>
      </x:c>
      <x:c r="C715" s="48" t="n">
        <x:f>Inputs!$F$30</x:f>
        <x:v>600</x:v>
      </x:c>
      <x:c r="D715" s="50" t="n">
        <x:f>IF(B715=1,0,D714+E714)</x:f>
        <x:v>6600</x:v>
      </x:c>
      <x:c r="E715" s="50" t="n">
        <x:f>MIN(C715,MAX(0,Inputs!$B$7-D715))</x:f>
        <x:v>600</x:v>
      </x:c>
      <x:c r="F715" s="50" t="n">
        <x:f>MIN(C715-E715,MAX(0,Inputs!$B$20-O715))</x:f>
        <x:v>0</x:v>
      </x:c>
      <x:c r="G715" s="50" t="n">
        <x:f>0</x:f>
        <x:v>0</x:v>
      </x:c>
      <x:c r="H715" s="41" t="n">
        <x:f>0</x:f>
        <x:v>0</x:v>
      </x:c>
      <x:c r="I715" s="50" t="n">
        <x:f>(I714*(1+Inputs!$B$12))+E715</x:f>
        <x:v>604601.6222606228</x:v>
      </x:c>
      <x:c r="J715" s="50" t="n">
        <x:f>(J714*(1+Inputs!$B$12))+F715+P715</x:f>
        <x:v>711334.6109771478</x:v>
      </x:c>
      <x:c r="K715" s="50" t="n">
        <x:f>(K714*(1+Inputs!$B$12))*(1-H715)</x:f>
        <x:v>0</x:v>
      </x:c>
      <x:c r="L715" s="50" t="n">
        <x:f>L714*(1+Inputs!$B$13)+Q715</x:f>
        <x:v>47564.66256664929</x:v>
      </x:c>
      <x:c r="M715" s="50" t="n">
        <x:f>I715+J715+L715</x:f>
        <x:v>1363500.8958044199</x:v>
      </x:c>
      <x:c r="N715" s="50" t="n">
        <x:f>F715+P715</x:f>
        <x:v>0</x:v>
      </x:c>
      <x:c r="O715" s="50" t="n">
        <x:f>IF(B715=1,0,O714+F714+P714)</x:f>
        <x:v>3257.142857142954</x:v>
      </x:c>
      <x:c r="P715" s="50" t="n">
        <x:f>MIN(G715,MAX(0,Inputs!$B$20-O715-F715))</x:f>
        <x:v>0</x:v>
      </x:c>
      <x:c r="Q715" s="50" t="n">
        <x:f>(C715-E715-F715)+(G715-P715)</x:f>
        <x:v>0</x:v>
      </x:c>
    </x:row>
    <x:row r="716">
      <x:c r="A716" s="41" t="n">
        <x:f>IF(B716=1,A715+1,A715)</x:f>
        <x:v>2054</x:v>
      </x:c>
      <x:c r="B716" s="41" t="n">
        <x:f>IF(B715=26,1,B715+1)</x:f>
        <x:v>13</x:v>
      </x:c>
      <x:c r="C716" s="48" t="n">
        <x:f>Inputs!$F$30</x:f>
        <x:v>600</x:v>
      </x:c>
      <x:c r="D716" s="50" t="n">
        <x:f>IF(B716=1,0,D715+E715)</x:f>
        <x:v>7200</x:v>
      </x:c>
      <x:c r="E716" s="50" t="n">
        <x:f>MIN(C716,MAX(0,Inputs!$B$7-D716))</x:f>
        <x:v>600</x:v>
      </x:c>
      <x:c r="F716" s="50" t="n">
        <x:f>MIN(C716-E716,MAX(0,Inputs!$B$20-O716))</x:f>
        <x:v>0</x:v>
      </x:c>
      <x:c r="G716" s="50" t="n">
        <x:f>0</x:f>
        <x:v>0</x:v>
      </x:c>
      <x:c r="H716" s="41" t="n">
        <x:f>0</x:f>
        <x:v>0</x:v>
      </x:c>
      <x:c r="I716" s="50" t="n">
        <x:f>(I715*(1+Inputs!$B$12))+E716</x:f>
        <x:v>606337.2494706868</x:v>
      </x:c>
      <x:c r="J716" s="50" t="n">
        <x:f>(J715*(1+Inputs!$B$12))+F716+P716</x:f>
        <x:v>712670.7154630496</x:v>
      </x:c>
      <x:c r="K716" s="50" t="n">
        <x:f>(K715*(1+Inputs!$B$12))*(1-H716)</x:f>
        <x:v>0</x:v>
      </x:c>
      <x:c r="L716" s="50" t="n">
        <x:f>L715*(1+Inputs!$B$13)+Q716</x:f>
        <x:v>47647.884285816326</x:v>
      </x:c>
      <x:c r="M716" s="50" t="n">
        <x:f>I716+J716+L716</x:f>
        <x:v>1366655.8492195525</x:v>
      </x:c>
      <x:c r="N716" s="50" t="n">
        <x:f>F716+P716</x:f>
        <x:v>0</x:v>
      </x:c>
      <x:c r="O716" s="50" t="n">
        <x:f>IF(B716=1,0,O715+F715+P715)</x:f>
        <x:v>3257.142857142954</x:v>
      </x:c>
      <x:c r="P716" s="50" t="n">
        <x:f>MIN(G716,MAX(0,Inputs!$B$20-O716-F716))</x:f>
        <x:v>0</x:v>
      </x:c>
      <x:c r="Q716" s="50" t="n">
        <x:f>(C716-E716-F716)+(G716-P716)</x:f>
        <x:v>0</x:v>
      </x:c>
    </x:row>
    <x:row r="717">
      <x:c r="A717" s="41" t="n">
        <x:f>IF(B717=1,A716+1,A716)</x:f>
        <x:v>2054</x:v>
      </x:c>
      <x:c r="B717" s="41" t="n">
        <x:f>IF(B716=26,1,B716+1)</x:f>
        <x:v>14</x:v>
      </x:c>
      <x:c r="C717" s="48" t="n">
        <x:f>Inputs!$F$30</x:f>
        <x:v>600</x:v>
      </x:c>
      <x:c r="D717" s="50" t="n">
        <x:f>IF(B717=1,0,D716+E716)</x:f>
        <x:v>7800</x:v>
      </x:c>
      <x:c r="E717" s="50" t="n">
        <x:f>MIN(C717,MAX(0,Inputs!$B$7-D717))</x:f>
        <x:v>200</x:v>
      </x:c>
      <x:c r="F717" s="50" t="n">
        <x:f>MIN(C717-E717,MAX(0,Inputs!$B$20-O717))</x:f>
        <x:v>400</x:v>
      </x:c>
      <x:c r="G717" s="50" t="n">
        <x:f>0</x:f>
        <x:v>0</x:v>
      </x:c>
      <x:c r="H717" s="41" t="n">
        <x:f>0</x:f>
        <x:v>0</x:v>
      </x:c>
      <x:c r="I717" s="50" t="n">
        <x:f>(I716*(1+Inputs!$B$12))+E717</x:f>
        <x:v>607676.1367207733</x:v>
      </x:c>
      <x:c r="J717" s="50" t="n">
        <x:f>(J716*(1+Inputs!$B$12))+F717+P717</x:f>
        <x:v>714409.3295628091</x:v>
      </x:c>
      <x:c r="K717" s="50" t="n">
        <x:f>(K716*(1+Inputs!$B$12))*(1-H717)</x:f>
        <x:v>0</x:v>
      </x:c>
      <x:c r="L717" s="50" t="n">
        <x:f>L716*(1+Inputs!$B$13)+Q717</x:f>
        <x:v>47731.25161422702</x:v>
      </x:c>
      <x:c r="M717" s="50" t="n">
        <x:f>I717+J717+L717</x:f>
        <x:v>1369816.7178978093</x:v>
      </x:c>
      <x:c r="N717" s="50" t="n">
        <x:f>F717+P717</x:f>
        <x:v>400</x:v>
      </x:c>
      <x:c r="O717" s="50" t="n">
        <x:f>IF(B717=1,0,O716+F716+P716)</x:f>
        <x:v>3257.142857142954</x:v>
      </x:c>
      <x:c r="P717" s="50" t="n">
        <x:f>MIN(G717,MAX(0,Inputs!$B$20-O717-F717))</x:f>
        <x:v>0</x:v>
      </x:c>
      <x:c r="Q717" s="50" t="n">
        <x:f>(C717-E717-F717)+(G717-P717)</x:f>
        <x:v>0</x:v>
      </x:c>
    </x:row>
    <x:row r="718">
      <x:c r="A718" s="41" t="n">
        <x:f>IF(B718=1,A717+1,A717)</x:f>
        <x:v>2054</x:v>
      </x:c>
      <x:c r="B718" s="41" t="n">
        <x:f>IF(B717=26,1,B717+1)</x:f>
        <x:v>15</x:v>
      </x:c>
      <x:c r="C718" s="48" t="n">
        <x:f>Inputs!$F$30</x:f>
        <x:v>600</x:v>
      </x:c>
      <x:c r="D718" s="50" t="n">
        <x:f>IF(B718=1,0,D717+E717)</x:f>
        <x:v>8000</x:v>
      </x:c>
      <x:c r="E718" s="50" t="n">
        <x:f>MIN(C718,MAX(0,Inputs!$B$7-D718))</x:f>
        <x:v>0</x:v>
      </x:c>
      <x:c r="F718" s="50" t="n">
        <x:f>MIN(C718-E718,MAX(0,Inputs!$B$20-O718))</x:f>
        <x:v>600</x:v>
      </x:c>
      <x:c r="G718" s="50" t="n">
        <x:f>0</x:f>
        <x:v>0</x:v>
      </x:c>
      <x:c r="H718" s="41" t="n">
        <x:f>0</x:f>
        <x:v>0</x:v>
      </x:c>
      <x:c r="I718" s="50" t="n">
        <x:f>(I717*(1+Inputs!$B$12))+E718</x:f>
        <x:v>608817.5388116019</x:v>
      </x:c>
      <x:c r="J718" s="50" t="n">
        <x:f>(J717*(1+Inputs!$B$12))+F718+P718</x:f>
        <x:v>716351.2093128858</x:v>
      </x:c>
      <x:c r="K718" s="50" t="n">
        <x:f>(K717*(1+Inputs!$B$12))*(1-H718)</x:f>
        <x:v>0</x:v>
      </x:c>
      <x:c r="L718" s="50" t="n">
        <x:f>L717*(1+Inputs!$B$13)+Q718</x:f>
        <x:v>47814.76480664722</x:v>
      </x:c>
      <x:c r="M718" s="50" t="n">
        <x:f>I718+J718+L718</x:f>
        <x:v>1372983.512931135</x:v>
      </x:c>
      <x:c r="N718" s="50" t="n">
        <x:f>F718+P718</x:f>
        <x:v>600</x:v>
      </x:c>
      <x:c r="O718" s="50" t="n">
        <x:f>IF(B718=1,0,O717+F717+P717)</x:f>
        <x:v>3657.142857142954</x:v>
      </x:c>
      <x:c r="P718" s="50" t="n">
        <x:f>MIN(G718,MAX(0,Inputs!$B$20-O718-F718))</x:f>
        <x:v>0</x:v>
      </x:c>
      <x:c r="Q718" s="50" t="n">
        <x:f>(C718-E718-F718)+(G718-P718)</x:f>
        <x:v>0</x:v>
      </x:c>
    </x:row>
    <x:row r="719">
      <x:c r="A719" s="41" t="n">
        <x:f>IF(B719=1,A718+1,A718)</x:f>
        <x:v>2054</x:v>
      </x:c>
      <x:c r="B719" s="41" t="n">
        <x:f>IF(B718=26,1,B718+1)</x:f>
        <x:v>16</x:v>
      </x:c>
      <x:c r="C719" s="48" t="n">
        <x:f>Inputs!$F$30</x:f>
        <x:v>600</x:v>
      </x:c>
      <x:c r="D719" s="50" t="n">
        <x:f>IF(B719=1,0,D718+E718)</x:f>
        <x:v>8000</x:v>
      </x:c>
      <x:c r="E719" s="50" t="n">
        <x:f>MIN(C719,MAX(0,Inputs!$B$7-D719))</x:f>
        <x:v>0</x:v>
      </x:c>
      <x:c r="F719" s="50" t="n">
        <x:f>MIN(C719-E719,MAX(0,Inputs!$B$20-O719))</x:f>
        <x:v>600</x:v>
      </x:c>
      <x:c r="G719" s="50" t="n">
        <x:f>0</x:f>
        <x:v>0</x:v>
      </x:c>
      <x:c r="H719" s="41" t="n">
        <x:f>0</x:f>
        <x:v>0</x:v>
      </x:c>
      <x:c r="I719" s="50" t="n">
        <x:f>(I718*(1+Inputs!$B$12))+E719</x:f>
        <x:v>609961.084805497</x:v>
      </x:c>
      <x:c r="J719" s="50" t="n">
        <x:f>(J718*(1+Inputs!$B$12))+F719+P719</x:f>
        <x:v>718296.7365084897</x:v>
      </x:c>
      <x:c r="K719" s="50" t="n">
        <x:f>(K718*(1+Inputs!$B$12))*(1-H719)</x:f>
        <x:v>0</x:v>
      </x:c>
      <x:c r="L719" s="50" t="n">
        <x:f>L718*(1+Inputs!$B$13)+Q719</x:f>
        <x:v>47898.42411828852</x:v>
      </x:c>
      <x:c r="M719" s="50" t="n">
        <x:f>I719+J719+L719</x:f>
        <x:v>1376156.245432275</x:v>
      </x:c>
      <x:c r="N719" s="50" t="n">
        <x:f>F719+P719</x:f>
        <x:v>600</x:v>
      </x:c>
      <x:c r="O719" s="50" t="n">
        <x:f>IF(B719=1,0,O718+F718+P718)</x:f>
        <x:v>4257.142857142954</x:v>
      </x:c>
      <x:c r="P719" s="50" t="n">
        <x:f>MIN(G719,MAX(0,Inputs!$B$20-O719-F719))</x:f>
        <x:v>0</x:v>
      </x:c>
      <x:c r="Q719" s="50" t="n">
        <x:f>(C719-E719-F719)+(G719-P719)</x:f>
        <x:v>0</x:v>
      </x:c>
    </x:row>
    <x:row r="720">
      <x:c r="A720" s="41" t="n">
        <x:f>IF(B720=1,A719+1,A719)</x:f>
        <x:v>2054</x:v>
      </x:c>
      <x:c r="B720" s="41" t="n">
        <x:f>IF(B719=26,1,B719+1)</x:f>
        <x:v>17</x:v>
      </x:c>
      <x:c r="C720" s="48" t="n">
        <x:f>Inputs!$F$30</x:f>
        <x:v>600</x:v>
      </x:c>
      <x:c r="D720" s="50" t="n">
        <x:f>IF(B720=1,0,D719+E719)</x:f>
        <x:v>8000</x:v>
      </x:c>
      <x:c r="E720" s="50" t="n">
        <x:f>MIN(C720,MAX(0,Inputs!$B$7-D720))</x:f>
        <x:v>0</x:v>
      </x:c>
      <x:c r="F720" s="50" t="n">
        <x:f>MIN(C720-E720,MAX(0,Inputs!$B$20-O720))</x:f>
        <x:v>600</x:v>
      </x:c>
      <x:c r="G720" s="50" t="n">
        <x:f>0</x:f>
        <x:v>0</x:v>
      </x:c>
      <x:c r="H720" s="41" t="n">
        <x:f>0</x:f>
        <x:v>0</x:v>
      </x:c>
      <x:c r="I720" s="50" t="n">
        <x:f>(I719*(1+Inputs!$B$12))+E720</x:f>
        <x:v>611106.7787293658</x:v>
      </x:c>
      <x:c r="J720" s="50" t="n">
        <x:f>(J719*(1+Inputs!$B$12))+F720+P720</x:f>
        <x:v>720245.9180006417</x:v>
      </x:c>
      <x:c r="K720" s="50" t="n">
        <x:f>(K719*(1+Inputs!$B$12))*(1-H720)</x:f>
        <x:v>0</x:v>
      </x:c>
      <x:c r="L720" s="50" t="n">
        <x:f>L719*(1+Inputs!$B$13)+Q720</x:f>
        <x:v>47982.22980480906</x:v>
      </x:c>
      <x:c r="M720" s="50" t="n">
        <x:f>I720+J720+L720</x:f>
        <x:v>1379334.9265348164</x:v>
      </x:c>
      <x:c r="N720" s="50" t="n">
        <x:f>F720+P720</x:f>
        <x:v>600</x:v>
      </x:c>
      <x:c r="O720" s="50" t="n">
        <x:f>IF(B720=1,0,O719+F719+P719)</x:f>
        <x:v>4857.142857142954</x:v>
      </x:c>
      <x:c r="P720" s="50" t="n">
        <x:f>MIN(G720,MAX(0,Inputs!$B$20-O720-F720))</x:f>
        <x:v>0</x:v>
      </x:c>
      <x:c r="Q720" s="50" t="n">
        <x:f>(C720-E720-F720)+(G720-P720)</x:f>
        <x:v>0</x:v>
      </x:c>
    </x:row>
    <x:row r="721">
      <x:c r="A721" s="41" t="n">
        <x:f>IF(B721=1,A720+1,A720)</x:f>
        <x:v>2054</x:v>
      </x:c>
      <x:c r="B721" s="41" t="n">
        <x:f>IF(B720=26,1,B720+1)</x:f>
        <x:v>18</x:v>
      </x:c>
      <x:c r="C721" s="48" t="n">
        <x:f>Inputs!$F$30</x:f>
        <x:v>600</x:v>
      </x:c>
      <x:c r="D721" s="50" t="n">
        <x:f>IF(B721=1,0,D720+E720)</x:f>
        <x:v>8000</x:v>
      </x:c>
      <x:c r="E721" s="50" t="n">
        <x:f>MIN(C721,MAX(0,Inputs!$B$7-D721))</x:f>
        <x:v>0</x:v>
      </x:c>
      <x:c r="F721" s="50" t="n">
        <x:f>MIN(C721-E721,MAX(0,Inputs!$B$20-O721))</x:f>
        <x:v>600</x:v>
      </x:c>
      <x:c r="G721" s="50" t="n">
        <x:f>0</x:f>
        <x:v>0</x:v>
      </x:c>
      <x:c r="H721" s="41" t="n">
        <x:f>0</x:f>
        <x:v>0</x:v>
      </x:c>
      <x:c r="I721" s="50" t="n">
        <x:f>(I720*(1+Inputs!$B$12))+E721</x:f>
        <x:v>612254.6246176794</x:v>
      </x:c>
      <x:c r="J721" s="50" t="n">
        <x:f>(J720*(1+Inputs!$B$12))+F721+P721</x:f>
        <x:v>722198.7606532313</x:v>
      </x:c>
      <x:c r="K721" s="50" t="n">
        <x:f>(K720*(1+Inputs!$B$12))*(1-H721)</x:f>
        <x:v>0</x:v>
      </x:c>
      <x:c r="L721" s="50" t="n">
        <x:f>L720*(1+Inputs!$B$13)+Q721</x:f>
        <x:v>48066.18212231428</x:v>
      </x:c>
      <x:c r="M721" s="50" t="n">
        <x:f>I721+J721+L721</x:f>
        <x:v>1382519.5673932252</x:v>
      </x:c>
      <x:c r="N721" s="50" t="n">
        <x:f>F721+P721</x:f>
        <x:v>600</x:v>
      </x:c>
      <x:c r="O721" s="50" t="n">
        <x:f>IF(B721=1,0,O720+F720+P720)</x:f>
        <x:v>5457.142857142954</x:v>
      </x:c>
      <x:c r="P721" s="50" t="n">
        <x:f>MIN(G721,MAX(0,Inputs!$B$20-O721-F721))</x:f>
        <x:v>0</x:v>
      </x:c>
      <x:c r="Q721" s="50" t="n">
        <x:f>(C721-E721-F721)+(G721-P721)</x:f>
        <x:v>0</x:v>
      </x:c>
    </x:row>
    <x:row r="722">
      <x:c r="A722" s="41" t="n">
        <x:f>IF(B722=1,A721+1,A721)</x:f>
        <x:v>2054</x:v>
      </x:c>
      <x:c r="B722" s="41" t="n">
        <x:f>IF(B721=26,1,B721+1)</x:f>
        <x:v>19</x:v>
      </x:c>
      <x:c r="C722" s="48" t="n">
        <x:f>Inputs!$F$30</x:f>
        <x:v>600</x:v>
      </x:c>
      <x:c r="D722" s="50" t="n">
        <x:f>IF(B722=1,0,D721+E721)</x:f>
        <x:v>8000</x:v>
      </x:c>
      <x:c r="E722" s="50" t="n">
        <x:f>MIN(C722,MAX(0,Inputs!$B$7-D722))</x:f>
        <x:v>0</x:v>
      </x:c>
      <x:c r="F722" s="50" t="n">
        <x:f>MIN(C722-E722,MAX(0,Inputs!$B$20-O722))</x:f>
        <x:v>600</x:v>
      </x:c>
      <x:c r="G722" s="50" t="n">
        <x:f>0</x:f>
        <x:v>0</x:v>
      </x:c>
      <x:c r="H722" s="41" t="n">
        <x:f>0</x:f>
        <x:v>0</x:v>
      </x:c>
      <x:c r="I722" s="50" t="n">
        <x:f>(I721*(1+Inputs!$B$12))+E722</x:f>
        <x:v>613404.6265124867</x:v>
      </x:c>
      <x:c r="J722" s="50" t="n">
        <x:f>(J721*(1+Inputs!$B$12))+F722+P722</x:f>
        <x:v>724155.27134304</x:v>
      </x:c>
      <x:c r="K722" s="50" t="n">
        <x:f>(K721*(1+Inputs!$B$12))*(1-H722)</x:f>
        <x:v>0</x:v>
      </x:c>
      <x:c r="L722" s="50" t="n">
        <x:f>L721*(1+Inputs!$B$13)+Q722</x:f>
        <x:v>48150.28132735773</x:v>
      </x:c>
      <x:c r="M722" s="50" t="n">
        <x:f>I722+J722+L722</x:f>
        <x:v>1385710.1791828845</x:v>
      </x:c>
      <x:c r="N722" s="50" t="n">
        <x:f>F722+P722</x:f>
        <x:v>600</x:v>
      </x:c>
      <x:c r="O722" s="50" t="n">
        <x:f>IF(B722=1,0,O721+F721+P721)</x:f>
        <x:v>6057.142857142954</x:v>
      </x:c>
      <x:c r="P722" s="50" t="n">
        <x:f>MIN(G722,MAX(0,Inputs!$B$20-O722-F722))</x:f>
        <x:v>0</x:v>
      </x:c>
      <x:c r="Q722" s="50" t="n">
        <x:f>(C722-E722-F722)+(G722-P722)</x:f>
        <x:v>0</x:v>
      </x:c>
    </x:row>
    <x:row r="723">
      <x:c r="A723" s="41" t="n">
        <x:f>IF(B723=1,A722+1,A722)</x:f>
        <x:v>2054</x:v>
      </x:c>
      <x:c r="B723" s="41" t="n">
        <x:f>IF(B722=26,1,B722+1)</x:f>
        <x:v>20</x:v>
      </x:c>
      <x:c r="C723" s="48" t="n">
        <x:f>Inputs!$F$30</x:f>
        <x:v>600</x:v>
      </x:c>
      <x:c r="D723" s="50" t="n">
        <x:f>IF(B723=1,0,D722+E722)</x:f>
        <x:v>8000</x:v>
      </x:c>
      <x:c r="E723" s="50" t="n">
        <x:f>MIN(C723,MAX(0,Inputs!$B$7-D723))</x:f>
        <x:v>0</x:v>
      </x:c>
      <x:c r="F723" s="50" t="n">
        <x:f>MIN(C723-E723,MAX(0,Inputs!$B$20-O723))</x:f>
        <x:v>600</x:v>
      </x:c>
      <x:c r="G723" s="50" t="n">
        <x:f>0</x:f>
        <x:v>0</x:v>
      </x:c>
      <x:c r="H723" s="41" t="n">
        <x:f>0</x:f>
        <x:v>0</x:v>
      </x:c>
      <x:c r="I723" s="50" t="n">
        <x:f>(I722*(1+Inputs!$B$12))+E723</x:f>
        <x:v>614556.788463429</x:v>
      </x:c>
      <x:c r="J723" s="50" t="n">
        <x:f>(J722*(1+Inputs!$B$12))+F723+P723</x:f>
        <x:v>726115.4569597665</x:v>
      </x:c>
      <x:c r="K723" s="50" t="n">
        <x:f>(K722*(1+Inputs!$B$12))*(1-H723)</x:f>
        <x:v>0</x:v>
      </x:c>
      <x:c r="L723" s="50" t="n">
        <x:f>L722*(1+Inputs!$B$13)+Q723</x:f>
        <x:v>48234.52767694182</x:v>
      </x:c>
      <x:c r="M723" s="50" t="n">
        <x:f>I723+J723+L723</x:f>
        <x:v>1388906.7731001372</x:v>
      </x:c>
      <x:c r="N723" s="50" t="n">
        <x:f>F723+P723</x:f>
        <x:v>600</x:v>
      </x:c>
      <x:c r="O723" s="50" t="n">
        <x:f>IF(B723=1,0,O722+F722+P722)</x:f>
        <x:v>6657.142857142954</x:v>
      </x:c>
      <x:c r="P723" s="50" t="n">
        <x:f>MIN(G723,MAX(0,Inputs!$B$20-O723-F723))</x:f>
        <x:v>0</x:v>
      </x:c>
      <x:c r="Q723" s="50" t="n">
        <x:f>(C723-E723-F723)+(G723-P723)</x:f>
        <x:v>0</x:v>
      </x:c>
    </x:row>
    <x:row r="724">
      <x:c r="A724" s="41" t="n">
        <x:f>IF(B724=1,A723+1,A723)</x:f>
        <x:v>2054</x:v>
      </x:c>
      <x:c r="B724" s="41" t="n">
        <x:f>IF(B723=26,1,B723+1)</x:f>
        <x:v>21</x:v>
      </x:c>
      <x:c r="C724" s="48" t="n">
        <x:f>Inputs!$F$30</x:f>
        <x:v>600</x:v>
      </x:c>
      <x:c r="D724" s="50" t="n">
        <x:f>IF(B724=1,0,D723+E723)</x:f>
        <x:v>8000</x:v>
      </x:c>
      <x:c r="E724" s="50" t="n">
        <x:f>MIN(C724,MAX(0,Inputs!$B$7-D724))</x:f>
        <x:v>0</x:v>
      </x:c>
      <x:c r="F724" s="50" t="n">
        <x:f>MIN(C724-E724,MAX(0,Inputs!$B$20-O724))</x:f>
        <x:v>600</x:v>
      </x:c>
      <x:c r="G724" s="50" t="n">
        <x:f>0</x:f>
        <x:v>0</x:v>
      </x:c>
      <x:c r="H724" s="41" t="n">
        <x:f>0</x:f>
        <x:v>0</x:v>
      </x:c>
      <x:c r="I724" s="50" t="n">
        <x:f>(I723*(1+Inputs!$B$12))+E724</x:f>
        <x:v>615711.1145277539</x:v>
      </x:c>
      <x:c r="J724" s="50" t="n">
        <x:f>(J723*(1+Inputs!$B$12))+F724+P724</x:f>
        <x:v>728079.32440605</x:v>
      </x:c>
      <x:c r="K724" s="50" t="n">
        <x:f>(K723*(1+Inputs!$B$12))*(1-H724)</x:f>
        <x:v>0</x:v>
      </x:c>
      <x:c r="L724" s="50" t="n">
        <x:f>L723*(1+Inputs!$B$13)+Q724</x:f>
        <x:v>48318.92142851864</x:v>
      </x:c>
      <x:c r="M724" s="50" t="n">
        <x:f>I724+J724+L724</x:f>
        <x:v>1392109.3603623225</x:v>
      </x:c>
      <x:c r="N724" s="50" t="n">
        <x:f>F724+P724</x:f>
        <x:v>600</x:v>
      </x:c>
      <x:c r="O724" s="50" t="n">
        <x:f>IF(B724=1,0,O723+F723+P723)</x:f>
        <x:v>7257.142857142954</x:v>
      </x:c>
      <x:c r="P724" s="50" t="n">
        <x:f>MIN(G724,MAX(0,Inputs!$B$20-O724-F724))</x:f>
        <x:v>0</x:v>
      </x:c>
      <x:c r="Q724" s="50" t="n">
        <x:f>(C724-E724-F724)+(G724-P724)</x:f>
        <x:v>0</x:v>
      </x:c>
    </x:row>
    <x:row r="725">
      <x:c r="A725" s="41" t="n">
        <x:f>IF(B725=1,A724+1,A724)</x:f>
        <x:v>2054</x:v>
      </x:c>
      <x:c r="B725" s="41" t="n">
        <x:f>IF(B724=26,1,B724+1)</x:f>
        <x:v>22</x:v>
      </x:c>
      <x:c r="C725" s="48" t="n">
        <x:f>Inputs!$F$30</x:f>
        <x:v>600</x:v>
      </x:c>
      <x:c r="D725" s="50" t="n">
        <x:f>IF(B725=1,0,D724+E724)</x:f>
        <x:v>8000</x:v>
      </x:c>
      <x:c r="E725" s="50" t="n">
        <x:f>MIN(C725,MAX(0,Inputs!$B$7-D725))</x:f>
        <x:v>0</x:v>
      </x:c>
      <x:c r="F725" s="50" t="n">
        <x:f>MIN(C725-E725,MAX(0,Inputs!$B$20-O725))</x:f>
        <x:v>600</x:v>
      </x:c>
      <x:c r="G725" s="50" t="n">
        <x:f>0</x:f>
        <x:v>0</x:v>
      </x:c>
      <x:c r="H725" s="41" t="n">
        <x:f>0</x:f>
        <x:v>0</x:v>
      </x:c>
      <x:c r="I725" s="50" t="n">
        <x:f>(I724*(1+Inputs!$B$12))+E725</x:f>
        <x:v>616867.6087703299</x:v>
      </x:c>
      <x:c r="J725" s="50" t="n">
        <x:f>(J724*(1+Inputs!$B$12))+F725+P725</x:f>
        <x:v>730046.8805974955</x:v>
      </x:c>
      <x:c r="K725" s="50" t="n">
        <x:f>(K724*(1+Inputs!$B$12))*(1-H725)</x:f>
        <x:v>0</x:v>
      </x:c>
      <x:c r="L725" s="50" t="n">
        <x:f>L724*(1+Inputs!$B$13)+Q725</x:f>
        <x:v>48403.46283999073</x:v>
      </x:c>
      <x:c r="M725" s="50" t="n">
        <x:f>I725+J725+L725</x:f>
        <x:v>1395317.952207816</x:v>
      </x:c>
      <x:c r="N725" s="50" t="n">
        <x:f>F725+P725</x:f>
        <x:v>600</x:v>
      </x:c>
      <x:c r="O725" s="50" t="n">
        <x:f>IF(B725=1,0,O724+F724+P724)</x:f>
        <x:v>7857.142857142954</x:v>
      </x:c>
      <x:c r="P725" s="50" t="n">
        <x:f>MIN(G725,MAX(0,Inputs!$B$20-O725-F725))</x:f>
        <x:v>0</x:v>
      </x:c>
      <x:c r="Q725" s="50" t="n">
        <x:f>(C725-E725-F725)+(G725-P725)</x:f>
        <x:v>0</x:v>
      </x:c>
    </x:row>
    <x:row r="726">
      <x:c r="A726" s="41" t="n">
        <x:f>IF(B726=1,A725+1,A725)</x:f>
        <x:v>2054</x:v>
      </x:c>
      <x:c r="B726" s="41" t="n">
        <x:f>IF(B725=26,1,B725+1)</x:f>
        <x:v>23</x:v>
      </x:c>
      <x:c r="C726" s="48" t="n">
        <x:f>Inputs!$F$30</x:f>
        <x:v>600</x:v>
      </x:c>
      <x:c r="D726" s="50" t="n">
        <x:f>IF(B726=1,0,D725+E725)</x:f>
        <x:v>8000</x:v>
      </x:c>
      <x:c r="E726" s="50" t="n">
        <x:f>MIN(C726,MAX(0,Inputs!$B$7-D726))</x:f>
        <x:v>0</x:v>
      </x:c>
      <x:c r="F726" s="50" t="n">
        <x:f>MIN(C726-E726,MAX(0,Inputs!$B$20-O726))</x:f>
        <x:v>600</x:v>
      </x:c>
      <x:c r="G726" s="50" t="n">
        <x:f>0</x:f>
        <x:v>0</x:v>
      </x:c>
      <x:c r="H726" s="41" t="n">
        <x:f>0</x:f>
        <x:v>0</x:v>
      </x:c>
      <x:c r="I726" s="50" t="n">
        <x:f>(I725*(1+Inputs!$B$12))+E726</x:f>
        <x:v>618026.2752636604</x:v>
      </x:c>
      <x:c r="J726" s="50" t="n">
        <x:f>(J725*(1+Inputs!$B$12))+F726+P726</x:f>
        <x:v>732018.1324626971</x:v>
      </x:c>
      <x:c r="K726" s="50" t="n">
        <x:f>(K725*(1+Inputs!$B$12))*(1-H726)</x:f>
        <x:v>0</x:v>
      </x:c>
      <x:c r="L726" s="50" t="n">
        <x:f>L725*(1+Inputs!$B$13)+Q726</x:f>
        <x:v>48488.15216971187</x:v>
      </x:c>
      <x:c r="M726" s="50" t="n">
        <x:f>I726+J726+L726</x:f>
        <x:v>1398532.5598960693</x:v>
      </x:c>
      <x:c r="N726" s="50" t="n">
        <x:f>F726+P726</x:f>
        <x:v>600</x:v>
      </x:c>
      <x:c r="O726" s="50" t="n">
        <x:f>IF(B726=1,0,O725+F725+P725)</x:f>
        <x:v>8457.142857142953</x:v>
      </x:c>
      <x:c r="P726" s="50" t="n">
        <x:f>MIN(G726,MAX(0,Inputs!$B$20-O726-F726))</x:f>
        <x:v>0</x:v>
      </x:c>
      <x:c r="Q726" s="50" t="n">
        <x:f>(C726-E726-F726)+(G726-P726)</x:f>
        <x:v>0</x:v>
      </x:c>
    </x:row>
    <x:row r="727">
      <x:c r="A727" s="41" t="n">
        <x:f>IF(B727=1,A726+1,A726)</x:f>
        <x:v>2054</x:v>
      </x:c>
      <x:c r="B727" s="41" t="n">
        <x:f>IF(B726=26,1,B726+1)</x:f>
        <x:v>24</x:v>
      </x:c>
      <x:c r="C727" s="48" t="n">
        <x:f>Inputs!$F$30</x:f>
        <x:v>600</x:v>
      </x:c>
      <x:c r="D727" s="50" t="n">
        <x:f>IF(B727=1,0,D726+E726)</x:f>
        <x:v>8000</x:v>
      </x:c>
      <x:c r="E727" s="50" t="n">
        <x:f>MIN(C727,MAX(0,Inputs!$B$7-D727))</x:f>
        <x:v>0</x:v>
      </x:c>
      <x:c r="F727" s="50" t="n">
        <x:f>MIN(C727-E727,MAX(0,Inputs!$B$20-O727))</x:f>
        <x:v>600</x:v>
      </x:c>
      <x:c r="G727" s="50" t="n">
        <x:f>0</x:f>
        <x:v>0</x:v>
      </x:c>
      <x:c r="H727" s="41" t="n">
        <x:f>0</x:f>
        <x:v>0</x:v>
      </x:c>
      <x:c r="I727" s="50" t="n">
        <x:f>(I726*(1+Inputs!$B$12))+E727</x:f>
        <x:v>619187.1180878984</x:v>
      </x:c>
      <x:c r="J727" s="50" t="n">
        <x:f>(J726*(1+Inputs!$B$12))+F727+P727</x:f>
        <x:v>733993.0869432633</x:v>
      </x:c>
      <x:c r="K727" s="50" t="n">
        <x:f>(K726*(1+Inputs!$B$12))*(1-H727)</x:f>
        <x:v>0</x:v>
      </x:c>
      <x:c r="L727" s="50" t="n">
        <x:f>L726*(1+Inputs!$B$13)+Q727</x:f>
        <x:v>48572.98967648787</x:v>
      </x:c>
      <x:c r="M727" s="50" t="n">
        <x:f>I727+J727+L727</x:f>
        <x:v>1401753.1947076495</x:v>
      </x:c>
      <x:c r="N727" s="50" t="n">
        <x:f>F727+P727</x:f>
        <x:v>600</x:v>
      </x:c>
      <x:c r="O727" s="50" t="n">
        <x:f>IF(B727=1,0,O726+F726+P726)</x:f>
        <x:v>9057.142857142953</x:v>
      </x:c>
      <x:c r="P727" s="50" t="n">
        <x:f>MIN(G727,MAX(0,Inputs!$B$20-O727-F727))</x:f>
        <x:v>0</x:v>
      </x:c>
      <x:c r="Q727" s="50" t="n">
        <x:f>(C727-E727-F727)+(G727-P727)</x:f>
        <x:v>0</x:v>
      </x:c>
    </x:row>
    <x:row r="728">
      <x:c r="A728" s="41" t="n">
        <x:f>IF(B728=1,A727+1,A727)</x:f>
        <x:v>2054</x:v>
      </x:c>
      <x:c r="B728" s="41" t="n">
        <x:f>IF(B727=26,1,B727+1)</x:f>
        <x:v>25</x:v>
      </x:c>
      <x:c r="C728" s="48" t="n">
        <x:f>Inputs!$F$30</x:f>
        <x:v>600</x:v>
      </x:c>
      <x:c r="D728" s="50" t="n">
        <x:f>IF(B728=1,0,D727+E727)</x:f>
        <x:v>8000</x:v>
      </x:c>
      <x:c r="E728" s="50" t="n">
        <x:f>MIN(C728,MAX(0,Inputs!$B$7-D728))</x:f>
        <x:v>0</x:v>
      </x:c>
      <x:c r="F728" s="50" t="n">
        <x:f>MIN(C728-E728,MAX(0,Inputs!$B$20-O728))</x:f>
        <x:v>600</x:v>
      </x:c>
      <x:c r="G728" s="50" t="n">
        <x:f>0</x:f>
        <x:v>0</x:v>
      </x:c>
      <x:c r="H728" s="41" t="n">
        <x:f>0</x:f>
        <x:v>0</x:v>
      </x:c>
      <x:c r="I728" s="50" t="n">
        <x:f>(I727*(1+Inputs!$B$12))+E728</x:f>
        <x:v>620350.1413308604</x:v>
      </x:c>
      <x:c r="J728" s="50" t="n">
        <x:f>(J727*(1+Inputs!$B$12))+F728+P728</x:f>
        <x:v>735971.7509938409</x:v>
      </x:c>
      <x:c r="K728" s="50" t="n">
        <x:f>(K727*(1+Inputs!$B$12))*(1-H728)</x:f>
        <x:v>0</x:v>
      </x:c>
      <x:c r="L728" s="50" t="n">
        <x:f>L727*(1+Inputs!$B$13)+Q728</x:f>
        <x:v>48657.975619577366</x:v>
      </x:c>
      <x:c r="M728" s="50" t="n">
        <x:f>I728+J728+L728</x:f>
        <x:v>1404979.8679442788</x:v>
      </x:c>
      <x:c r="N728" s="50" t="n">
        <x:f>F728+P728</x:f>
        <x:v>600</x:v>
      </x:c>
      <x:c r="O728" s="50" t="n">
        <x:f>IF(B728=1,0,O727+F727+P727)</x:f>
        <x:v>9657.142857142953</x:v>
      </x:c>
      <x:c r="P728" s="50" t="n">
        <x:f>MIN(G728,MAX(0,Inputs!$B$20-O728-F728))</x:f>
        <x:v>0</x:v>
      </x:c>
      <x:c r="Q728" s="50" t="n">
        <x:f>(C728-E728-F728)+(G728-P728)</x:f>
        <x:v>0</x:v>
      </x:c>
    </x:row>
    <x:row r="729">
      <x:c r="A729" s="41" t="n">
        <x:f>IF(B729=1,A728+1,A728)</x:f>
        <x:v>2054</x:v>
      </x:c>
      <x:c r="B729" s="41" t="n">
        <x:f>IF(B728=26,1,B728+1)</x:f>
        <x:v>26</x:v>
      </x:c>
      <x:c r="C729" s="48" t="n">
        <x:f>Inputs!$F$30</x:f>
        <x:v>600</x:v>
      </x:c>
      <x:c r="D729" s="50" t="n">
        <x:f>IF(B729=1,0,D728+E728)</x:f>
        <x:v>8000</x:v>
      </x:c>
      <x:c r="E729" s="50" t="n">
        <x:f>MIN(C729,MAX(0,Inputs!$B$7-D729))</x:f>
        <x:v>0</x:v>
      </x:c>
      <x:c r="F729" s="50" t="n">
        <x:f>MIN(C729-E729,MAX(0,Inputs!$B$20-O729))</x:f>
        <x:v>600</x:v>
      </x:c>
      <x:c r="G729" s="50" t="n">
        <x:f>0</x:f>
        <x:v>0</x:v>
      </x:c>
      <x:c r="H729" s="41" t="n">
        <x:f>IF(A729=Inputs!$B$8,1,0)</x:f>
        <x:v>0</x:v>
      </x:c>
      <x:c r="I729" s="50" t="n">
        <x:f>(I728*(1+Inputs!$B$12))+E729</x:f>
        <x:v>621515.3490880415</x:v>
      </x:c>
      <x:c r="J729" s="50" t="n">
        <x:f>(J728*(1+Inputs!$B$12))+F729+P729</x:f>
        <x:v>737954.1315821395</x:v>
      </x:c>
      <x:c r="K729" s="50" t="n">
        <x:f>(K728*(1+Inputs!$B$12))*(1-H729)</x:f>
        <x:v>0</x:v>
      </x:c>
      <x:c r="L729" s="50" t="n">
        <x:f>L728*(1+Inputs!$B$13)+Q729</x:f>
        <x:v>48743.11025869259</x:v>
      </x:c>
      <x:c r="M729" s="50" t="n">
        <x:f>I729+J729+L729</x:f>
        <x:v>1408212.5909288737</x:v>
      </x:c>
      <x:c r="N729" s="50" t="n">
        <x:f>F729+P729</x:f>
        <x:v>600</x:v>
      </x:c>
      <x:c r="O729" s="50" t="n">
        <x:f>IF(B729=1,0,O728+F728+P728)</x:f>
        <x:v>10257.142857142953</x:v>
      </x:c>
      <x:c r="P729" s="50" t="n">
        <x:f>MIN(G729,MAX(0,Inputs!$B$20-O729-F729))</x:f>
        <x:v>0</x:v>
      </x:c>
      <x:c r="Q729" s="50" t="n">
        <x:f>(C729-E729-F729)+(G729-P729)</x:f>
        <x:v>0</x:v>
      </x:c>
    </x:row>
    <x:row r="730">
      <x:c r="A730" s="41" t="n">
        <x:f>IF(B730=1,A729+1,A729)</x:f>
        <x:v>2055</x:v>
      </x:c>
      <x:c r="B730" s="41" t="n">
        <x:f>IF(B729=26,1,B729+1)</x:f>
        <x:v>1</x:v>
      </x:c>
      <x:c r="C730" s="48" t="n">
        <x:f>Inputs!$F$31</x:f>
        <x:v>600</x:v>
      </x:c>
      <x:c r="D730" s="50" t="n">
        <x:f>IF(B730=1,0,D729+E729)</x:f>
        <x:v>0</x:v>
      </x:c>
      <x:c r="E730" s="50" t="n">
        <x:f>MIN(C730,MAX(0,Inputs!$B$7-D730))</x:f>
        <x:v>600</x:v>
      </x:c>
      <x:c r="F730" s="50" t="n">
        <x:f>MIN(C730-E730,MAX(0,Inputs!$B$20-O730))</x:f>
        <x:v>0</x:v>
      </x:c>
      <x:c r="G730" s="50" t="n">
        <x:f>0</x:f>
        <x:v>0</x:v>
      </x:c>
      <x:c r="H730" s="41" t="n">
        <x:f>0</x:f>
        <x:v>0</x:v>
      </x:c>
      <x:c r="I730" s="50" t="n">
        <x:f>(I729*(1+Inputs!$B$12))+E730</x:f>
        <x:v>623282.7454626289</x:v>
      </x:c>
      <x:c r="J730" s="50" t="n">
        <x:f>(J729*(1+Inputs!$B$12))+F730+P730</x:f>
        <x:v>739340.2356889567</x:v>
      </x:c>
      <x:c r="K730" s="50" t="n">
        <x:f>(K729*(1+Inputs!$B$12))*(1-H730)</x:f>
        <x:v>0</x:v>
      </x:c>
      <x:c r="L730" s="50" t="n">
        <x:f>L729*(1+Inputs!$B$13)+Q730</x:f>
        <x:v>48828.3938540002</x:v>
      </x:c>
      <x:c r="M730" s="50" t="n">
        <x:f>I730+J730+L730</x:f>
        <x:v>1411451.3750055856</x:v>
      </x:c>
      <x:c r="N730" s="50" t="n">
        <x:f>F730+P730</x:f>
        <x:v>0</x:v>
      </x:c>
      <x:c r="O730" s="50" t="n">
        <x:f>IF(B730=1,0,O729+F729+P729)</x:f>
        <x:v>0</x:v>
      </x:c>
      <x:c r="P730" s="50" t="n">
        <x:f>MIN(G730,MAX(0,Inputs!$B$20-O730-F730))</x:f>
        <x:v>0</x:v>
      </x:c>
      <x:c r="Q730" s="50" t="n">
        <x:f>(C730-E730-F730)+(G730-P730)</x:f>
        <x:v>0</x:v>
      </x:c>
    </x:row>
    <x:row r="731">
      <x:c r="A731" s="41" t="n">
        <x:f>IF(B731=1,A730+1,A730)</x:f>
        <x:v>2055</x:v>
      </x:c>
      <x:c r="B731" s="41" t="n">
        <x:f>IF(B730=26,1,B730+1)</x:f>
        <x:v>2</x:v>
      </x:c>
      <x:c r="C731" s="48" t="n">
        <x:f>Inputs!$F$31</x:f>
        <x:v>600</x:v>
      </x:c>
      <x:c r="D731" s="50" t="n">
        <x:f>IF(B731=1,0,D730+E730)</x:f>
        <x:v>600</x:v>
      </x:c>
      <x:c r="E731" s="50" t="n">
        <x:f>MIN(C731,MAX(0,Inputs!$B$7-D731))</x:f>
        <x:v>600</x:v>
      </x:c>
      <x:c r="F731" s="50" t="n">
        <x:f>MIN(C731-E731,MAX(0,Inputs!$B$20-O731))</x:f>
        <x:v>0</x:v>
      </x:c>
      <x:c r="G731" s="50" t="n">
        <x:f>0</x:f>
        <x:v>0</x:v>
      </x:c>
      <x:c r="H731" s="41" t="n">
        <x:f>0</x:f>
        <x:v>0</x:v>
      </x:c>
      <x:c r="I731" s="50" t="n">
        <x:f>(I730*(1+Inputs!$B$12))+E731</x:f>
        <x:v>625053.46154947</x:v>
      </x:c>
      <x:c r="J731" s="50" t="n">
        <x:f>(J730*(1+Inputs!$B$12))+F731+P731</x:f>
        <x:v>740728.943324249</x:v>
      </x:c>
      <x:c r="K731" s="50" t="n">
        <x:f>(K730*(1+Inputs!$B$12))*(1-H731)</x:f>
        <x:v>0</x:v>
      </x:c>
      <x:c r="L731" s="50" t="n">
        <x:f>L730*(1+Inputs!$B$13)+Q731</x:f>
        <x:v>48913.82666612203</x:v>
      </x:c>
      <x:c r="M731" s="50" t="n">
        <x:f>I731+J731+L731</x:f>
        <x:v>1414696.231539841</x:v>
      </x:c>
      <x:c r="N731" s="50" t="n">
        <x:f>F731+P731</x:f>
        <x:v>0</x:v>
      </x:c>
      <x:c r="O731" s="50" t="n">
        <x:f>IF(B731=1,0,O730+F730+P730)</x:f>
        <x:v>0</x:v>
      </x:c>
      <x:c r="P731" s="50" t="n">
        <x:f>MIN(G731,MAX(0,Inputs!$B$20-O731-F731))</x:f>
        <x:v>0</x:v>
      </x:c>
      <x:c r="Q731" s="50" t="n">
        <x:f>(C731-E731-F731)+(G731-P731)</x:f>
        <x:v>0</x:v>
      </x:c>
    </x:row>
    <x:row r="732">
      <x:c r="A732" s="41" t="n">
        <x:f>IF(B732=1,A731+1,A731)</x:f>
        <x:v>2055</x:v>
      </x:c>
      <x:c r="B732" s="41" t="n">
        <x:f>IF(B731=26,1,B731+1)</x:f>
        <x:v>3</x:v>
      </x:c>
      <x:c r="C732" s="48" t="n">
        <x:f>Inputs!$F$31</x:f>
        <x:v>600</x:v>
      </x:c>
      <x:c r="D732" s="50" t="n">
        <x:f>IF(B732=1,0,D731+E731)</x:f>
        <x:v>1200</x:v>
      </x:c>
      <x:c r="E732" s="50" t="n">
        <x:f>MIN(C732,MAX(0,Inputs!$B$7-D732))</x:f>
        <x:v>600</x:v>
      </x:c>
      <x:c r="F732" s="50" t="n">
        <x:f>MIN(C732-E732,MAX(0,Inputs!$B$20-O732))</x:f>
        <x:v>0</x:v>
      </x:c>
      <x:c r="G732" s="50" t="n">
        <x:f>0</x:f>
        <x:v>0</x:v>
      </x:c>
      <x:c r="H732" s="41" t="n">
        <x:f>0</x:f>
        <x:v>0</x:v>
      </x:c>
      <x:c r="I732" s="50" t="n">
        <x:f>(I731*(1+Inputs!$B$12))+E732</x:f>
        <x:v>626827.503584002</x:v>
      </x:c>
      <x:c r="J732" s="50" t="n">
        <x:f>(J731*(1+Inputs!$B$12))+F732+P732</x:f>
        <x:v>742120.2593782411</x:v>
      </x:c>
      <x:c r="K732" s="50" t="n">
        <x:f>(K731*(1+Inputs!$B$12))*(1-H732)</x:f>
        <x:v>0</x:v>
      </x:c>
      <x:c r="L732" s="50" t="n">
        <x:f>L731*(1+Inputs!$B$13)+Q732</x:f>
        <x:v>48999.40895613595</x:v>
      </x:c>
      <x:c r="M732" s="50" t="n">
        <x:f>I732+J732+L732</x:f>
        <x:v>1417947.171918379</x:v>
      </x:c>
      <x:c r="N732" s="50" t="n">
        <x:f>F732+P732</x:f>
        <x:v>0</x:v>
      </x:c>
      <x:c r="O732" s="50" t="n">
        <x:f>IF(B732=1,0,O731+F731+P731)</x:f>
        <x:v>0</x:v>
      </x:c>
      <x:c r="P732" s="50" t="n">
        <x:f>MIN(G732,MAX(0,Inputs!$B$20-O732-F732))</x:f>
        <x:v>0</x:v>
      </x:c>
      <x:c r="Q732" s="50" t="n">
        <x:f>(C732-E732-F732)+(G732-P732)</x:f>
        <x:v>0</x:v>
      </x:c>
    </x:row>
    <x:row r="733">
      <x:c r="A733" s="41" t="n">
        <x:f>IF(B733=1,A732+1,A732)</x:f>
        <x:v>2055</x:v>
      </x:c>
      <x:c r="B733" s="41" t="n">
        <x:f>IF(B732=26,1,B732+1)</x:f>
        <x:v>4</x:v>
      </x:c>
      <x:c r="C733" s="48" t="n">
        <x:f>Inputs!$F$31</x:f>
        <x:v>600</x:v>
      </x:c>
      <x:c r="D733" s="50" t="n">
        <x:f>IF(B733=1,0,D732+E732)</x:f>
        <x:v>1800</x:v>
      </x:c>
      <x:c r="E733" s="50" t="n">
        <x:f>MIN(C733,MAX(0,Inputs!$B$7-D733))</x:f>
        <x:v>600</x:v>
      </x:c>
      <x:c r="F733" s="50" t="n">
        <x:f>MIN(C733-E733,MAX(0,Inputs!$B$20-O733))</x:f>
        <x:v>0</x:v>
      </x:c>
      <x:c r="G733" s="50" t="n">
        <x:f>0</x:f>
        <x:v>0</x:v>
      </x:c>
      <x:c r="H733" s="41" t="n">
        <x:f>0</x:f>
        <x:v>0</x:v>
      </x:c>
      <x:c r="I733" s="50" t="n">
        <x:f>(I732*(1+Inputs!$B$12))+E733</x:f>
        <x:v>628604.8778133745</x:v>
      </x:c>
      <x:c r="J733" s="50" t="n">
        <x:f>(J732*(1+Inputs!$B$12))+F733+P733</x:f>
        <x:v>743514.1887503432</x:v>
      </x:c>
      <x:c r="K733" s="50" t="n">
        <x:f>(K732*(1+Inputs!$B$12))*(1-H733)</x:f>
        <x:v>0</x:v>
      </x:c>
      <x:c r="L733" s="50" t="n">
        <x:f>L732*(1+Inputs!$B$13)+Q733</x:f>
        <x:v>49085.140985576596</x:v>
      </x:c>
      <x:c r="M733" s="50" t="n">
        <x:f>I733+J733+L733</x:f>
        <x:v>1421204.2075492942</x:v>
      </x:c>
      <x:c r="N733" s="50" t="n">
        <x:f>F733+P733</x:f>
        <x:v>0</x:v>
      </x:c>
      <x:c r="O733" s="50" t="n">
        <x:f>IF(B733=1,0,O732+F732+P732)</x:f>
        <x:v>0</x:v>
      </x:c>
      <x:c r="P733" s="50" t="n">
        <x:f>MIN(G733,MAX(0,Inputs!$B$20-O733-F733))</x:f>
        <x:v>0</x:v>
      </x:c>
      <x:c r="Q733" s="50" t="n">
        <x:f>(C733-E733-F733)+(G733-P733)</x:f>
        <x:v>0</x:v>
      </x:c>
    </x:row>
    <x:row r="734">
      <x:c r="A734" s="41" t="n">
        <x:f>IF(B734=1,A733+1,A733)</x:f>
        <x:v>2055</x:v>
      </x:c>
      <x:c r="B734" s="41" t="n">
        <x:f>IF(B733=26,1,B733+1)</x:f>
        <x:v>5</x:v>
      </x:c>
      <x:c r="C734" s="48" t="n">
        <x:f>Inputs!$F$31</x:f>
        <x:v>600</x:v>
      </x:c>
      <x:c r="D734" s="50" t="n">
        <x:f>IF(B734=1,0,D733+E733)</x:f>
        <x:v>2400</x:v>
      </x:c>
      <x:c r="E734" s="50" t="n">
        <x:f>MIN(C734,MAX(0,Inputs!$B$7-D734))</x:f>
        <x:v>600</x:v>
      </x:c>
      <x:c r="F734" s="50" t="n">
        <x:f>MIN(C734-E734,MAX(0,Inputs!$B$20-O734))</x:f>
        <x:v>0</x:v>
      </x:c>
      <x:c r="G734" s="50" t="n">
        <x:f>0</x:f>
        <x:v>0</x:v>
      </x:c>
      <x:c r="H734" s="41" t="n">
        <x:f>0</x:f>
        <x:v>0</x:v>
      </x:c>
      <x:c r="I734" s="50" t="n">
        <x:f>(I733*(1+Inputs!$B$12))+E734</x:f>
        <x:v>630385.5904964709</x:v>
      </x:c>
      <x:c r="J734" s="50" t="n">
        <x:f>(J733*(1+Inputs!$B$12))+F734+P734</x:f>
        <x:v>744910.7363491677</x:v>
      </x:c>
      <x:c r="K734" s="50" t="n">
        <x:f>(K733*(1+Inputs!$B$12))*(1-H734)</x:f>
        <x:v>0</x:v>
      </x:c>
      <x:c r="L734" s="50" t="n">
        <x:f>L733*(1+Inputs!$B$13)+Q734</x:f>
        <x:v>49171.02301643621</x:v>
      </x:c>
      <x:c r="M734" s="50" t="n">
        <x:f>I734+J734+L734</x:f>
        <x:v>1424467.3498620747</x:v>
      </x:c>
      <x:c r="N734" s="50" t="n">
        <x:f>F734+P734</x:f>
        <x:v>0</x:v>
      </x:c>
      <x:c r="O734" s="50" t="n">
        <x:f>IF(B734=1,0,O733+F733+P733)</x:f>
        <x:v>0</x:v>
      </x:c>
      <x:c r="P734" s="50" t="n">
        <x:f>MIN(G734,MAX(0,Inputs!$B$20-O734-F734))</x:f>
        <x:v>0</x:v>
      </x:c>
      <x:c r="Q734" s="50" t="n">
        <x:f>(C734-E734-F734)+(G734-P734)</x:f>
        <x:v>0</x:v>
      </x:c>
    </x:row>
    <x:row r="735">
      <x:c r="A735" s="41" t="n">
        <x:f>IF(B735=1,A734+1,A734)</x:f>
        <x:v>2055</x:v>
      </x:c>
      <x:c r="B735" s="41" t="n">
        <x:f>IF(B734=26,1,B734+1)</x:f>
        <x:v>6</x:v>
      </x:c>
      <x:c r="C735" s="48" t="n">
        <x:f>Inputs!$F$31</x:f>
        <x:v>600</x:v>
      </x:c>
      <x:c r="D735" s="50" t="n">
        <x:f>IF(B735=1,0,D734+E734)</x:f>
        <x:v>3000</x:v>
      </x:c>
      <x:c r="E735" s="50" t="n">
        <x:f>MIN(C735,MAX(0,Inputs!$B$7-D735))</x:f>
        <x:v>600</x:v>
      </x:c>
      <x:c r="F735" s="50" t="n">
        <x:f>MIN(C735-E735,MAX(0,Inputs!$B$20-O735))</x:f>
        <x:v>0</x:v>
      </x:c>
      <x:c r="G735" s="50" t="n">
        <x:f>0</x:f>
        <x:v>0</x:v>
      </x:c>
      <x:c r="H735" s="41" t="n">
        <x:f>0</x:f>
        <x:v>0</x:v>
      </x:c>
      <x:c r="I735" s="50" t="n">
        <x:f>(I734*(1+Inputs!$B$12))+E735</x:f>
        <x:v>632169.6479039309</x:v>
      </x:c>
      <x:c r="J735" s="50" t="n">
        <x:f>(J734*(1+Inputs!$B$12))+F735+P735</x:f>
        <x:v>746309.9070925472</x:v>
      </x:c>
      <x:c r="K735" s="50" t="n">
        <x:f>(K734*(1+Inputs!$B$12))*(1-H735)</x:f>
        <x:v>0</x:v>
      </x:c>
      <x:c r="L735" s="50" t="n">
        <x:f>L734*(1+Inputs!$B$13)+Q735</x:f>
        <x:v>49257.05531116542</x:v>
      </x:c>
      <x:c r="M735" s="50" t="n">
        <x:f>I735+J735+L735</x:f>
        <x:v>1427736.6103076434</x:v>
      </x:c>
      <x:c r="N735" s="50" t="n">
        <x:f>F735+P735</x:f>
        <x:v>0</x:v>
      </x:c>
      <x:c r="O735" s="50" t="n">
        <x:f>IF(B735=1,0,O734+F734+P734)</x:f>
        <x:v>0</x:v>
      </x:c>
      <x:c r="P735" s="50" t="n">
        <x:f>MIN(G735,MAX(0,Inputs!$B$20-O735-F735))</x:f>
        <x:v>0</x:v>
      </x:c>
      <x:c r="Q735" s="50" t="n">
        <x:f>(C735-E735-F735)+(G735-P735)</x:f>
        <x:v>0</x:v>
      </x:c>
    </x:row>
    <x:row r="736">
      <x:c r="A736" s="41" t="n">
        <x:f>IF(B736=1,A735+1,A735)</x:f>
        <x:v>2055</x:v>
      </x:c>
      <x:c r="B736" s="41" t="n">
        <x:f>IF(B735=26,1,B735+1)</x:f>
        <x:v>7</x:v>
      </x:c>
      <x:c r="C736" s="48" t="n">
        <x:f>Inputs!$F$31</x:f>
        <x:v>600</x:v>
      </x:c>
      <x:c r="D736" s="50" t="n">
        <x:f>IF(B736=1,0,D735+E735)</x:f>
        <x:v>3600</x:v>
      </x:c>
      <x:c r="E736" s="50" t="n">
        <x:f>MIN(C736,MAX(0,Inputs!$B$7-D736))</x:f>
        <x:v>600</x:v>
      </x:c>
      <x:c r="F736" s="50" t="n">
        <x:f>MIN(C736-E736,MAX(0,Inputs!$B$20-O736))</x:f>
        <x:v>0</x:v>
      </x:c>
      <x:c r="G736" s="50" t="n">
        <x:f>0</x:f>
        <x:v>0</x:v>
      </x:c>
      <x:c r="H736" s="41" t="n">
        <x:f>0</x:f>
        <x:v>0</x:v>
      </x:c>
      <x:c r="I736" s="50" t="n">
        <x:f>(I735*(1+Inputs!$B$12))+E736</x:f>
        <x:v>633957.0563181723</x:v>
      </x:c>
      <x:c r="J736" s="50" t="n">
        <x:f>(J735*(1+Inputs!$B$12))+F736+P736</x:f>
        <x:v>747711.7059075513</x:v>
      </x:c>
      <x:c r="K736" s="50" t="n">
        <x:f>(K735*(1+Inputs!$B$12))*(1-H736)</x:f>
        <x:v>0</x:v>
      </x:c>
      <x:c r="L736" s="50" t="n">
        <x:f>L735*(1+Inputs!$B$13)+Q736</x:f>
        <x:v>49343.23813267408</x:v>
      </x:c>
      <x:c r="M736" s="50" t="n">
        <x:f>I736+J736+L736</x:f>
        <x:v>1431012.0003583976</x:v>
      </x:c>
      <x:c r="N736" s="50" t="n">
        <x:f>F736+P736</x:f>
        <x:v>0</x:v>
      </x:c>
      <x:c r="O736" s="50" t="n">
        <x:f>IF(B736=1,0,O735+F735+P735)</x:f>
        <x:v>0</x:v>
      </x:c>
      <x:c r="P736" s="50" t="n">
        <x:f>MIN(G736,MAX(0,Inputs!$B$20-O736-F736))</x:f>
        <x:v>0</x:v>
      </x:c>
      <x:c r="Q736" s="50" t="n">
        <x:f>(C736-E736-F736)+(G736-P736)</x:f>
        <x:v>0</x:v>
      </x:c>
    </x:row>
    <x:row r="737">
      <x:c r="A737" s="41" t="n">
        <x:f>IF(B737=1,A736+1,A736)</x:f>
        <x:v>2055</x:v>
      </x:c>
      <x:c r="B737" s="41" t="n">
        <x:f>IF(B736=26,1,B736+1)</x:f>
        <x:v>8</x:v>
      </x:c>
      <x:c r="C737" s="48" t="n">
        <x:f>Inputs!$F$31</x:f>
        <x:v>600</x:v>
      </x:c>
      <x:c r="D737" s="50" t="n">
        <x:f>IF(B737=1,0,D736+E736)</x:f>
        <x:v>4200</x:v>
      </x:c>
      <x:c r="E737" s="50" t="n">
        <x:f>MIN(C737,MAX(0,Inputs!$B$7-D737))</x:f>
        <x:v>600</x:v>
      </x:c>
      <x:c r="F737" s="50" t="n">
        <x:f>MIN(C737-E737,MAX(0,Inputs!$B$20-O737))</x:f>
        <x:v>0</x:v>
      </x:c>
      <x:c r="G737" s="50" t="n">
        <x:f>0</x:f>
        <x:v>0</x:v>
      </x:c>
      <x:c r="H737" s="41" t="n">
        <x:f>0</x:f>
        <x:v>0</x:v>
      </x:c>
      <x:c r="I737" s="50" t="n">
        <x:f>(I736*(1+Inputs!$B$12))+E737</x:f>
        <x:v>635747.8220334131</x:v>
      </x:c>
      <x:c r="J737" s="50" t="n">
        <x:f>(J736*(1+Inputs!$B$12))+F737+P737</x:f>
        <x:v>749116.1377305045</x:v>
      </x:c>
      <x:c r="K737" s="50" t="n">
        <x:f>(K736*(1+Inputs!$B$12))*(1-H737)</x:f>
        <x:v>0</x:v>
      </x:c>
      <x:c r="L737" s="50" t="n">
        <x:f>L736*(1+Inputs!$B$13)+Q737</x:f>
        <x:v>49429.57174433201</x:v>
      </x:c>
      <x:c r="M737" s="50" t="n">
        <x:f>I737+J737+L737</x:f>
        <x:v>1434293.5315082497</x:v>
      </x:c>
      <x:c r="N737" s="50" t="n">
        <x:f>F737+P737</x:f>
        <x:v>0</x:v>
      </x:c>
      <x:c r="O737" s="50" t="n">
        <x:f>IF(B737=1,0,O736+F736+P736)</x:f>
        <x:v>0</x:v>
      </x:c>
      <x:c r="P737" s="50" t="n">
        <x:f>MIN(G737,MAX(0,Inputs!$B$20-O737-F737))</x:f>
        <x:v>0</x:v>
      </x:c>
      <x:c r="Q737" s="50" t="n">
        <x:f>(C737-E737-F737)+(G737-P737)</x:f>
        <x:v>0</x:v>
      </x:c>
    </x:row>
    <x:row r="738">
      <x:c r="A738" s="41" t="n">
        <x:f>IF(B738=1,A737+1,A737)</x:f>
        <x:v>2055</x:v>
      </x:c>
      <x:c r="B738" s="41" t="n">
        <x:f>IF(B737=26,1,B737+1)</x:f>
        <x:v>9</x:v>
      </x:c>
      <x:c r="C738" s="48" t="n">
        <x:f>Inputs!$F$31</x:f>
        <x:v>600</x:v>
      </x:c>
      <x:c r="D738" s="50" t="n">
        <x:f>IF(B738=1,0,D737+E737)</x:f>
        <x:v>4800</x:v>
      </x:c>
      <x:c r="E738" s="50" t="n">
        <x:f>MIN(C738,MAX(0,Inputs!$B$7-D738))</x:f>
        <x:v>600</x:v>
      </x:c>
      <x:c r="F738" s="50" t="n">
        <x:f>MIN(C738-E738,MAX(0,Inputs!$B$20-O738))</x:f>
        <x:v>0</x:v>
      </x:c>
      <x:c r="G738" s="50" t="n">
        <x:f>SUM(N704:N729)*Inputs!$B$6</x:f>
        <x:v>3257.142857142886</x:v>
      </x:c>
      <x:c r="H738" s="41" t="n">
        <x:f>0</x:f>
        <x:v>0</x:v>
      </x:c>
      <x:c r="I738" s="50" t="n">
        <x:f>(I737*(1+Inputs!$B$12))+E738</x:f>
        <x:v>637541.951355694</x:v>
      </x:c>
      <x:c r="J738" s="50" t="n">
        <x:f>(J737*(1+Inputs!$B$12))+F738+P738</x:f>
        <x:v>753780.3503641456</x:v>
      </x:c>
      <x:c r="K738" s="50" t="n">
        <x:f>(K737*(1+Inputs!$B$12))*(1-H738)</x:f>
        <x:v>0</x:v>
      </x:c>
      <x:c r="L738" s="50" t="n">
        <x:f>L737*(1+Inputs!$B$13)+Q738</x:f>
        <x:v>49516.05640996986</x:v>
      </x:c>
      <x:c r="M738" s="50" t="n">
        <x:f>I738+J738+L738</x:f>
        <x:v>1440838.3581298096</x:v>
      </x:c>
      <x:c r="N738" s="50" t="n">
        <x:f>F738+P738</x:f>
        <x:v>3257.142857142886</x:v>
      </x:c>
      <x:c r="O738" s="50" t="n">
        <x:f>IF(B738=1,0,O737+F737+P737)</x:f>
        <x:v>0</x:v>
      </x:c>
      <x:c r="P738" s="50" t="n">
        <x:f>MIN(G738,MAX(0,Inputs!$B$20-O738-F738))</x:f>
        <x:v>3257.142857142886</x:v>
      </x:c>
      <x:c r="Q738" s="50" t="n">
        <x:f>(C738-E738-F738)+(G738-P738)</x:f>
        <x:v>0</x:v>
      </x:c>
    </x:row>
    <x:row r="739">
      <x:c r="A739" s="41" t="n">
        <x:f>IF(B739=1,A738+1,A738)</x:f>
        <x:v>2055</x:v>
      </x:c>
      <x:c r="B739" s="41" t="n">
        <x:f>IF(B738=26,1,B738+1)</x:f>
        <x:v>10</x:v>
      </x:c>
      <x:c r="C739" s="48" t="n">
        <x:f>Inputs!$F$31</x:f>
        <x:v>600</x:v>
      </x:c>
      <x:c r="D739" s="50" t="n">
        <x:f>IF(B739=1,0,D738+E738)</x:f>
        <x:v>5400</x:v>
      </x:c>
      <x:c r="E739" s="50" t="n">
        <x:f>MIN(C739,MAX(0,Inputs!$B$7-D739))</x:f>
        <x:v>600</x:v>
      </x:c>
      <x:c r="F739" s="50" t="n">
        <x:f>MIN(C739-E739,MAX(0,Inputs!$B$20-O739))</x:f>
        <x:v>0</x:v>
      </x:c>
      <x:c r="G739" s="50" t="n">
        <x:f>0</x:f>
        <x:v>0</x:v>
      </x:c>
      <x:c r="H739" s="41" t="n">
        <x:f>0</x:f>
        <x:v>0</x:v>
      </x:c>
      <x:c r="I739" s="50" t="n">
        <x:f>(I738*(1+Inputs!$B$12))+E739</x:f>
        <x:v>639339.4506029002</x:v>
      </x:c>
      <x:c r="J739" s="50" t="n">
        <x:f>(J738*(1+Inputs!$B$12))+F739+P739</x:f>
        <x:v>755196.1809619603</x:v>
      </x:c>
      <x:c r="K739" s="50" t="n">
        <x:f>(K738*(1+Inputs!$B$12))*(1-H739)</x:f>
        <x:v>0</x:v>
      </x:c>
      <x:c r="L739" s="50" t="n">
        <x:f>L738*(1+Inputs!$B$13)+Q739</x:f>
        <x:v>49602.69239387988</x:v>
      </x:c>
      <x:c r="M739" s="50" t="n">
        <x:f>I739+J739+L739</x:f>
        <x:v>1444138.3239587406</x:v>
      </x:c>
      <x:c r="N739" s="50" t="n">
        <x:f>F739+P739</x:f>
        <x:v>0</x:v>
      </x:c>
      <x:c r="O739" s="50" t="n">
        <x:f>IF(B739=1,0,O738+F738+P738)</x:f>
        <x:v>3257.142857142886</x:v>
      </x:c>
      <x:c r="P739" s="50" t="n">
        <x:f>MIN(G739,MAX(0,Inputs!$B$20-O739-F739))</x:f>
        <x:v>0</x:v>
      </x:c>
      <x:c r="Q739" s="50" t="n">
        <x:f>(C739-E739-F739)+(G739-P739)</x:f>
        <x:v>0</x:v>
      </x:c>
    </x:row>
    <x:row r="740">
      <x:c r="A740" s="41" t="n">
        <x:f>IF(B740=1,A739+1,A739)</x:f>
        <x:v>2055</x:v>
      </x:c>
      <x:c r="B740" s="41" t="n">
        <x:f>IF(B739=26,1,B739+1)</x:f>
        <x:v>11</x:v>
      </x:c>
      <x:c r="C740" s="48" t="n">
        <x:f>Inputs!$F$31</x:f>
        <x:v>600</x:v>
      </x:c>
      <x:c r="D740" s="50" t="n">
        <x:f>IF(B740=1,0,D739+E739)</x:f>
        <x:v>6000</x:v>
      </x:c>
      <x:c r="E740" s="50" t="n">
        <x:f>MIN(C740,MAX(0,Inputs!$B$7-D740))</x:f>
        <x:v>600</x:v>
      </x:c>
      <x:c r="F740" s="50" t="n">
        <x:f>MIN(C740-E740,MAX(0,Inputs!$B$20-O740))</x:f>
        <x:v>0</x:v>
      </x:c>
      <x:c r="G740" s="50" t="n">
        <x:f>0</x:f>
        <x:v>0</x:v>
      </x:c>
      <x:c r="H740" s="41" t="n">
        <x:f>0</x:f>
        <x:v>0</x:v>
      </x:c>
      <x:c r="I740" s="50" t="n">
        <x:f>(I739*(1+Inputs!$B$12))+E740</x:f>
        <x:v>641140.326104784</x:v>
      </x:c>
      <x:c r="J740" s="50" t="n">
        <x:f>(J739*(1+Inputs!$B$12))+F740+P740</x:f>
        <x:v>756614.6709237142</x:v>
      </x:c>
      <x:c r="K740" s="50" t="n">
        <x:f>(K739*(1+Inputs!$B$12))*(1-H740)</x:f>
        <x:v>0</x:v>
      </x:c>
      <x:c r="L740" s="50" t="n">
        <x:f>L739*(1+Inputs!$B$13)+Q740</x:f>
        <x:v>49689.479960816745</x:v>
      </x:c>
      <x:c r="M740" s="50" t="n">
        <x:f>I740+J740+L740</x:f>
        <x:v>1447444.476989315</x:v>
      </x:c>
      <x:c r="N740" s="50" t="n">
        <x:f>F740+P740</x:f>
        <x:v>0</x:v>
      </x:c>
      <x:c r="O740" s="50" t="n">
        <x:f>IF(B740=1,0,O739+F739+P739)</x:f>
        <x:v>3257.142857142886</x:v>
      </x:c>
      <x:c r="P740" s="50" t="n">
        <x:f>MIN(G740,MAX(0,Inputs!$B$20-O740-F740))</x:f>
        <x:v>0</x:v>
      </x:c>
      <x:c r="Q740" s="50" t="n">
        <x:f>(C740-E740-F740)+(G740-P740)</x:f>
        <x:v>0</x:v>
      </x:c>
    </x:row>
    <x:row r="741">
      <x:c r="A741" s="41" t="n">
        <x:f>IF(B741=1,A740+1,A740)</x:f>
        <x:v>2055</x:v>
      </x:c>
      <x:c r="B741" s="41" t="n">
        <x:f>IF(B740=26,1,B740+1)</x:f>
        <x:v>12</x:v>
      </x:c>
      <x:c r="C741" s="48" t="n">
        <x:f>Inputs!$F$31</x:f>
        <x:v>600</x:v>
      </x:c>
      <x:c r="D741" s="50" t="n">
        <x:f>IF(B741=1,0,D740+E740)</x:f>
        <x:v>6600</x:v>
      </x:c>
      <x:c r="E741" s="50" t="n">
        <x:f>MIN(C741,MAX(0,Inputs!$B$7-D741))</x:f>
        <x:v>600</x:v>
      </x:c>
      <x:c r="F741" s="50" t="n">
        <x:f>MIN(C741-E741,MAX(0,Inputs!$B$20-O741))</x:f>
        <x:v>0</x:v>
      </x:c>
      <x:c r="G741" s="50" t="n">
        <x:f>0</x:f>
        <x:v>0</x:v>
      </x:c>
      <x:c r="H741" s="41" t="n">
        <x:f>0</x:f>
        <x:v>0</x:v>
      </x:c>
      <x:c r="I741" s="50" t="n">
        <x:f>(I740*(1+Inputs!$B$12))+E741</x:f>
        <x:v>642944.5842029868</x:v>
      </x:c>
      <x:c r="J741" s="50" t="n">
        <x:f>(J740*(1+Inputs!$B$12))+F741+P741</x:f>
        <x:v>758035.8252445079</x:v>
      </x:c>
      <x:c r="K741" s="50" t="n">
        <x:f>(K740*(1+Inputs!$B$12))*(1-H741)</x:f>
        <x:v>0</x:v>
      </x:c>
      <x:c r="L741" s="50" t="n">
        <x:f>L740*(1+Inputs!$B$13)+Q741</x:f>
        <x:v>49776.41937599836</x:v>
      </x:c>
      <x:c r="M741" s="50" t="n">
        <x:f>I741+J741+L741</x:f>
        <x:v>1450756.828823493</x:v>
      </x:c>
      <x:c r="N741" s="50" t="n">
        <x:f>F741+P741</x:f>
        <x:v>0</x:v>
      </x:c>
      <x:c r="O741" s="50" t="n">
        <x:f>IF(B741=1,0,O740+F740+P740)</x:f>
        <x:v>3257.142857142886</x:v>
      </x:c>
      <x:c r="P741" s="50" t="n">
        <x:f>MIN(G741,MAX(0,Inputs!$B$20-O741-F741))</x:f>
        <x:v>0</x:v>
      </x:c>
      <x:c r="Q741" s="50" t="n">
        <x:f>(C741-E741-F741)+(G741-P741)</x:f>
        <x:v>0</x:v>
      </x:c>
    </x:row>
    <x:row r="742">
      <x:c r="A742" s="41" t="n">
        <x:f>IF(B742=1,A741+1,A741)</x:f>
        <x:v>2055</x:v>
      </x:c>
      <x:c r="B742" s="41" t="n">
        <x:f>IF(B741=26,1,B741+1)</x:f>
        <x:v>13</x:v>
      </x:c>
      <x:c r="C742" s="48" t="n">
        <x:f>Inputs!$F$31</x:f>
        <x:v>600</x:v>
      </x:c>
      <x:c r="D742" s="50" t="n">
        <x:f>IF(B742=1,0,D741+E741)</x:f>
        <x:v>7200</x:v>
      </x:c>
      <x:c r="E742" s="50" t="n">
        <x:f>MIN(C742,MAX(0,Inputs!$B$7-D742))</x:f>
        <x:v>600</x:v>
      </x:c>
      <x:c r="F742" s="50" t="n">
        <x:f>MIN(C742-E742,MAX(0,Inputs!$B$20-O742))</x:f>
        <x:v>0</x:v>
      </x:c>
      <x:c r="G742" s="50" t="n">
        <x:f>0</x:f>
        <x:v>0</x:v>
      </x:c>
      <x:c r="H742" s="41" t="n">
        <x:f>0</x:f>
        <x:v>0</x:v>
      </x:c>
      <x:c r="I742" s="50" t="n">
        <x:f>(I741*(1+Inputs!$B$12))+E742</x:f>
        <x:v>644752.2312510614</x:v>
      </x:c>
      <x:c r="J742" s="50" t="n">
        <x:f>(J741*(1+Inputs!$B$12))+F742+P742</x:f>
        <x:v>759459.6489288245</x:v>
      </x:c>
      <x:c r="K742" s="50" t="n">
        <x:f>(K741*(1+Inputs!$B$12))*(1-H742)</x:f>
        <x:v>0</x:v>
      </x:c>
      <x:c r="L742" s="50" t="n">
        <x:f>L741*(1+Inputs!$B$13)+Q742</x:f>
        <x:v>49863.51090510667</x:v>
      </x:c>
      <x:c r="M742" s="50" t="n">
        <x:f>I742+J742+L742</x:f>
        <x:v>1454075.3910849923</x:v>
      </x:c>
      <x:c r="N742" s="50" t="n">
        <x:f>F742+P742</x:f>
        <x:v>0</x:v>
      </x:c>
      <x:c r="O742" s="50" t="n">
        <x:f>IF(B742=1,0,O741+F741+P741)</x:f>
        <x:v>3257.142857142886</x:v>
      </x:c>
      <x:c r="P742" s="50" t="n">
        <x:f>MIN(G742,MAX(0,Inputs!$B$20-O742-F742))</x:f>
        <x:v>0</x:v>
      </x:c>
      <x:c r="Q742" s="50" t="n">
        <x:f>(C742-E742-F742)+(G742-P742)</x:f>
        <x:v>0</x:v>
      </x:c>
    </x:row>
    <x:row r="743">
      <x:c r="A743" s="41" t="n">
        <x:f>IF(B743=1,A742+1,A742)</x:f>
        <x:v>2055</x:v>
      </x:c>
      <x:c r="B743" s="41" t="n">
        <x:f>IF(B742=26,1,B742+1)</x:f>
        <x:v>14</x:v>
      </x:c>
      <x:c r="C743" s="48" t="n">
        <x:f>Inputs!$F$31</x:f>
        <x:v>600</x:v>
      </x:c>
      <x:c r="D743" s="50" t="n">
        <x:f>IF(B743=1,0,D742+E742)</x:f>
        <x:v>7800</x:v>
      </x:c>
      <x:c r="E743" s="50" t="n">
        <x:f>MIN(C743,MAX(0,Inputs!$B$7-D743))</x:f>
        <x:v>200</x:v>
      </x:c>
      <x:c r="F743" s="50" t="n">
        <x:f>MIN(C743-E743,MAX(0,Inputs!$B$20-O743))</x:f>
        <x:v>400</x:v>
      </x:c>
      <x:c r="G743" s="50" t="n">
        <x:f>0</x:f>
        <x:v>0</x:v>
      </x:c>
      <x:c r="H743" s="41" t="n">
        <x:f>0</x:f>
        <x:v>0</x:v>
      </x:c>
      <x:c r="I743" s="50" t="n">
        <x:f>(I742*(1+Inputs!$B$12))+E743</x:f>
        <x:v>646163.2736144947</x:v>
      </x:c>
      <x:c r="J743" s="50" t="n">
        <x:f>(J742*(1+Inputs!$B$12))+F743+P743</x:f>
        <x:v>761286.1469905472</x:v>
      </x:c>
      <x:c r="K743" s="50" t="n">
        <x:f>(K742*(1+Inputs!$B$12))*(1-H743)</x:f>
        <x:v>0</x:v>
      </x:c>
      <x:c r="L743" s="50" t="n">
        <x:f>L742*(1+Inputs!$B$13)+Q743</x:f>
        <x:v>49950.75481428846</x:v>
      </x:c>
      <x:c r="M743" s="50" t="n">
        <x:f>I743+J743+L743</x:f>
        <x:v>1457400.1754193306</x:v>
      </x:c>
      <x:c r="N743" s="50" t="n">
        <x:f>F743+P743</x:f>
        <x:v>400</x:v>
      </x:c>
      <x:c r="O743" s="50" t="n">
        <x:f>IF(B743=1,0,O742+F742+P742)</x:f>
        <x:v>3257.142857142886</x:v>
      </x:c>
      <x:c r="P743" s="50" t="n">
        <x:f>MIN(G743,MAX(0,Inputs!$B$20-O743-F743))</x:f>
        <x:v>0</x:v>
      </x:c>
      <x:c r="Q743" s="50" t="n">
        <x:f>(C743-E743-F743)+(G743-P743)</x:f>
        <x:v>0</x:v>
      </x:c>
    </x:row>
    <x:row r="744">
      <x:c r="A744" s="41" t="n">
        <x:f>IF(B744=1,A743+1,A743)</x:f>
        <x:v>2055</x:v>
      </x:c>
      <x:c r="B744" s="41" t="n">
        <x:f>IF(B743=26,1,B743+1)</x:f>
        <x:v>15</x:v>
      </x:c>
      <x:c r="C744" s="48" t="n">
        <x:f>Inputs!$F$31</x:f>
        <x:v>600</x:v>
      </x:c>
      <x:c r="D744" s="50" t="n">
        <x:f>IF(B744=1,0,D743+E743)</x:f>
        <x:v>8000</x:v>
      </x:c>
      <x:c r="E744" s="50" t="n">
        <x:f>MIN(C744,MAX(0,Inputs!$B$7-D744))</x:f>
        <x:v>0</x:v>
      </x:c>
      <x:c r="F744" s="50" t="n">
        <x:f>MIN(C744-E744,MAX(0,Inputs!$B$20-O744))</x:f>
        <x:v>600</x:v>
      </x:c>
      <x:c r="G744" s="50" t="n">
        <x:f>0</x:f>
        <x:v>0</x:v>
      </x:c>
      <x:c r="H744" s="41" t="n">
        <x:f>0</x:f>
        <x:v>0</x:v>
      </x:c>
      <x:c r="I744" s="50" t="n">
        <x:f>(I743*(1+Inputs!$B$12))+E744</x:f>
        <x:v>647376.9663480949</x:v>
      </x:c>
      <x:c r="J744" s="50" t="n">
        <x:f>(J743*(1+Inputs!$B$12))+F744+P744</x:f>
        <x:v>763316.0757756118</x:v>
      </x:c>
      <x:c r="K744" s="50" t="n">
        <x:f>(K743*(1+Inputs!$B$12))*(1-H744)</x:f>
        <x:v>0</x:v>
      </x:c>
      <x:c r="L744" s="50" t="n">
        <x:f>L743*(1+Inputs!$B$13)+Q744</x:f>
        <x:v>50038.1513701562</x:v>
      </x:c>
      <x:c r="M744" s="50" t="n">
        <x:f>I744+J744+L744</x:f>
        <x:v>1460731.1934938626</x:v>
      </x:c>
      <x:c r="N744" s="50" t="n">
        <x:f>F744+P744</x:f>
        <x:v>600</x:v>
      </x:c>
      <x:c r="O744" s="50" t="n">
        <x:f>IF(B744=1,0,O743+F743+P743)</x:f>
        <x:v>3657.142857142886</x:v>
      </x:c>
      <x:c r="P744" s="50" t="n">
        <x:f>MIN(G744,MAX(0,Inputs!$B$20-O744-F744))</x:f>
        <x:v>0</x:v>
      </x:c>
      <x:c r="Q744" s="50" t="n">
        <x:f>(C744-E744-F744)+(G744-P744)</x:f>
        <x:v>0</x:v>
      </x:c>
    </x:row>
    <x:row r="745">
      <x:c r="A745" s="41" t="n">
        <x:f>IF(B745=1,A744+1,A744)</x:f>
        <x:v>2055</x:v>
      </x:c>
      <x:c r="B745" s="41" t="n">
        <x:f>IF(B744=26,1,B744+1)</x:f>
        <x:v>16</x:v>
      </x:c>
      <x:c r="C745" s="48" t="n">
        <x:f>Inputs!$F$31</x:f>
        <x:v>600</x:v>
      </x:c>
      <x:c r="D745" s="50" t="n">
        <x:f>IF(B745=1,0,D744+E744)</x:f>
        <x:v>8000</x:v>
      </x:c>
      <x:c r="E745" s="50" t="n">
        <x:f>MIN(C745,MAX(0,Inputs!$B$7-D745))</x:f>
        <x:v>0</x:v>
      </x:c>
      <x:c r="F745" s="50" t="n">
        <x:f>MIN(C745-E745,MAX(0,Inputs!$B$20-O745))</x:f>
        <x:v>600</x:v>
      </x:c>
      <x:c r="G745" s="50" t="n">
        <x:f>0</x:f>
        <x:v>0</x:v>
      </x:c>
      <x:c r="H745" s="41" t="n">
        <x:f>0</x:f>
        <x:v>0</x:v>
      </x:c>
      <x:c r="I745" s="50" t="n">
        <x:f>(I744*(1+Inputs!$B$12))+E745</x:f>
        <x:v>648592.938768752</x:v>
      </x:c>
      <x:c r="J745" s="50" t="n">
        <x:f>(J744*(1+Inputs!$B$12))+F745+P745</x:f>
        <x:v>765349.817389286</x:v>
      </x:c>
      <x:c r="K745" s="50" t="n">
        <x:f>(K744*(1+Inputs!$B$12))*(1-H745)</x:f>
        <x:v>0</x:v>
      </x:c>
      <x:c r="L745" s="50" t="n">
        <x:f>L744*(1+Inputs!$B$13)+Q745</x:f>
        <x:v>50125.70083978882</x:v>
      </x:c>
      <x:c r="M745" s="50" t="n">
        <x:f>I745+J745+L745</x:f>
        <x:v>1464068.456997827</x:v>
      </x:c>
      <x:c r="N745" s="50" t="n">
        <x:f>F745+P745</x:f>
        <x:v>600</x:v>
      </x:c>
      <x:c r="O745" s="50" t="n">
        <x:f>IF(B745=1,0,O744+F744+P744)</x:f>
        <x:v>4257.142857142886</x:v>
      </x:c>
      <x:c r="P745" s="50" t="n">
        <x:f>MIN(G745,MAX(0,Inputs!$B$20-O745-F745))</x:f>
        <x:v>0</x:v>
      </x:c>
      <x:c r="Q745" s="50" t="n">
        <x:f>(C745-E745-F745)+(G745-P745)</x:f>
        <x:v>0</x:v>
      </x:c>
    </x:row>
    <x:row r="746">
      <x:c r="A746" s="41" t="n">
        <x:f>IF(B746=1,A745+1,A745)</x:f>
        <x:v>2055</x:v>
      </x:c>
      <x:c r="B746" s="41" t="n">
        <x:f>IF(B745=26,1,B745+1)</x:f>
        <x:v>17</x:v>
      </x:c>
      <x:c r="C746" s="48" t="n">
        <x:f>Inputs!$F$31</x:f>
        <x:v>600</x:v>
      </x:c>
      <x:c r="D746" s="50" t="n">
        <x:f>IF(B746=1,0,D745+E745)</x:f>
        <x:v>8000</x:v>
      </x:c>
      <x:c r="E746" s="50" t="n">
        <x:f>MIN(C746,MAX(0,Inputs!$B$7-D746))</x:f>
        <x:v>0</x:v>
      </x:c>
      <x:c r="F746" s="50" t="n">
        <x:f>MIN(C746-E746,MAX(0,Inputs!$B$20-O746))</x:f>
        <x:v>600</x:v>
      </x:c>
      <x:c r="G746" s="50" t="n">
        <x:f>0</x:f>
        <x:v>0</x:v>
      </x:c>
      <x:c r="H746" s="41" t="n">
        <x:f>0</x:f>
        <x:v>0</x:v>
      </x:c>
      <x:c r="I746" s="50" t="n">
        <x:f>(I745*(1+Inputs!$B$12))+E746</x:f>
        <x:v>649811.1951584176</x:v>
      </x:c>
      <x:c r="J746" s="50" t="n">
        <x:f>(J745*(1+Inputs!$B$12))+F746+P746</x:f>
        <x:v>767387.378993231</x:v>
      </x:c>
      <x:c r="K746" s="50" t="n">
        <x:f>(K745*(1+Inputs!$B$12))*(1-H746)</x:f>
        <x:v>0</x:v>
      </x:c>
      <x:c r="L746" s="50" t="n">
        <x:f>L745*(1+Inputs!$B$13)+Q746</x:f>
        <x:v>50213.40349073256</x:v>
      </x:c>
      <x:c r="M746" s="50" t="n">
        <x:f>I746+J746+L746</x:f>
        <x:v>1467411.9776423813</x:v>
      </x:c>
      <x:c r="N746" s="50" t="n">
        <x:f>F746+P746</x:f>
        <x:v>600</x:v>
      </x:c>
      <x:c r="O746" s="50" t="n">
        <x:f>IF(B746=1,0,O745+F745+P745)</x:f>
        <x:v>4857.142857142886</x:v>
      </x:c>
      <x:c r="P746" s="50" t="n">
        <x:f>MIN(G746,MAX(0,Inputs!$B$20-O746-F746))</x:f>
        <x:v>0</x:v>
      </x:c>
      <x:c r="Q746" s="50" t="n">
        <x:f>(C746-E746-F746)+(G746-P746)</x:f>
        <x:v>0</x:v>
      </x:c>
    </x:row>
    <x:row r="747">
      <x:c r="A747" s="41" t="n">
        <x:f>IF(B747=1,A746+1,A746)</x:f>
        <x:v>2055</x:v>
      </x:c>
      <x:c r="B747" s="41" t="n">
        <x:f>IF(B746=26,1,B746+1)</x:f>
        <x:v>18</x:v>
      </x:c>
      <x:c r="C747" s="48" t="n">
        <x:f>Inputs!$F$31</x:f>
        <x:v>600</x:v>
      </x:c>
      <x:c r="D747" s="50" t="n">
        <x:f>IF(B747=1,0,D746+E746)</x:f>
        <x:v>8000</x:v>
      </x:c>
      <x:c r="E747" s="50" t="n">
        <x:f>MIN(C747,MAX(0,Inputs!$B$7-D747))</x:f>
        <x:v>0</x:v>
      </x:c>
      <x:c r="F747" s="50" t="n">
        <x:f>MIN(C747-E747,MAX(0,Inputs!$B$20-O747))</x:f>
        <x:v>600</x:v>
      </x:c>
      <x:c r="G747" s="50" t="n">
        <x:f>0</x:f>
        <x:v>0</x:v>
      </x:c>
      <x:c r="H747" s="41" t="n">
        <x:f>0</x:f>
        <x:v>0</x:v>
      </x:c>
      <x:c r="I747" s="50" t="n">
        <x:f>(I746*(1+Inputs!$B$12))+E747</x:f>
        <x:v>651031.7398070854</x:v>
      </x:c>
      <x:c r="J747" s="50" t="n">
        <x:f>(J746*(1+Inputs!$B$12))+F747+P747</x:f>
        <x:v>769428.7677625597</x:v>
      </x:c>
      <x:c r="K747" s="50" t="n">
        <x:f>(K746*(1+Inputs!$B$12))*(1-H747)</x:f>
        <x:v>0</x:v>
      </x:c>
      <x:c r="L747" s="50" t="n">
        <x:f>L746*(1+Inputs!$B$13)+Q747</x:f>
        <x:v>50301.25959100178</x:v>
      </x:c>
      <x:c r="M747" s="50" t="n">
        <x:f>I747+J747+L747</x:f>
        <x:v>1470761.7671606469</x:v>
      </x:c>
      <x:c r="N747" s="50" t="n">
        <x:f>F747+P747</x:f>
        <x:v>600</x:v>
      </x:c>
      <x:c r="O747" s="50" t="n">
        <x:f>IF(B747=1,0,O746+F746+P746)</x:f>
        <x:v>5457.142857142886</x:v>
      </x:c>
      <x:c r="P747" s="50" t="n">
        <x:f>MIN(G747,MAX(0,Inputs!$B$20-O747-F747))</x:f>
        <x:v>0</x:v>
      </x:c>
      <x:c r="Q747" s="50" t="n">
        <x:f>(C747-E747-F747)+(G747-P747)</x:f>
        <x:v>0</x:v>
      </x:c>
    </x:row>
    <x:row r="748">
      <x:c r="A748" s="41" t="n">
        <x:f>IF(B748=1,A747+1,A747)</x:f>
        <x:v>2055</x:v>
      </x:c>
      <x:c r="B748" s="41" t="n">
        <x:f>IF(B747=26,1,B747+1)</x:f>
        <x:v>19</x:v>
      </x:c>
      <x:c r="C748" s="48" t="n">
        <x:f>Inputs!$F$31</x:f>
        <x:v>600</x:v>
      </x:c>
      <x:c r="D748" s="50" t="n">
        <x:f>IF(B748=1,0,D747+E747)</x:f>
        <x:v>8000</x:v>
      </x:c>
      <x:c r="E748" s="50" t="n">
        <x:f>MIN(C748,MAX(0,Inputs!$B$7-D748))</x:f>
        <x:v>0</x:v>
      </x:c>
      <x:c r="F748" s="50" t="n">
        <x:f>MIN(C748-E748,MAX(0,Inputs!$B$20-O748))</x:f>
        <x:v>600</x:v>
      </x:c>
      <x:c r="G748" s="50" t="n">
        <x:f>0</x:f>
        <x:v>0</x:v>
      </x:c>
      <x:c r="H748" s="41" t="n">
        <x:f>0</x:f>
        <x:v>0</x:v>
      </x:c>
      <x:c r="I748" s="50" t="n">
        <x:f>(I747*(1+Inputs!$B$12))+E748</x:f>
        <x:v>652254.5770128074</x:v>
      </x:c>
      <x:c r="J748" s="50" t="n">
        <x:f>(J747*(1+Inputs!$B$12))+F748+P748</x:f>
        <x:v>771473.9908858619</x:v>
      </x:c>
      <x:c r="K748" s="50" t="n">
        <x:f>(K747*(1+Inputs!$B$12))*(1-H748)</x:f>
        <x:v>0</x:v>
      </x:c>
      <x:c r="L748" s="50" t="n">
        <x:f>L747*(1+Inputs!$B$13)+Q748</x:f>
        <x:v>50389.269409079745</x:v>
      </x:c>
      <x:c r="M748" s="50" t="n">
        <x:f>I748+J748+L748</x:f>
        <x:v>1474117.837307749</x:v>
      </x:c>
      <x:c r="N748" s="50" t="n">
        <x:f>F748+P748</x:f>
        <x:v>600</x:v>
      </x:c>
      <x:c r="O748" s="50" t="n">
        <x:f>IF(B748=1,0,O747+F747+P747)</x:f>
        <x:v>6057.142857142886</x:v>
      </x:c>
      <x:c r="P748" s="50" t="n">
        <x:f>MIN(G748,MAX(0,Inputs!$B$20-O748-F748))</x:f>
        <x:v>0</x:v>
      </x:c>
      <x:c r="Q748" s="50" t="n">
        <x:f>(C748-E748-F748)+(G748-P748)</x:f>
        <x:v>0</x:v>
      </x:c>
    </x:row>
    <x:row r="749">
      <x:c r="A749" s="41" t="n">
        <x:f>IF(B749=1,A748+1,A748)</x:f>
        <x:v>2055</x:v>
      </x:c>
      <x:c r="B749" s="41" t="n">
        <x:f>IF(B748=26,1,B748+1)</x:f>
        <x:v>20</x:v>
      </x:c>
      <x:c r="C749" s="48" t="n">
        <x:f>Inputs!$F$31</x:f>
        <x:v>600</x:v>
      </x:c>
      <x:c r="D749" s="50" t="n">
        <x:f>IF(B749=1,0,D748+E748)</x:f>
        <x:v>8000</x:v>
      </x:c>
      <x:c r="E749" s="50" t="n">
        <x:f>MIN(C749,MAX(0,Inputs!$B$7-D749))</x:f>
        <x:v>0</x:v>
      </x:c>
      <x:c r="F749" s="50" t="n">
        <x:f>MIN(C749-E749,MAX(0,Inputs!$B$20-O749))</x:f>
        <x:v>600</x:v>
      </x:c>
      <x:c r="G749" s="50" t="n">
        <x:f>0</x:f>
        <x:v>0</x:v>
      </x:c>
      <x:c r="H749" s="41" t="n">
        <x:f>0</x:f>
        <x:v>0</x:v>
      </x:c>
      <x:c r="I749" s="50" t="n">
        <x:f>(I748*(1+Inputs!$B$12))+E749</x:f>
        <x:v>653479.7110817087</x:v>
      </x:c>
      <x:c r="J749" s="50" t="n">
        <x:f>(J748*(1+Inputs!$B$12))+F749+P749</x:f>
        <x:v>773523.0555652301</x:v>
      </x:c>
      <x:c r="K749" s="50" t="n">
        <x:f>(K748*(1+Inputs!$B$12))*(1-H749)</x:f>
        <x:v>0</x:v>
      </x:c>
      <x:c r="L749" s="50" t="n">
        <x:f>L748*(1+Inputs!$B$13)+Q749</x:f>
        <x:v>50477.433213919496</x:v>
      </x:c>
      <x:c r="M749" s="50" t="n">
        <x:f>I749+J749+L749</x:f>
        <x:v>1477480.1998608583</x:v>
      </x:c>
      <x:c r="N749" s="50" t="n">
        <x:f>F749+P749</x:f>
        <x:v>600</x:v>
      </x:c>
      <x:c r="O749" s="50" t="n">
        <x:f>IF(B749=1,0,O748+F748+P748)</x:f>
        <x:v>6657.142857142886</x:v>
      </x:c>
      <x:c r="P749" s="50" t="n">
        <x:f>MIN(G749,MAX(0,Inputs!$B$20-O749-F749))</x:f>
        <x:v>0</x:v>
      </x:c>
      <x:c r="Q749" s="50" t="n">
        <x:f>(C749-E749-F749)+(G749-P749)</x:f>
        <x:v>0</x:v>
      </x:c>
    </x:row>
    <x:row r="750">
      <x:c r="A750" s="41" t="n">
        <x:f>IF(B750=1,A749+1,A749)</x:f>
        <x:v>2055</x:v>
      </x:c>
      <x:c r="B750" s="41" t="n">
        <x:f>IF(B749=26,1,B749+1)</x:f>
        <x:v>21</x:v>
      </x:c>
      <x:c r="C750" s="48" t="n">
        <x:f>Inputs!$F$31</x:f>
        <x:v>600</x:v>
      </x:c>
      <x:c r="D750" s="50" t="n">
        <x:f>IF(B750=1,0,D749+E749)</x:f>
        <x:v>8000</x:v>
      </x:c>
      <x:c r="E750" s="50" t="n">
        <x:f>MIN(C750,MAX(0,Inputs!$B$7-D750))</x:f>
        <x:v>0</x:v>
      </x:c>
      <x:c r="F750" s="50" t="n">
        <x:f>MIN(C750-E750,MAX(0,Inputs!$B$20-O750))</x:f>
        <x:v>600</x:v>
      </x:c>
      <x:c r="G750" s="50" t="n">
        <x:f>0</x:f>
        <x:v>0</x:v>
      </x:c>
      <x:c r="H750" s="41" t="n">
        <x:f>0</x:f>
        <x:v>0</x:v>
      </x:c>
      <x:c r="I750" s="50" t="n">
        <x:f>(I749*(1+Inputs!$B$12))+E750</x:f>
        <x:v>654707.1463280024</x:v>
      </x:c>
      <x:c r="J750" s="50" t="n">
        <x:f>(J749*(1+Inputs!$B$12))+F750+P750</x:f>
        <x:v>775575.9690162843</x:v>
      </x:c>
      <x:c r="K750" s="50" t="n">
        <x:f>(K749*(1+Inputs!$B$12))*(1-H750)</x:f>
        <x:v>0</x:v>
      </x:c>
      <x:c r="L750" s="50" t="n">
        <x:f>L749*(1+Inputs!$B$13)+Q750</x:f>
        <x:v>50565.75127494464</x:v>
      </x:c>
      <x:c r="M750" s="50" t="n">
        <x:f>I750+J750+L750</x:f>
        <x:v>1480848.8666192316</x:v>
      </x:c>
      <x:c r="N750" s="50" t="n">
        <x:f>F750+P750</x:f>
        <x:v>600</x:v>
      </x:c>
      <x:c r="O750" s="50" t="n">
        <x:f>IF(B750=1,0,O749+F749+P749)</x:f>
        <x:v>7257.142857142886</x:v>
      </x:c>
      <x:c r="P750" s="50" t="n">
        <x:f>MIN(G750,MAX(0,Inputs!$B$20-O750-F750))</x:f>
        <x:v>0</x:v>
      </x:c>
      <x:c r="Q750" s="50" t="n">
        <x:f>(C750-E750-F750)+(G750-P750)</x:f>
        <x:v>0</x:v>
      </x:c>
    </x:row>
    <x:row r="751">
      <x:c r="A751" s="41" t="n">
        <x:f>IF(B751=1,A750+1,A750)</x:f>
        <x:v>2055</x:v>
      </x:c>
      <x:c r="B751" s="41" t="n">
        <x:f>IF(B750=26,1,B750+1)</x:f>
        <x:v>22</x:v>
      </x:c>
      <x:c r="C751" s="48" t="n">
        <x:f>Inputs!$F$31</x:f>
        <x:v>600</x:v>
      </x:c>
      <x:c r="D751" s="50" t="n">
        <x:f>IF(B751=1,0,D750+E750)</x:f>
        <x:v>8000</x:v>
      </x:c>
      <x:c r="E751" s="50" t="n">
        <x:f>MIN(C751,MAX(0,Inputs!$B$7-D751))</x:f>
        <x:v>0</x:v>
      </x:c>
      <x:c r="F751" s="50" t="n">
        <x:f>MIN(C751-E751,MAX(0,Inputs!$B$20-O751))</x:f>
        <x:v>600</x:v>
      </x:c>
      <x:c r="G751" s="50" t="n">
        <x:f>0</x:f>
        <x:v>0</x:v>
      </x:c>
      <x:c r="H751" s="41" t="n">
        <x:f>0</x:f>
        <x:v>0</x:v>
      </x:c>
      <x:c r="I751" s="50" t="n">
        <x:f>(I750*(1+Inputs!$B$12))+E751</x:f>
        <x:v>655936.8870740054</x:v>
      </x:c>
      <x:c r="J751" s="50" t="n">
        <x:f>(J750*(1+Inputs!$B$12))+F751+P751</x:f>
        <x:v>777632.7384681978</x:v>
      </x:c>
      <x:c r="K751" s="50" t="n">
        <x:f>(K750*(1+Inputs!$B$12))*(1-H751)</x:f>
        <x:v>0</x:v>
      </x:c>
      <x:c r="L751" s="50" t="n">
        <x:f>L750*(1+Inputs!$B$13)+Q751</x:f>
        <x:v>50654.22386205018</x:v>
      </x:c>
      <x:c r="M751" s="50" t="n">
        <x:f>I751+J751+L751</x:f>
        <x:v>1484223.8494042533</x:v>
      </x:c>
      <x:c r="N751" s="50" t="n">
        <x:f>F751+P751</x:f>
        <x:v>600</x:v>
      </x:c>
      <x:c r="O751" s="50" t="n">
        <x:f>IF(B751=1,0,O750+F750+P750)</x:f>
        <x:v>7857.142857142886</x:v>
      </x:c>
      <x:c r="P751" s="50" t="n">
        <x:f>MIN(G751,MAX(0,Inputs!$B$20-O751-F751))</x:f>
        <x:v>0</x:v>
      </x:c>
      <x:c r="Q751" s="50" t="n">
        <x:f>(C751-E751-F751)+(G751-P751)</x:f>
        <x:v>0</x:v>
      </x:c>
    </x:row>
    <x:row r="752">
      <x:c r="A752" s="41" t="n">
        <x:f>IF(B752=1,A751+1,A751)</x:f>
        <x:v>2055</x:v>
      </x:c>
      <x:c r="B752" s="41" t="n">
        <x:f>IF(B751=26,1,B751+1)</x:f>
        <x:v>23</x:v>
      </x:c>
      <x:c r="C752" s="48" t="n">
        <x:f>Inputs!$F$31</x:f>
        <x:v>600</x:v>
      </x:c>
      <x:c r="D752" s="50" t="n">
        <x:f>IF(B752=1,0,D751+E751)</x:f>
        <x:v>8000</x:v>
      </x:c>
      <x:c r="E752" s="50" t="n">
        <x:f>MIN(C752,MAX(0,Inputs!$B$7-D752))</x:f>
        <x:v>0</x:v>
      </x:c>
      <x:c r="F752" s="50" t="n">
        <x:f>MIN(C752-E752,MAX(0,Inputs!$B$20-O752))</x:f>
        <x:v>600</x:v>
      </x:c>
      <x:c r="G752" s="50" t="n">
        <x:f>0</x:f>
        <x:v>0</x:v>
      </x:c>
      <x:c r="H752" s="41" t="n">
        <x:f>0</x:f>
        <x:v>0</x:v>
      </x:c>
      <x:c r="I752" s="50" t="n">
        <x:f>(I751*(1+Inputs!$B$12))+E752</x:f>
        <x:v>657168.9376501528</x:v>
      </x:c>
      <x:c r="J752" s="50" t="n">
        <x:f>(J751*(1+Inputs!$B$12))+F752+P752</x:f>
        <x:v>779693.3711637222</x:v>
      </x:c>
      <x:c r="K752" s="50" t="n">
        <x:f>(K751*(1+Inputs!$B$12))*(1-H752)</x:f>
        <x:v>0</x:v>
      </x:c>
      <x:c r="L752" s="50" t="n">
        <x:f>L751*(1+Inputs!$B$13)+Q752</x:f>
        <x:v>50742.85124560336</x:v>
      </x:c>
      <x:c r="M752" s="50" t="n">
        <x:f>I752+J752+L752</x:f>
        <x:v>1487605.1600594784</x:v>
      </x:c>
      <x:c r="N752" s="50" t="n">
        <x:f>F752+P752</x:f>
        <x:v>600</x:v>
      </x:c>
      <x:c r="O752" s="50" t="n">
        <x:f>IF(B752=1,0,O751+F751+P751)</x:f>
        <x:v>8457.142857142886</x:v>
      </x:c>
      <x:c r="P752" s="50" t="n">
        <x:f>MIN(G752,MAX(0,Inputs!$B$20-O752-F752))</x:f>
        <x:v>0</x:v>
      </x:c>
      <x:c r="Q752" s="50" t="n">
        <x:f>(C752-E752-F752)+(G752-P752)</x:f>
        <x:v>0</x:v>
      </x:c>
    </x:row>
    <x:row r="753">
      <x:c r="A753" s="41" t="n">
        <x:f>IF(B753=1,A752+1,A752)</x:f>
        <x:v>2055</x:v>
      </x:c>
      <x:c r="B753" s="41" t="n">
        <x:f>IF(B752=26,1,B752+1)</x:f>
        <x:v>24</x:v>
      </x:c>
      <x:c r="C753" s="48" t="n">
        <x:f>Inputs!$F$31</x:f>
        <x:v>600</x:v>
      </x:c>
      <x:c r="D753" s="50" t="n">
        <x:f>IF(B753=1,0,D752+E752)</x:f>
        <x:v>8000</x:v>
      </x:c>
      <x:c r="E753" s="50" t="n">
        <x:f>MIN(C753,MAX(0,Inputs!$B$7-D753))</x:f>
        <x:v>0</x:v>
      </x:c>
      <x:c r="F753" s="50" t="n">
        <x:f>MIN(C753-E753,MAX(0,Inputs!$B$20-O753))</x:f>
        <x:v>600</x:v>
      </x:c>
      <x:c r="G753" s="50" t="n">
        <x:f>0</x:f>
        <x:v>0</x:v>
      </x:c>
      <x:c r="H753" s="41" t="n">
        <x:f>0</x:f>
        <x:v>0</x:v>
      </x:c>
      <x:c r="I753" s="50" t="n">
        <x:f>(I752*(1+Inputs!$B$12))+E753</x:f>
        <x:v>658403.3023950139</x:v>
      </x:c>
      <x:c r="J753" s="50" t="n">
        <x:f>(J752*(1+Inputs!$B$12))+F753+P753</x:f>
        <x:v>781757.8743592136</x:v>
      </x:c>
      <x:c r="K753" s="50" t="n">
        <x:f>(K752*(1+Inputs!$B$12))*(1-H753)</x:f>
        <x:v>0</x:v>
      </x:c>
      <x:c r="L753" s="50" t="n">
        <x:f>L752*(1+Inputs!$B$13)+Q753</x:f>
        <x:v>50831.63369644444</x:v>
      </x:c>
      <x:c r="M753" s="50" t="n">
        <x:f>I753+J753+L753</x:f>
        <x:v>1490992.8104506717</x:v>
      </x:c>
      <x:c r="N753" s="50" t="n">
        <x:f>F753+P753</x:f>
        <x:v>600</x:v>
      </x:c>
      <x:c r="O753" s="50" t="n">
        <x:f>IF(B753=1,0,O752+F752+P752)</x:f>
        <x:v>9057.142857142886</x:v>
      </x:c>
      <x:c r="P753" s="50" t="n">
        <x:f>MIN(G753,MAX(0,Inputs!$B$20-O753-F753))</x:f>
        <x:v>0</x:v>
      </x:c>
      <x:c r="Q753" s="50" t="n">
        <x:f>(C753-E753-F753)+(G753-P753)</x:f>
        <x:v>0</x:v>
      </x:c>
    </x:row>
    <x:row r="754">
      <x:c r="A754" s="41" t="n">
        <x:f>IF(B754=1,A753+1,A753)</x:f>
        <x:v>2055</x:v>
      </x:c>
      <x:c r="B754" s="41" t="n">
        <x:f>IF(B753=26,1,B753+1)</x:f>
        <x:v>25</x:v>
      </x:c>
      <x:c r="C754" s="48" t="n">
        <x:f>Inputs!$F$31</x:f>
        <x:v>600</x:v>
      </x:c>
      <x:c r="D754" s="50" t="n">
        <x:f>IF(B754=1,0,D753+E753)</x:f>
        <x:v>8000</x:v>
      </x:c>
      <x:c r="E754" s="50" t="n">
        <x:f>MIN(C754,MAX(0,Inputs!$B$7-D754))</x:f>
        <x:v>0</x:v>
      </x:c>
      <x:c r="F754" s="50" t="n">
        <x:f>MIN(C754-E754,MAX(0,Inputs!$B$20-O754))</x:f>
        <x:v>600</x:v>
      </x:c>
      <x:c r="G754" s="50" t="n">
        <x:f>0</x:f>
        <x:v>0</x:v>
      </x:c>
      <x:c r="H754" s="41" t="n">
        <x:f>0</x:f>
        <x:v>0</x:v>
      </x:c>
      <x:c r="I754" s="50" t="n">
        <x:f>(I753*(1+Inputs!$B$12))+E754</x:f>
        <x:v>659639.9856553068</x:v>
      </x:c>
      <x:c r="J754" s="50" t="n">
        <x:f>(J753*(1+Inputs!$B$12))+F754+P754</x:f>
        <x:v>783826.2553246577</x:v>
      </x:c>
      <x:c r="K754" s="50" t="n">
        <x:f>(K753*(1+Inputs!$B$12))*(1-H754)</x:f>
        <x:v>0</x:v>
      </x:c>
      <x:c r="L754" s="50" t="n">
        <x:f>L753*(1+Inputs!$B$13)+Q754</x:f>
        <x:v>50920.571485887594</x:v>
      </x:c>
      <x:c r="M754" s="50" t="n">
        <x:f>I754+J754+L754</x:f>
        <x:v>1494386.812465852</x:v>
      </x:c>
      <x:c r="N754" s="50" t="n">
        <x:f>F754+P754</x:f>
        <x:v>600</x:v>
      </x:c>
      <x:c r="O754" s="50" t="n">
        <x:f>IF(B754=1,0,O753+F753+P753)</x:f>
        <x:v>9657.142857142886</x:v>
      </x:c>
      <x:c r="P754" s="50" t="n">
        <x:f>MIN(G754,MAX(0,Inputs!$B$20-O754-F754))</x:f>
        <x:v>0</x:v>
      </x:c>
      <x:c r="Q754" s="50" t="n">
        <x:f>(C754-E754-F754)+(G754-P754)</x:f>
        <x:v>0</x:v>
      </x:c>
    </x:row>
    <x:row r="755">
      <x:c r="A755" s="41" t="n">
        <x:f>IF(B755=1,A754+1,A754)</x:f>
        <x:v>2055</x:v>
      </x:c>
      <x:c r="B755" s="41" t="n">
        <x:f>IF(B754=26,1,B754+1)</x:f>
        <x:v>26</x:v>
      </x:c>
      <x:c r="C755" s="48" t="n">
        <x:f>Inputs!$F$31</x:f>
        <x:v>600</x:v>
      </x:c>
      <x:c r="D755" s="50" t="n">
        <x:f>IF(B755=1,0,D754+E754)</x:f>
        <x:v>8000</x:v>
      </x:c>
      <x:c r="E755" s="50" t="n">
        <x:f>MIN(C755,MAX(0,Inputs!$B$7-D755))</x:f>
        <x:v>0</x:v>
      </x:c>
      <x:c r="F755" s="50" t="n">
        <x:f>MIN(C755-E755,MAX(0,Inputs!$B$20-O755))</x:f>
        <x:v>600</x:v>
      </x:c>
      <x:c r="G755" s="50" t="n">
        <x:f>0</x:f>
        <x:v>0</x:v>
      </x:c>
      <x:c r="H755" s="41" t="n">
        <x:f>IF(A755=Inputs!$B$8,1,0)</x:f>
        <x:v>0</x:v>
      </x:c>
      <x:c r="I755" s="50" t="n">
        <x:f>(I754*(1+Inputs!$B$12))+E755</x:f>
        <x:v>660878.9917859146</x:v>
      </x:c>
      <x:c r="J755" s="50" t="n">
        <x:f>(J754*(1+Inputs!$B$12))+F755+P755</x:f>
        <x:v>785898.521343695</x:v>
      </x:c>
      <x:c r="K755" s="50" t="n">
        <x:f>(K754*(1+Inputs!$B$12))*(1-H755)</x:f>
        <x:v>0</x:v>
      </x:c>
      <x:c r="L755" s="50" t="n">
        <x:f>L754*(1+Inputs!$B$13)+Q755</x:f>
        <x:v>51009.66488572167</x:v>
      </x:c>
      <x:c r="M755" s="50" t="n">
        <x:f>I755+J755+L755</x:f>
        <x:v>1497787.1780153313</x:v>
      </x:c>
      <x:c r="N755" s="50" t="n">
        <x:f>F755+P755</x:f>
        <x:v>600</x:v>
      </x:c>
      <x:c r="O755" s="50" t="n">
        <x:f>IF(B755=1,0,O754+F754+P754)</x:f>
        <x:v>10257.142857142886</x:v>
      </x:c>
      <x:c r="P755" s="50" t="n">
        <x:f>MIN(G755,MAX(0,Inputs!$B$20-O755-F755))</x:f>
        <x:v>0</x:v>
      </x:c>
      <x:c r="Q755" s="50" t="n">
        <x:f>(C755-E755-F755)+(G755-P755)</x:f>
        <x:v>0</x:v>
      </x:c>
    </x:row>
    <x:row r="756">
      <x:c r="A756" s="41" t="n">
        <x:f>IF(B756=1,A755+1,A755)</x:f>
        <x:v>2056</x:v>
      </x:c>
      <x:c r="B756" s="41" t="n">
        <x:f>IF(B755=26,1,B755+1)</x:f>
        <x:v>1</x:v>
      </x:c>
      <x:c r="C756" s="48" t="n">
        <x:f>Inputs!$F$32</x:f>
        <x:v>600</x:v>
      </x:c>
      <x:c r="D756" s="50" t="n">
        <x:f>IF(B756=1,0,D755+E755)</x:f>
        <x:v>0</x:v>
      </x:c>
      <x:c r="E756" s="50" t="n">
        <x:f>MIN(C756,MAX(0,Inputs!$B$7-D756))</x:f>
        <x:v>600</x:v>
      </x:c>
      <x:c r="F756" s="50" t="n">
        <x:f>MIN(C756-E756,MAX(0,Inputs!$B$20-O756))</x:f>
        <x:v>0</x:v>
      </x:c>
      <x:c r="G756" s="50" t="n">
        <x:f>0</x:f>
        <x:v>0</x:v>
      </x:c>
      <x:c r="H756" s="41" t="n">
        <x:f>0</x:f>
        <x:v>0</x:v>
      </x:c>
      <x:c r="I756" s="50" t="n">
        <x:f>(I755*(1+Inputs!$B$12))+E756</x:f>
        <x:v>662720.3251498998</x:v>
      </x:c>
      <x:c r="J756" s="50" t="n">
        <x:f>(J755*(1+Inputs!$B$12))+F756+P756</x:f>
        <x:v>787374.6797136476</x:v>
      </x:c>
      <x:c r="K756" s="50" t="n">
        <x:f>(K755*(1+Inputs!$B$12))*(1-H756)</x:f>
        <x:v>0</x:v>
      </x:c>
      <x:c r="L756" s="50" t="n">
        <x:f>L755*(1+Inputs!$B$13)+Q756</x:f>
        <x:v>51098.91416821108</x:v>
      </x:c>
      <x:c r="M756" s="50" t="n">
        <x:f>I756+J756+L756</x:f>
        <x:v>1501193.9190317586</x:v>
      </x:c>
      <x:c r="N756" s="50" t="n">
        <x:f>F756+P756</x:f>
        <x:v>0</x:v>
      </x:c>
      <x:c r="O756" s="50" t="n">
        <x:f>IF(B756=1,0,O755+F755+P755)</x:f>
        <x:v>0</x:v>
      </x:c>
      <x:c r="P756" s="50" t="n">
        <x:f>MIN(G756,MAX(0,Inputs!$B$20-O756-F756))</x:f>
        <x:v>0</x:v>
      </x:c>
      <x:c r="Q756" s="50" t="n">
        <x:f>(C756-E756-F756)+(G756-P756)</x:f>
        <x:v>0</x:v>
      </x:c>
    </x:row>
    <x:row r="757">
      <x:c r="A757" s="41" t="n">
        <x:f>IF(B757=1,A756+1,A756)</x:f>
        <x:v>2056</x:v>
      </x:c>
      <x:c r="B757" s="41" t="n">
        <x:f>IF(B756=26,1,B756+1)</x:f>
        <x:v>2</x:v>
      </x:c>
      <x:c r="C757" s="48" t="n">
        <x:f>Inputs!$F$32</x:f>
        <x:v>600</x:v>
      </x:c>
      <x:c r="D757" s="50" t="n">
        <x:f>IF(B757=1,0,D756+E756)</x:f>
        <x:v>600</x:v>
      </x:c>
      <x:c r="E757" s="50" t="n">
        <x:f>MIN(C757,MAX(0,Inputs!$B$7-D757))</x:f>
        <x:v>600</x:v>
      </x:c>
      <x:c r="F757" s="50" t="n">
        <x:f>MIN(C757-E757,MAX(0,Inputs!$B$20-O757))</x:f>
        <x:v>0</x:v>
      </x:c>
      <x:c r="G757" s="50" t="n">
        <x:f>0</x:f>
        <x:v>0</x:v>
      </x:c>
      <x:c r="H757" s="41" t="n">
        <x:f>0</x:f>
        <x:v>0</x:v>
      </x:c>
      <x:c r="I757" s="50" t="n">
        <x:f>(I756*(1+Inputs!$B$12))+E757</x:f>
        <x:v>664565.1171024728</x:v>
      </x:c>
      <x:c r="J757" s="50" t="n">
        <x:f>(J756*(1+Inputs!$B$12))+F757+P757</x:f>
        <x:v>788853.610761591</x:v>
      </x:c>
      <x:c r="K757" s="50" t="n">
        <x:f>(K756*(1+Inputs!$B$12))*(1-H757)</x:f>
        <x:v>0</x:v>
      </x:c>
      <x:c r="L757" s="50" t="n">
        <x:f>L756*(1+Inputs!$B$13)+Q757</x:f>
        <x:v>51188.31960609658</x:v>
      </x:c>
      <x:c r="M757" s="50" t="n">
        <x:f>I757+J757+L757</x:f>
        <x:v>1504607.0474701603</x:v>
      </x:c>
      <x:c r="N757" s="50" t="n">
        <x:f>F757+P757</x:f>
        <x:v>0</x:v>
      </x:c>
      <x:c r="O757" s="50" t="n">
        <x:f>IF(B757=1,0,O756+F756+P756)</x:f>
        <x:v>0</x:v>
      </x:c>
      <x:c r="P757" s="50" t="n">
        <x:f>MIN(G757,MAX(0,Inputs!$B$20-O757-F757))</x:f>
        <x:v>0</x:v>
      </x:c>
      <x:c r="Q757" s="50" t="n">
        <x:f>(C757-E757-F757)+(G757-P757)</x:f>
        <x:v>0</x:v>
      </x:c>
    </x:row>
    <x:row r="758">
      <x:c r="A758" s="41" t="n">
        <x:f>IF(B758=1,A757+1,A757)</x:f>
        <x:v>2056</x:v>
      </x:c>
      <x:c r="B758" s="41" t="n">
        <x:f>IF(B757=26,1,B757+1)</x:f>
        <x:v>3</x:v>
      </x:c>
      <x:c r="C758" s="48" t="n">
        <x:f>Inputs!$F$32</x:f>
        <x:v>600</x:v>
      </x:c>
      <x:c r="D758" s="50" t="n">
        <x:f>IF(B758=1,0,D757+E757)</x:f>
        <x:v>1200</x:v>
      </x:c>
      <x:c r="E758" s="50" t="n">
        <x:f>MIN(C758,MAX(0,Inputs!$B$7-D758))</x:f>
        <x:v>600</x:v>
      </x:c>
      <x:c r="F758" s="50" t="n">
        <x:f>MIN(C758-E758,MAX(0,Inputs!$B$20-O758))</x:f>
        <x:v>0</x:v>
      </x:c>
      <x:c r="G758" s="50" t="n">
        <x:f>0</x:f>
        <x:v>0</x:v>
      </x:c>
      <x:c r="H758" s="41" t="n">
        <x:f>0</x:f>
        <x:v>0</x:v>
      </x:c>
      <x:c r="I758" s="50" t="n">
        <x:f>(I757*(1+Inputs!$B$12))+E758</x:f>
        <x:v>666413.3741399235</x:v>
      </x:c>
      <x:c r="J758" s="50" t="n">
        <x:f>(J757*(1+Inputs!$B$12))+F758+P758</x:f>
        <x:v>790335.3196954646</x:v>
      </x:c>
      <x:c r="K758" s="50" t="n">
        <x:f>(K757*(1+Inputs!$B$12))*(1-H758)</x:f>
        <x:v>0</x:v>
      </x:c>
      <x:c r="L758" s="50" t="n">
        <x:f>L757*(1+Inputs!$B$13)+Q758</x:f>
        <x:v>51277.88147259614</x:v>
      </x:c>
      <x:c r="M758" s="50" t="n">
        <x:f>I758+J758+L758</x:f>
        <x:v>1508026.5753079841</x:v>
      </x:c>
      <x:c r="N758" s="50" t="n">
        <x:f>F758+P758</x:f>
        <x:v>0</x:v>
      </x:c>
      <x:c r="O758" s="50" t="n">
        <x:f>IF(B758=1,0,O757+F757+P757)</x:f>
        <x:v>0</x:v>
      </x:c>
      <x:c r="P758" s="50" t="n">
        <x:f>MIN(G758,MAX(0,Inputs!$B$20-O758-F758))</x:f>
        <x:v>0</x:v>
      </x:c>
      <x:c r="Q758" s="50" t="n">
        <x:f>(C758-E758-F758)+(G758-P758)</x:f>
        <x:v>0</x:v>
      </x:c>
    </x:row>
    <x:row r="759">
      <x:c r="A759" s="41" t="n">
        <x:f>IF(B759=1,A758+1,A758)</x:f>
        <x:v>2056</x:v>
      </x:c>
      <x:c r="B759" s="41" t="n">
        <x:f>IF(B758=26,1,B758+1)</x:f>
        <x:v>4</x:v>
      </x:c>
      <x:c r="C759" s="48" t="n">
        <x:f>Inputs!$F$32</x:f>
        <x:v>600</x:v>
      </x:c>
      <x:c r="D759" s="50" t="n">
        <x:f>IF(B759=1,0,D758+E758)</x:f>
        <x:v>1800</x:v>
      </x:c>
      <x:c r="E759" s="50" t="n">
        <x:f>MIN(C759,MAX(0,Inputs!$B$7-D759))</x:f>
        <x:v>600</x:v>
      </x:c>
      <x:c r="F759" s="50" t="n">
        <x:f>MIN(C759-E759,MAX(0,Inputs!$B$20-O759))</x:f>
        <x:v>0</x:v>
      </x:c>
      <x:c r="G759" s="50" t="n">
        <x:f>0</x:f>
        <x:v>0</x:v>
      </x:c>
      <x:c r="H759" s="41" t="n">
        <x:f>0</x:f>
        <x:v>0</x:v>
      </x:c>
      <x:c r="I759" s="50" t="n">
        <x:f>(I758*(1+Inputs!$B$12))+E759</x:f>
        <x:v>668265.1027707434</x:v>
      </x:c>
      <x:c r="J759" s="50" t="n">
        <x:f>(J758*(1+Inputs!$B$12))+F759+P759</x:f>
        <x:v>791819.8117329899</x:v>
      </x:c>
      <x:c r="K759" s="50" t="n">
        <x:f>(K758*(1+Inputs!$B$12))*(1-H759)</x:f>
        <x:v>0</x:v>
      </x:c>
      <x:c r="L759" s="50" t="n">
        <x:f>L758*(1+Inputs!$B$13)+Q759</x:f>
        <x:v>51367.60004140578</x:v>
      </x:c>
      <x:c r="M759" s="50" t="n">
        <x:f>I759+J759+L759</x:f>
        <x:v>1511452.514545139</x:v>
      </x:c>
      <x:c r="N759" s="50" t="n">
        <x:f>F759+P759</x:f>
        <x:v>0</x:v>
      </x:c>
      <x:c r="O759" s="50" t="n">
        <x:f>IF(B759=1,0,O758+F758+P758)</x:f>
        <x:v>0</x:v>
      </x:c>
      <x:c r="P759" s="50" t="n">
        <x:f>MIN(G759,MAX(0,Inputs!$B$20-O759-F759))</x:f>
        <x:v>0</x:v>
      </x:c>
      <x:c r="Q759" s="50" t="n">
        <x:f>(C759-E759-F759)+(G759-P759)</x:f>
        <x:v>0</x:v>
      </x:c>
    </x:row>
    <x:row r="760">
      <x:c r="A760" s="41" t="n">
        <x:f>IF(B760=1,A759+1,A759)</x:f>
        <x:v>2056</x:v>
      </x:c>
      <x:c r="B760" s="41" t="n">
        <x:f>IF(B759=26,1,B759+1)</x:f>
        <x:v>5</x:v>
      </x:c>
      <x:c r="C760" s="48" t="n">
        <x:f>Inputs!$F$32</x:f>
        <x:v>600</x:v>
      </x:c>
      <x:c r="D760" s="50" t="n">
        <x:f>IF(B760=1,0,D759+E759)</x:f>
        <x:v>2400</x:v>
      </x:c>
      <x:c r="E760" s="50" t="n">
        <x:f>MIN(C760,MAX(0,Inputs!$B$7-D760))</x:f>
        <x:v>600</x:v>
      </x:c>
      <x:c r="F760" s="50" t="n">
        <x:f>MIN(C760-E760,MAX(0,Inputs!$B$20-O760))</x:f>
        <x:v>0</x:v>
      </x:c>
      <x:c r="G760" s="50" t="n">
        <x:f>0</x:f>
        <x:v>0</x:v>
      </x:c>
      <x:c r="H760" s="41" t="n">
        <x:f>0</x:f>
        <x:v>0</x:v>
      </x:c>
      <x:c r="I760" s="50" t="n">
        <x:f>(I759*(1+Inputs!$B$12))+E760</x:f>
        <x:v>670120.3095156493</x:v>
      </x:c>
      <x:c r="J760" s="50" t="n">
        <x:f>(J759*(1+Inputs!$B$12))+F760+P760</x:f>
        <x:v>793307.0921016886</x:v>
      </x:c>
      <x:c r="K760" s="50" t="n">
        <x:f>(K759*(1+Inputs!$B$12))*(1-H760)</x:f>
        <x:v>0</x:v>
      </x:c>
      <x:c r="L760" s="50" t="n">
        <x:f>L759*(1+Inputs!$B$13)+Q760</x:f>
        <x:v>51457.47558670036</x:v>
      </x:c>
      <x:c r="M760" s="50" t="n">
        <x:f>I760+J760+L760</x:f>
        <x:v>1514884.8772040382</x:v>
      </x:c>
      <x:c r="N760" s="50" t="n">
        <x:f>F760+P760</x:f>
        <x:v>0</x:v>
      </x:c>
      <x:c r="O760" s="50" t="n">
        <x:f>IF(B760=1,0,O759+F759+P759)</x:f>
        <x:v>0</x:v>
      </x:c>
      <x:c r="P760" s="50" t="n">
        <x:f>MIN(G760,MAX(0,Inputs!$B$20-O760-F760))</x:f>
        <x:v>0</x:v>
      </x:c>
      <x:c r="Q760" s="50" t="n">
        <x:f>(C760-E760-F760)+(G760-P760)</x:f>
        <x:v>0</x:v>
      </x:c>
    </x:row>
    <x:row r="761">
      <x:c r="A761" s="41" t="n">
        <x:f>IF(B761=1,A760+1,A760)</x:f>
        <x:v>2056</x:v>
      </x:c>
      <x:c r="B761" s="41" t="n">
        <x:f>IF(B760=26,1,B760+1)</x:f>
        <x:v>6</x:v>
      </x:c>
      <x:c r="C761" s="48" t="n">
        <x:f>Inputs!$F$32</x:f>
        <x:v>600</x:v>
      </x:c>
      <x:c r="D761" s="50" t="n">
        <x:f>IF(B761=1,0,D760+E760)</x:f>
        <x:v>3000</x:v>
      </x:c>
      <x:c r="E761" s="50" t="n">
        <x:f>MIN(C761,MAX(0,Inputs!$B$7-D761))</x:f>
        <x:v>600</x:v>
      </x:c>
      <x:c r="F761" s="50" t="n">
        <x:f>MIN(C761-E761,MAX(0,Inputs!$B$20-O761))</x:f>
        <x:v>0</x:v>
      </x:c>
      <x:c r="G761" s="50" t="n">
        <x:f>0</x:f>
        <x:v>0</x:v>
      </x:c>
      <x:c r="H761" s="41" t="n">
        <x:f>0</x:f>
        <x:v>0</x:v>
      </x:c>
      <x:c r="I761" s="50" t="n">
        <x:f>(I760*(1+Inputs!$B$12))+E761</x:f>
        <x:v>671979.0009076059</x:v>
      </x:c>
      <x:c r="J761" s="50" t="n">
        <x:f>(J760*(1+Inputs!$B$12))+F761+P761</x:f>
        <x:v>794797.1660389018</x:v>
      </x:c>
      <x:c r="K761" s="50" t="n">
        <x:f>(K760*(1+Inputs!$B$12))*(1-H761)</x:f>
        <x:v>0</x:v>
      </x:c>
      <x:c r="L761" s="50" t="n">
        <x:f>L760*(1+Inputs!$B$13)+Q761</x:f>
        <x:v>51547.50838313449</x:v>
      </x:c>
      <x:c r="M761" s="50" t="n">
        <x:f>I761+J761+L761</x:f>
        <x:v>1518323.675329642</x:v>
      </x:c>
      <x:c r="N761" s="50" t="n">
        <x:f>F761+P761</x:f>
        <x:v>0</x:v>
      </x:c>
      <x:c r="O761" s="50" t="n">
        <x:f>IF(B761=1,0,O760+F760+P760)</x:f>
        <x:v>0</x:v>
      </x:c>
      <x:c r="P761" s="50" t="n">
        <x:f>MIN(G761,MAX(0,Inputs!$B$20-O761-F761))</x:f>
        <x:v>0</x:v>
      </x:c>
      <x:c r="Q761" s="50" t="n">
        <x:f>(C761-E761-F761)+(G761-P761)</x:f>
        <x:v>0</x:v>
      </x:c>
    </x:row>
    <x:row r="762">
      <x:c r="A762" s="41" t="n">
        <x:f>IF(B762=1,A761+1,A761)</x:f>
        <x:v>2056</x:v>
      </x:c>
      <x:c r="B762" s="41" t="n">
        <x:f>IF(B761=26,1,B761+1)</x:f>
        <x:v>7</x:v>
      </x:c>
      <x:c r="C762" s="48" t="n">
        <x:f>Inputs!$F$32</x:f>
        <x:v>600</x:v>
      </x:c>
      <x:c r="D762" s="50" t="n">
        <x:f>IF(B762=1,0,D761+E761)</x:f>
        <x:v>3600</x:v>
      </x:c>
      <x:c r="E762" s="50" t="n">
        <x:f>MIN(C762,MAX(0,Inputs!$B$7-D762))</x:f>
        <x:v>600</x:v>
      </x:c>
      <x:c r="F762" s="50" t="n">
        <x:f>MIN(C762-E762,MAX(0,Inputs!$B$20-O762))</x:f>
        <x:v>0</x:v>
      </x:c>
      <x:c r="G762" s="50" t="n">
        <x:f>0</x:f>
        <x:v>0</x:v>
      </x:c>
      <x:c r="H762" s="41" t="n">
        <x:f>0</x:f>
        <x:v>0</x:v>
      </x:c>
      <x:c r="I762" s="50" t="n">
        <x:f>(I761*(1+Inputs!$B$12))+E762</x:f>
        <x:v>673841.1834918485</x:v>
      </x:c>
      <x:c r="J762" s="50" t="n">
        <x:f>(J761*(1+Inputs!$B$12))+F762+P762</x:f>
        <x:v>796290.0387918075</x:v>
      </x:c>
      <x:c r="K762" s="50" t="n">
        <x:f>(K761*(1+Inputs!$B$12))*(1-H762)</x:f>
        <x:v>0</x:v>
      </x:c>
      <x:c r="L762" s="50" t="n">
        <x:f>L761*(1+Inputs!$B$13)+Q762</x:f>
        <x:v>51637.6987058433</x:v>
      </x:c>
      <x:c r="M762" s="50" t="n">
        <x:f>I762+J762+L762</x:f>
        <x:v>1521768.9209894994</x:v>
      </x:c>
      <x:c r="N762" s="50" t="n">
        <x:f>F762+P762</x:f>
        <x:v>0</x:v>
      </x:c>
      <x:c r="O762" s="50" t="n">
        <x:f>IF(B762=1,0,O761+F761+P761)</x:f>
        <x:v>0</x:v>
      </x:c>
      <x:c r="P762" s="50" t="n">
        <x:f>MIN(G762,MAX(0,Inputs!$B$20-O762-F762))</x:f>
        <x:v>0</x:v>
      </x:c>
      <x:c r="Q762" s="50" t="n">
        <x:f>(C762-E762-F762)+(G762-P762)</x:f>
        <x:v>0</x:v>
      </x:c>
    </x:row>
    <x:row r="763">
      <x:c r="A763" s="41" t="n">
        <x:f>IF(B763=1,A762+1,A762)</x:f>
        <x:v>2056</x:v>
      </x:c>
      <x:c r="B763" s="41" t="n">
        <x:f>IF(B762=26,1,B762+1)</x:f>
        <x:v>8</x:v>
      </x:c>
      <x:c r="C763" s="48" t="n">
        <x:f>Inputs!$F$32</x:f>
        <x:v>600</x:v>
      </x:c>
      <x:c r="D763" s="50" t="n">
        <x:f>IF(B763=1,0,D762+E762)</x:f>
        <x:v>4200</x:v>
      </x:c>
      <x:c r="E763" s="50" t="n">
        <x:f>MIN(C763,MAX(0,Inputs!$B$7-D763))</x:f>
        <x:v>600</x:v>
      </x:c>
      <x:c r="F763" s="50" t="n">
        <x:f>MIN(C763-E763,MAX(0,Inputs!$B$20-O763))</x:f>
        <x:v>0</x:v>
      </x:c>
      <x:c r="G763" s="50" t="n">
        <x:f>0</x:f>
        <x:v>0</x:v>
      </x:c>
      <x:c r="H763" s="41" t="n">
        <x:f>0</x:f>
        <x:v>0</x:v>
      </x:c>
      <x:c r="I763" s="50" t="n">
        <x:f>(I762*(1+Inputs!$B$12))+E763</x:f>
        <x:v>675706.8638259069</x:v>
      </x:c>
      <x:c r="J763" s="50" t="n">
        <x:f>(J762*(1+Inputs!$B$12))+F763+P763</x:f>
        <x:v>797785.7156174397</x:v>
      </x:c>
      <x:c r="K763" s="50" t="n">
        <x:f>(K762*(1+Inputs!$B$12))*(1-H763)</x:f>
        <x:v>0</x:v>
      </x:c>
      <x:c r="L763" s="50" t="n">
        <x:f>L762*(1+Inputs!$B$13)+Q763</x:f>
        <x:v>51728.04683044332</x:v>
      </x:c>
      <x:c r="M763" s="50" t="n">
        <x:f>I763+J763+L763</x:f>
        <x:v>1525220.6262737901</x:v>
      </x:c>
      <x:c r="N763" s="50" t="n">
        <x:f>F763+P763</x:f>
        <x:v>0</x:v>
      </x:c>
      <x:c r="O763" s="50" t="n">
        <x:f>IF(B763=1,0,O762+F762+P762)</x:f>
        <x:v>0</x:v>
      </x:c>
      <x:c r="P763" s="50" t="n">
        <x:f>MIN(G763,MAX(0,Inputs!$B$20-O763-F763))</x:f>
        <x:v>0</x:v>
      </x:c>
      <x:c r="Q763" s="50" t="n">
        <x:f>(C763-E763-F763)+(G763-P763)</x:f>
        <x:v>0</x:v>
      </x:c>
    </x:row>
    <x:row r="764">
      <x:c r="A764" s="41" t="n">
        <x:f>IF(B764=1,A763+1,A763)</x:f>
        <x:v>2056</x:v>
      </x:c>
      <x:c r="B764" s="41" t="n">
        <x:f>IF(B763=26,1,B763+1)</x:f>
        <x:v>9</x:v>
      </x:c>
      <x:c r="C764" s="48" t="n">
        <x:f>Inputs!$F$32</x:f>
        <x:v>600</x:v>
      </x:c>
      <x:c r="D764" s="50" t="n">
        <x:f>IF(B764=1,0,D763+E763)</x:f>
        <x:v>4800</x:v>
      </x:c>
      <x:c r="E764" s="50" t="n">
        <x:f>MIN(C764,MAX(0,Inputs!$B$7-D764))</x:f>
        <x:v>600</x:v>
      </x:c>
      <x:c r="F764" s="50" t="n">
        <x:f>MIN(C764-E764,MAX(0,Inputs!$B$20-O764))</x:f>
        <x:v>0</x:v>
      </x:c>
      <x:c r="G764" s="50" t="n">
        <x:f>SUM(N730:N755)*Inputs!$B$6</x:f>
        <x:v>3257.1428571428655</x:v>
      </x:c>
      <x:c r="H764" s="41" t="n">
        <x:f>0</x:f>
        <x:v>0</x:v>
      </x:c>
      <x:c r="I764" s="50" t="n">
        <x:f>(I763*(1+Inputs!$B$12))+E764</x:f>
        <x:v>677576.0484796274</x:v>
      </x:c>
      <x:c r="J764" s="50" t="n">
        <x:f>(J763*(1+Inputs!$B$12))+F764+P764</x:f>
        <x:v>802541.3446398495</x:v>
      </x:c>
      <x:c r="K764" s="50" t="n">
        <x:f>(K763*(1+Inputs!$B$12))*(1-H764)</x:f>
        <x:v>0</x:v>
      </x:c>
      <x:c r="L764" s="50" t="n">
        <x:f>L763*(1+Inputs!$B$13)+Q764</x:f>
        <x:v>51818.55303303333</x:v>
      </x:c>
      <x:c r="M764" s="50" t="n">
        <x:f>I764+J764+L764</x:f>
        <x:v>1531935.9461525101</x:v>
      </x:c>
      <x:c r="N764" s="50" t="n">
        <x:f>F764+P764</x:f>
        <x:v>3257.1428571428655</x:v>
      </x:c>
      <x:c r="O764" s="50" t="n">
        <x:f>IF(B764=1,0,O763+F763+P763)</x:f>
        <x:v>0</x:v>
      </x:c>
      <x:c r="P764" s="50" t="n">
        <x:f>MIN(G764,MAX(0,Inputs!$B$20-O764-F764))</x:f>
        <x:v>3257.1428571428655</x:v>
      </x:c>
      <x:c r="Q764" s="50" t="n">
        <x:f>(C764-E764-F764)+(G764-P764)</x:f>
        <x:v>0</x:v>
      </x:c>
    </x:row>
    <x:row r="765">
      <x:c r="A765" s="41" t="n">
        <x:f>IF(B765=1,A764+1,A764)</x:f>
        <x:v>2056</x:v>
      </x:c>
      <x:c r="B765" s="41" t="n">
        <x:f>IF(B764=26,1,B764+1)</x:f>
        <x:v>10</x:v>
      </x:c>
      <x:c r="C765" s="48" t="n">
        <x:f>Inputs!$F$32</x:f>
        <x:v>600</x:v>
      </x:c>
      <x:c r="D765" s="50" t="n">
        <x:f>IF(B765=1,0,D764+E764)</x:f>
        <x:v>5400</x:v>
      </x:c>
      <x:c r="E765" s="50" t="n">
        <x:f>MIN(C765,MAX(0,Inputs!$B$7-D765))</x:f>
        <x:v>600</x:v>
      </x:c>
      <x:c r="F765" s="50" t="n">
        <x:f>MIN(C765-E765,MAX(0,Inputs!$B$20-O765))</x:f>
        <x:v>0</x:v>
      </x:c>
      <x:c r="G765" s="50" t="n">
        <x:f>0</x:f>
        <x:v>0</x:v>
      </x:c>
      <x:c r="H765" s="41" t="n">
        <x:f>0</x:f>
        <x:v>0</x:v>
      </x:c>
      <x:c r="I765" s="50" t="n">
        <x:f>(I764*(1+Inputs!$B$12))+E765</x:f>
        <x:v>679448.7440351966</x:v>
      </x:c>
      <x:c r="J765" s="50" t="n">
        <x:f>(J764*(1+Inputs!$B$12))+F765+P765</x:f>
        <x:v>804048.7633344382</x:v>
      </x:c>
      <x:c r="K765" s="50" t="n">
        <x:f>(K764*(1+Inputs!$B$12))*(1-H765)</x:f>
        <x:v>0</x:v>
      </x:c>
      <x:c r="L765" s="50" t="n">
        <x:f>L764*(1+Inputs!$B$13)+Q765</x:f>
        <x:v>51909.21759019516</x:v>
      </x:c>
      <x:c r="M765" s="50" t="n">
        <x:f>I765+J765+L765</x:f>
        <x:v>1535406.7249598298</x:v>
      </x:c>
      <x:c r="N765" s="50" t="n">
        <x:f>F765+P765</x:f>
        <x:v>0</x:v>
      </x:c>
      <x:c r="O765" s="50" t="n">
        <x:f>IF(B765=1,0,O764+F764+P764)</x:f>
        <x:v>3257.1428571428655</x:v>
      </x:c>
      <x:c r="P765" s="50" t="n">
        <x:f>MIN(G765,MAX(0,Inputs!$B$20-O765-F765))</x:f>
        <x:v>0</x:v>
      </x:c>
      <x:c r="Q765" s="50" t="n">
        <x:f>(C765-E765-F765)+(G765-P765)</x:f>
        <x:v>0</x:v>
      </x:c>
    </x:row>
    <x:row r="766">
      <x:c r="A766" s="41" t="n">
        <x:f>IF(B766=1,A765+1,A765)</x:f>
        <x:v>2056</x:v>
      </x:c>
      <x:c r="B766" s="41" t="n">
        <x:f>IF(B765=26,1,B765+1)</x:f>
        <x:v>11</x:v>
      </x:c>
      <x:c r="C766" s="48" t="n">
        <x:f>Inputs!$F$32</x:f>
        <x:v>600</x:v>
      </x:c>
      <x:c r="D766" s="50" t="n">
        <x:f>IF(B766=1,0,D765+E765)</x:f>
        <x:v>6000</x:v>
      </x:c>
      <x:c r="E766" s="50" t="n">
        <x:f>MIN(C766,MAX(0,Inputs!$B$7-D766))</x:f>
        <x:v>600</x:v>
      </x:c>
      <x:c r="F766" s="50" t="n">
        <x:f>MIN(C766-E766,MAX(0,Inputs!$B$20-O766))</x:f>
        <x:v>0</x:v>
      </x:c>
      <x:c r="G766" s="50" t="n">
        <x:f>0</x:f>
        <x:v>0</x:v>
      </x:c>
      <x:c r="H766" s="41" t="n">
        <x:f>0</x:f>
        <x:v>0</x:v>
      </x:c>
      <x:c r="I766" s="50" t="n">
        <x:f>(I765*(1+Inputs!$B$12))+E766</x:f>
        <x:v>681324.9570871647</x:v>
      </x:c>
      <x:c r="J766" s="50" t="n">
        <x:f>(J765*(1+Inputs!$B$12))+F766+P766</x:f>
        <x:v>805559.0134234914</x:v>
      </x:c>
      <x:c r="K766" s="50" t="n">
        <x:f>(K765*(1+Inputs!$B$12))*(1-H766)</x:f>
        <x:v>0</x:v>
      </x:c>
      <x:c r="L766" s="50" t="n">
        <x:f>L765*(1+Inputs!$B$13)+Q766</x:f>
        <x:v>52000.04077899459</x:v>
      </x:c>
      <x:c r="M766" s="50" t="n">
        <x:f>I766+J766+L766</x:f>
        <x:v>1538884.0112896506</x:v>
      </x:c>
      <x:c r="N766" s="50" t="n">
        <x:f>F766+P766</x:f>
        <x:v>0</x:v>
      </x:c>
      <x:c r="O766" s="50" t="n">
        <x:f>IF(B766=1,0,O765+F765+P765)</x:f>
        <x:v>3257.1428571428655</x:v>
      </x:c>
      <x:c r="P766" s="50" t="n">
        <x:f>MIN(G766,MAX(0,Inputs!$B$20-O766-F766))</x:f>
        <x:v>0</x:v>
      </x:c>
      <x:c r="Q766" s="50" t="n">
        <x:f>(C766-E766-F766)+(G766-P766)</x:f>
        <x:v>0</x:v>
      </x:c>
    </x:row>
    <x:row r="767">
      <x:c r="A767" s="41" t="n">
        <x:f>IF(B767=1,A766+1,A766)</x:f>
        <x:v>2056</x:v>
      </x:c>
      <x:c r="B767" s="41" t="n">
        <x:f>IF(B766=26,1,B766+1)</x:f>
        <x:v>12</x:v>
      </x:c>
      <x:c r="C767" s="48" t="n">
        <x:f>Inputs!$F$32</x:f>
        <x:v>600</x:v>
      </x:c>
      <x:c r="D767" s="50" t="n">
        <x:f>IF(B767=1,0,D766+E766)</x:f>
        <x:v>6600</x:v>
      </x:c>
      <x:c r="E767" s="50" t="n">
        <x:f>MIN(C767,MAX(0,Inputs!$B$7-D767))</x:f>
        <x:v>600</x:v>
      </x:c>
      <x:c r="F767" s="50" t="n">
        <x:f>MIN(C767-E767,MAX(0,Inputs!$B$20-O767))</x:f>
        <x:v>0</x:v>
      </x:c>
      <x:c r="G767" s="50" t="n">
        <x:f>0</x:f>
        <x:v>0</x:v>
      </x:c>
      <x:c r="H767" s="41" t="n">
        <x:f>0</x:f>
        <x:v>0</x:v>
      </x:c>
      <x:c r="I767" s="50" t="n">
        <x:f>(I766*(1+Inputs!$B$12))+E767</x:f>
        <x:v>683204.6942424685</x:v>
      </x:c>
      <x:c r="J767" s="50" t="n">
        <x:f>(J766*(1+Inputs!$B$12))+F767+P767</x:f>
        <x:v>807072.100225236</x:v>
      </x:c>
      <x:c r="K767" s="50" t="n">
        <x:f>(K766*(1+Inputs!$B$12))*(1-H767)</x:f>
        <x:v>0</x:v>
      </x:c>
      <x:c r="L767" s="50" t="n">
        <x:f>L766*(1+Inputs!$B$13)+Q767</x:f>
        <x:v>52091.02287698215</x:v>
      </x:c>
      <x:c r="M767" s="50" t="n">
        <x:f>I767+J767+L767</x:f>
        <x:v>1542367.8173446865</x:v>
      </x:c>
      <x:c r="N767" s="50" t="n">
        <x:f>F767+P767</x:f>
        <x:v>0</x:v>
      </x:c>
      <x:c r="O767" s="50" t="n">
        <x:f>IF(B767=1,0,O766+F766+P766)</x:f>
        <x:v>3257.1428571428655</x:v>
      </x:c>
      <x:c r="P767" s="50" t="n">
        <x:f>MIN(G767,MAX(0,Inputs!$B$20-O767-F767))</x:f>
        <x:v>0</x:v>
      </x:c>
      <x:c r="Q767" s="50" t="n">
        <x:f>(C767-E767-F767)+(G767-P767)</x:f>
        <x:v>0</x:v>
      </x:c>
    </x:row>
    <x:row r="768">
      <x:c r="A768" s="41" t="n">
        <x:f>IF(B768=1,A767+1,A767)</x:f>
        <x:v>2056</x:v>
      </x:c>
      <x:c r="B768" s="41" t="n">
        <x:f>IF(B767=26,1,B767+1)</x:f>
        <x:v>13</x:v>
      </x:c>
      <x:c r="C768" s="48" t="n">
        <x:f>Inputs!$F$32</x:f>
        <x:v>600</x:v>
      </x:c>
      <x:c r="D768" s="50" t="n">
        <x:f>IF(B768=1,0,D767+E767)</x:f>
        <x:v>7200</x:v>
      </x:c>
      <x:c r="E768" s="50" t="n">
        <x:f>MIN(C768,MAX(0,Inputs!$B$7-D768))</x:f>
        <x:v>600</x:v>
      </x:c>
      <x:c r="F768" s="50" t="n">
        <x:f>MIN(C768-E768,MAX(0,Inputs!$B$20-O768))</x:f>
        <x:v>0</x:v>
      </x:c>
      <x:c r="G768" s="50" t="n">
        <x:f>0</x:f>
        <x:v>0</x:v>
      </x:c>
      <x:c r="H768" s="41" t="n">
        <x:f>0</x:f>
        <x:v>0</x:v>
      </x:c>
      <x:c r="I768" s="50" t="n">
        <x:f>(I767*(1+Inputs!$B$12))+E768</x:f>
        <x:v>685087.9621204542</x:v>
      </x:c>
      <x:c r="J768" s="50" t="n">
        <x:f>(J767*(1+Inputs!$B$12))+F768+P768</x:f>
        <x:v>808588.0290678883</x:v>
      </x:c>
      <x:c r="K768" s="50" t="n">
        <x:f>(K767*(1+Inputs!$B$12))*(1-H768)</x:f>
        <x:v>0</x:v>
      </x:c>
      <x:c r="L768" s="50" t="n">
        <x:f>L767*(1+Inputs!$B$13)+Q768</x:f>
        <x:v>52182.164162193985</x:v>
      </x:c>
      <x:c r="M768" s="50" t="n">
        <x:f>I768+J768+L768</x:f>
        <x:v>1545858.1553505363</x:v>
      </x:c>
      <x:c r="N768" s="50" t="n">
        <x:f>F768+P768</x:f>
        <x:v>0</x:v>
      </x:c>
      <x:c r="O768" s="50" t="n">
        <x:f>IF(B768=1,0,O767+F767+P767)</x:f>
        <x:v>3257.1428571428655</x:v>
      </x:c>
      <x:c r="P768" s="50" t="n">
        <x:f>MIN(G768,MAX(0,Inputs!$B$20-O768-F768))</x:f>
        <x:v>0</x:v>
      </x:c>
      <x:c r="Q768" s="50" t="n">
        <x:f>(C768-E768-F768)+(G768-P768)</x:f>
        <x:v>0</x:v>
      </x:c>
    </x:row>
    <x:row r="769">
      <x:c r="A769" s="41" t="n">
        <x:f>IF(B769=1,A768+1,A768)</x:f>
        <x:v>2056</x:v>
      </x:c>
      <x:c r="B769" s="41" t="n">
        <x:f>IF(B768=26,1,B768+1)</x:f>
        <x:v>14</x:v>
      </x:c>
      <x:c r="C769" s="48" t="n">
        <x:f>Inputs!$F$32</x:f>
        <x:v>600</x:v>
      </x:c>
      <x:c r="D769" s="50" t="n">
        <x:f>IF(B769=1,0,D768+E768)</x:f>
        <x:v>7800</x:v>
      </x:c>
      <x:c r="E769" s="50" t="n">
        <x:f>MIN(C769,MAX(0,Inputs!$B$7-D769))</x:f>
        <x:v>200</x:v>
      </x:c>
      <x:c r="F769" s="50" t="n">
        <x:f>MIN(C769-E769,MAX(0,Inputs!$B$20-O769))</x:f>
        <x:v>400</x:v>
      </x:c>
      <x:c r="G769" s="50" t="n">
        <x:f>0</x:f>
        <x:v>0</x:v>
      </x:c>
      <x:c r="H769" s="41" t="n">
        <x:f>0</x:f>
        <x:v>0</x:v>
      </x:c>
      <x:c r="I769" s="50" t="n">
        <x:f>(I768*(1+Inputs!$B$12))+E769</x:f>
        <x:v>686574.7673529017</x:v>
      </x:c>
      <x:c r="J769" s="50" t="n">
        <x:f>(J768*(1+Inputs!$B$12))+F769+P769</x:f>
        <x:v>810506.8052896722</x:v>
      </x:c>
      <x:c r="K769" s="50" t="n">
        <x:f>(K768*(1+Inputs!$B$12))*(1-H769)</x:f>
        <x:v>0</x:v>
      </x:c>
      <x:c r="L769" s="50" t="n">
        <x:f>L768*(1+Inputs!$B$13)+Q769</x:f>
        <x:v>52273.46491315273</x:v>
      </x:c>
      <x:c r="M769" s="50" t="n">
        <x:f>I769+J769+L769</x:f>
        <x:v>1549355.0375557267</x:v>
      </x:c>
      <x:c r="N769" s="50" t="n">
        <x:f>F769+P769</x:f>
        <x:v>400</x:v>
      </x:c>
      <x:c r="O769" s="50" t="n">
        <x:f>IF(B769=1,0,O768+F768+P768)</x:f>
        <x:v>3257.1428571428655</x:v>
      </x:c>
      <x:c r="P769" s="50" t="n">
        <x:f>MIN(G769,MAX(0,Inputs!$B$20-O769-F769))</x:f>
        <x:v>0</x:v>
      </x:c>
      <x:c r="Q769" s="50" t="n">
        <x:f>(C769-E769-F769)+(G769-P769)</x:f>
        <x:v>0</x:v>
      </x:c>
    </x:row>
    <x:row r="770">
      <x:c r="A770" s="41" t="n">
        <x:f>IF(B770=1,A769+1,A769)</x:f>
        <x:v>2056</x:v>
      </x:c>
      <x:c r="B770" s="41" t="n">
        <x:f>IF(B769=26,1,B769+1)</x:f>
        <x:v>15</x:v>
      </x:c>
      <x:c r="C770" s="48" t="n">
        <x:f>Inputs!$F$32</x:f>
        <x:v>600</x:v>
      </x:c>
      <x:c r="D770" s="50" t="n">
        <x:f>IF(B770=1,0,D769+E769)</x:f>
        <x:v>8000</x:v>
      </x:c>
      <x:c r="E770" s="50" t="n">
        <x:f>MIN(C770,MAX(0,Inputs!$B$7-D770))</x:f>
        <x:v>0</x:v>
      </x:c>
      <x:c r="F770" s="50" t="n">
        <x:f>MIN(C770-E770,MAX(0,Inputs!$B$20-O770))</x:f>
        <x:v>600</x:v>
      </x:c>
      <x:c r="G770" s="50" t="n">
        <x:f>0</x:f>
        <x:v>0</x:v>
      </x:c>
      <x:c r="H770" s="41" t="n">
        <x:f>0</x:f>
        <x:v>0</x:v>
      </x:c>
      <x:c r="I770" s="50" t="n">
        <x:f>(I769*(1+Inputs!$B$12))+E770</x:f>
        <x:v>687864.3652614121</x:v>
      </x:c>
      <x:c r="J770" s="50" t="n">
        <x:f>(J769*(1+Inputs!$B$12))+F770+P770</x:f>
        <x:v>812629.1855614741</x:v>
      </x:c>
      <x:c r="K770" s="50" t="n">
        <x:f>(K769*(1+Inputs!$B$12))*(1-H770)</x:f>
        <x:v>0</x:v>
      </x:c>
      <x:c r="L770" s="50" t="n">
        <x:f>L769*(1+Inputs!$B$13)+Q770</x:f>
        <x:v>52364.92540886832</x:v>
      </x:c>
      <x:c r="M770" s="50" t="n">
        <x:f>I770+J770+L770</x:f>
        <x:v>1552858.4762317545</x:v>
      </x:c>
      <x:c r="N770" s="50" t="n">
        <x:f>F770+P770</x:f>
        <x:v>600</x:v>
      </x:c>
      <x:c r="O770" s="50" t="n">
        <x:f>IF(B770=1,0,O769+F769+P769)</x:f>
        <x:v>3657.1428571428655</x:v>
      </x:c>
      <x:c r="P770" s="50" t="n">
        <x:f>MIN(G770,MAX(0,Inputs!$B$20-O770-F770))</x:f>
        <x:v>0</x:v>
      </x:c>
      <x:c r="Q770" s="50" t="n">
        <x:f>(C770-E770-F770)+(G770-P770)</x:f>
        <x:v>0</x:v>
      </x:c>
    </x:row>
    <x:row r="771">
      <x:c r="A771" s="41" t="n">
        <x:f>IF(B771=1,A770+1,A770)</x:f>
        <x:v>2056</x:v>
      </x:c>
      <x:c r="B771" s="41" t="n">
        <x:f>IF(B770=26,1,B770+1)</x:f>
        <x:v>16</x:v>
      </x:c>
      <x:c r="C771" s="48" t="n">
        <x:f>Inputs!$F$32</x:f>
        <x:v>600</x:v>
      </x:c>
      <x:c r="D771" s="50" t="n">
        <x:f>IF(B771=1,0,D770+E770)</x:f>
        <x:v>8000</x:v>
      </x:c>
      <x:c r="E771" s="50" t="n">
        <x:f>MIN(C771,MAX(0,Inputs!$B$7-D771))</x:f>
        <x:v>0</x:v>
      </x:c>
      <x:c r="F771" s="50" t="n">
        <x:f>MIN(C771-E771,MAX(0,Inputs!$B$20-O771))</x:f>
        <x:v>600</x:v>
      </x:c>
      <x:c r="G771" s="50" t="n">
        <x:f>0</x:f>
        <x:v>0</x:v>
      </x:c>
      <x:c r="H771" s="41" t="n">
        <x:f>0</x:f>
        <x:v>0</x:v>
      </x:c>
      <x:c r="I771" s="50" t="n">
        <x:f>(I770*(1+Inputs!$B$12))+E771</x:f>
        <x:v>689156.3854301695</x:v>
      </x:c>
      <x:c r="J771" s="50" t="n">
        <x:f>(J770*(1+Inputs!$B$12))+F771+P771</x:f>
        <x:v>814755.5523141221</x:v>
      </x:c>
      <x:c r="K771" s="50" t="n">
        <x:f>(K770*(1+Inputs!$B$12))*(1-H771)</x:f>
        <x:v>0</x:v>
      </x:c>
      <x:c r="L771" s="50" t="n">
        <x:f>L770*(1+Inputs!$B$13)+Q771</x:f>
        <x:v>52456.54592883887</x:v>
      </x:c>
      <x:c r="M771" s="50" t="n">
        <x:f>I771+J771+L771</x:f>
        <x:v>1556368.4836731304</x:v>
      </x:c>
      <x:c r="N771" s="50" t="n">
        <x:f>F771+P771</x:f>
        <x:v>600</x:v>
      </x:c>
      <x:c r="O771" s="50" t="n">
        <x:f>IF(B771=1,0,O770+F770+P770)</x:f>
        <x:v>4257.142857142866</x:v>
      </x:c>
      <x:c r="P771" s="50" t="n">
        <x:f>MIN(G771,MAX(0,Inputs!$B$20-O771-F771))</x:f>
        <x:v>0</x:v>
      </x:c>
      <x:c r="Q771" s="50" t="n">
        <x:f>(C771-E771-F771)+(G771-P771)</x:f>
        <x:v>0</x:v>
      </x:c>
    </x:row>
    <x:row r="772">
      <x:c r="A772" s="41" t="n">
        <x:f>IF(B772=1,A771+1,A771)</x:f>
        <x:v>2056</x:v>
      </x:c>
      <x:c r="B772" s="41" t="n">
        <x:f>IF(B771=26,1,B771+1)</x:f>
        <x:v>17</x:v>
      </x:c>
      <x:c r="C772" s="48" t="n">
        <x:f>Inputs!$F$32</x:f>
        <x:v>600</x:v>
      </x:c>
      <x:c r="D772" s="50" t="n">
        <x:f>IF(B772=1,0,D771+E771)</x:f>
        <x:v>8000</x:v>
      </x:c>
      <x:c r="E772" s="50" t="n">
        <x:f>MIN(C772,MAX(0,Inputs!$B$7-D772))</x:f>
        <x:v>0</x:v>
      </x:c>
      <x:c r="F772" s="50" t="n">
        <x:f>MIN(C772-E772,MAX(0,Inputs!$B$20-O772))</x:f>
        <x:v>600</x:v>
      </x:c>
      <x:c r="G772" s="50" t="n">
        <x:f>0</x:f>
        <x:v>0</x:v>
      </x:c>
      <x:c r="H772" s="41" t="n">
        <x:f>0</x:f>
        <x:v>0</x:v>
      </x:c>
      <x:c r="I772" s="50" t="n">
        <x:f>(I771*(1+Inputs!$B$12))+E772</x:f>
        <x:v>690450.8324089214</x:v>
      </x:c>
      <x:c r="J772" s="50" t="n">
        <x:f>(J771*(1+Inputs!$B$12))+F772+P772</x:f>
        <x:v>816885.9130354497</x:v>
      </x:c>
      <x:c r="K772" s="50" t="n">
        <x:f>(K771*(1+Inputs!$B$12))*(1-H772)</x:f>
        <x:v>0</x:v>
      </x:c>
      <x:c r="L772" s="50" t="n">
        <x:f>L771*(1+Inputs!$B$13)+Q772</x:f>
        <x:v>52548.32675305149</x:v>
      </x:c>
      <x:c r="M772" s="50" t="n">
        <x:f>I772+J772+L772</x:f>
        <x:v>1559885.0721974226</x:v>
      </x:c>
      <x:c r="N772" s="50" t="n">
        <x:f>F772+P772</x:f>
        <x:v>600</x:v>
      </x:c>
      <x:c r="O772" s="50" t="n">
        <x:f>IF(B772=1,0,O771+F771+P771)</x:f>
        <x:v>4857.142857142866</x:v>
      </x:c>
      <x:c r="P772" s="50" t="n">
        <x:f>MIN(G772,MAX(0,Inputs!$B$20-O772-F772))</x:f>
        <x:v>0</x:v>
      </x:c>
      <x:c r="Q772" s="50" t="n">
        <x:f>(C772-E772-F772)+(G772-P772)</x:f>
        <x:v>0</x:v>
      </x:c>
    </x:row>
    <x:row r="773">
      <x:c r="A773" s="41" t="n">
        <x:f>IF(B773=1,A772+1,A772)</x:f>
        <x:v>2056</x:v>
      </x:c>
      <x:c r="B773" s="41" t="n">
        <x:f>IF(B772=26,1,B772+1)</x:f>
        <x:v>18</x:v>
      </x:c>
      <x:c r="C773" s="48" t="n">
        <x:f>Inputs!$F$32</x:f>
        <x:v>600</x:v>
      </x:c>
      <x:c r="D773" s="50" t="n">
        <x:f>IF(B773=1,0,D772+E772)</x:f>
        <x:v>8000</x:v>
      </x:c>
      <x:c r="E773" s="50" t="n">
        <x:f>MIN(C773,MAX(0,Inputs!$B$7-D773))</x:f>
        <x:v>0</x:v>
      </x:c>
      <x:c r="F773" s="50" t="n">
        <x:f>MIN(C773-E773,MAX(0,Inputs!$B$20-O773))</x:f>
        <x:v>600</x:v>
      </x:c>
      <x:c r="G773" s="50" t="n">
        <x:f>0</x:f>
        <x:v>0</x:v>
      </x:c>
      <x:c r="H773" s="41" t="n">
        <x:f>0</x:f>
        <x:v>0</x:v>
      </x:c>
      <x:c r="I773" s="50" t="n">
        <x:f>(I772*(1+Inputs!$B$12))+E773</x:f>
        <x:v>691747.7107559611</x:v>
      </x:c>
      <x:c r="J773" s="50" t="n">
        <x:f>(J772*(1+Inputs!$B$12))+F773+P773</x:f>
        <x:v>819020.2752273544</x:v>
      </x:c>
      <x:c r="K773" s="50" t="n">
        <x:f>(K772*(1+Inputs!$B$12))*(1-H773)</x:f>
        <x:v>0</x:v>
      </x:c>
      <x:c r="L773" s="50" t="n">
        <x:f>L772*(1+Inputs!$B$13)+Q773</x:f>
        <x:v>52640.26816198323</x:v>
      </x:c>
      <x:c r="M773" s="50" t="n">
        <x:f>I773+J773+L773</x:f>
        <x:v>1563408.2541452986</x:v>
      </x:c>
      <x:c r="N773" s="50" t="n">
        <x:f>F773+P773</x:f>
        <x:v>600</x:v>
      </x:c>
      <x:c r="O773" s="50" t="n">
        <x:f>IF(B773=1,0,O772+F772+P772)</x:f>
        <x:v>5457.142857142866</x:v>
      </x:c>
      <x:c r="P773" s="50" t="n">
        <x:f>MIN(G773,MAX(0,Inputs!$B$20-O773-F773))</x:f>
        <x:v>0</x:v>
      </x:c>
      <x:c r="Q773" s="50" t="n">
        <x:f>(C773-E773-F773)+(G773-P773)</x:f>
        <x:v>0</x:v>
      </x:c>
    </x:row>
    <x:row r="774">
      <x:c r="A774" s="41" t="n">
        <x:f>IF(B774=1,A773+1,A773)</x:f>
        <x:v>2056</x:v>
      </x:c>
      <x:c r="B774" s="41" t="n">
        <x:f>IF(B773=26,1,B773+1)</x:f>
        <x:v>19</x:v>
      </x:c>
      <x:c r="C774" s="48" t="n">
        <x:f>Inputs!$F$32</x:f>
        <x:v>600</x:v>
      </x:c>
      <x:c r="D774" s="50" t="n">
        <x:f>IF(B774=1,0,D773+E773)</x:f>
        <x:v>8000</x:v>
      </x:c>
      <x:c r="E774" s="50" t="n">
        <x:f>MIN(C774,MAX(0,Inputs!$B$7-D774))</x:f>
        <x:v>0</x:v>
      </x:c>
      <x:c r="F774" s="50" t="n">
        <x:f>MIN(C774-E774,MAX(0,Inputs!$B$20-O774))</x:f>
        <x:v>600</x:v>
      </x:c>
      <x:c r="G774" s="50" t="n">
        <x:f>0</x:f>
        <x:v>0</x:v>
      </x:c>
      <x:c r="H774" s="41" t="n">
        <x:f>0</x:f>
        <x:v>0</x:v>
      </x:c>
      <x:c r="I774" s="50" t="n">
        <x:f>(I773*(1+Inputs!$B$12))+E774</x:f>
        <x:v>693047.0250381436</x:v>
      </x:c>
      <x:c r="J774" s="50" t="n">
        <x:f>(J773*(1+Inputs!$B$12))+F774+P774</x:f>
        <x:v>821158.6464058248</x:v>
      </x:c>
      <x:c r="K774" s="50" t="n">
        <x:f>(K773*(1+Inputs!$B$12))*(1-H774)</x:f>
        <x:v>0</x:v>
      </x:c>
      <x:c r="L774" s="50" t="n">
        <x:f>L773*(1+Inputs!$B$13)+Q774</x:f>
        <x:v>52732.37043660182</x:v>
      </x:c>
      <x:c r="M774" s="50" t="n">
        <x:f>I774+J774+L774</x:f>
        <x:v>1566938.0418805704</x:v>
      </x:c>
      <x:c r="N774" s="50" t="n">
        <x:f>F774+P774</x:f>
        <x:v>600</x:v>
      </x:c>
      <x:c r="O774" s="50" t="n">
        <x:f>IF(B774=1,0,O773+F773+P773)</x:f>
        <x:v>6057.142857142866</x:v>
      </x:c>
      <x:c r="P774" s="50" t="n">
        <x:f>MIN(G774,MAX(0,Inputs!$B$20-O774-F774))</x:f>
        <x:v>0</x:v>
      </x:c>
      <x:c r="Q774" s="50" t="n">
        <x:f>(C774-E774-F774)+(G774-P774)</x:f>
        <x:v>0</x:v>
      </x:c>
    </x:row>
    <x:row r="775">
      <x:c r="A775" s="41" t="n">
        <x:f>IF(B775=1,A774+1,A774)</x:f>
        <x:v>2056</x:v>
      </x:c>
      <x:c r="B775" s="41" t="n">
        <x:f>IF(B774=26,1,B774+1)</x:f>
        <x:v>20</x:v>
      </x:c>
      <x:c r="C775" s="48" t="n">
        <x:f>Inputs!$F$32</x:f>
        <x:v>600</x:v>
      </x:c>
      <x:c r="D775" s="50" t="n">
        <x:f>IF(B775=1,0,D774+E774)</x:f>
        <x:v>8000</x:v>
      </x:c>
      <x:c r="E775" s="50" t="n">
        <x:f>MIN(C775,MAX(0,Inputs!$B$7-D775))</x:f>
        <x:v>0</x:v>
      </x:c>
      <x:c r="F775" s="50" t="n">
        <x:f>MIN(C775-E775,MAX(0,Inputs!$B$20-O775))</x:f>
        <x:v>600</x:v>
      </x:c>
      <x:c r="G775" s="50" t="n">
        <x:f>0</x:f>
        <x:v>0</x:v>
      </x:c>
      <x:c r="H775" s="41" t="n">
        <x:f>0</x:f>
        <x:v>0</x:v>
      </x:c>
      <x:c r="I775" s="50" t="n">
        <x:f>(I774*(1+Inputs!$B$12))+E775</x:f>
        <x:v>694348.7798309019</x:v>
      </x:c>
      <x:c r="J775" s="50" t="n">
        <x:f>(J774*(1+Inputs!$B$12))+F775+P775</x:f>
        <x:v>823301.0341009669</x:v>
      </x:c>
      <x:c r="K775" s="50" t="n">
        <x:f>(K774*(1+Inputs!$B$12))*(1-H775)</x:f>
        <x:v>0</x:v>
      </x:c>
      <x:c r="L775" s="50" t="n">
        <x:f>L774*(1+Inputs!$B$13)+Q775</x:f>
        <x:v>52824.63385836662</x:v>
      </x:c>
      <x:c r="M775" s="50" t="n">
        <x:f>I775+J775+L775</x:f>
        <x:v>1570474.4477902355</x:v>
      </x:c>
      <x:c r="N775" s="50" t="n">
        <x:f>F775+P775</x:f>
        <x:v>600</x:v>
      </x:c>
      <x:c r="O775" s="50" t="n">
        <x:f>IF(B775=1,0,O774+F774+P774)</x:f>
        <x:v>6657.142857142866</x:v>
      </x:c>
      <x:c r="P775" s="50" t="n">
        <x:f>MIN(G775,MAX(0,Inputs!$B$20-O775-F775))</x:f>
        <x:v>0</x:v>
      </x:c>
      <x:c r="Q775" s="50" t="n">
        <x:f>(C775-E775-F775)+(G775-P775)</x:f>
        <x:v>0</x:v>
      </x:c>
    </x:row>
    <x:row r="776">
      <x:c r="A776" s="41" t="n">
        <x:f>IF(B776=1,A775+1,A775)</x:f>
        <x:v>2056</x:v>
      </x:c>
      <x:c r="B776" s="41" t="n">
        <x:f>IF(B775=26,1,B775+1)</x:f>
        <x:v>21</x:v>
      </x:c>
      <x:c r="C776" s="48" t="n">
        <x:f>Inputs!$F$32</x:f>
        <x:v>600</x:v>
      </x:c>
      <x:c r="D776" s="50" t="n">
        <x:f>IF(B776=1,0,D775+E775)</x:f>
        <x:v>8000</x:v>
      </x:c>
      <x:c r="E776" s="50" t="n">
        <x:f>MIN(C776,MAX(0,Inputs!$B$7-D776))</x:f>
        <x:v>0</x:v>
      </x:c>
      <x:c r="F776" s="50" t="n">
        <x:f>MIN(C776-E776,MAX(0,Inputs!$B$20-O776))</x:f>
        <x:v>600</x:v>
      </x:c>
      <x:c r="G776" s="50" t="n">
        <x:f>0</x:f>
        <x:v>0</x:v>
      </x:c>
      <x:c r="H776" s="41" t="n">
        <x:f>0</x:f>
        <x:v>0</x:v>
      </x:c>
      <x:c r="I776" s="50" t="n">
        <x:f>(I775*(1+Inputs!$B$12))+E776</x:f>
        <x:v>695652.979718263</x:v>
      </x:c>
      <x:c r="J776" s="50" t="n">
        <x:f>(J775*(1+Inputs!$B$12))+F776+P776</x:f>
        <x:v>825447.4458570302</x:v>
      </x:c>
      <x:c r="K776" s="50" t="n">
        <x:f>(K775*(1+Inputs!$B$12))*(1-H776)</x:f>
        <x:v>0</x:v>
      </x:c>
      <x:c r="L776" s="50" t="n">
        <x:f>L775*(1+Inputs!$B$13)+Q776</x:f>
        <x:v>52917.05870922944</x:v>
      </x:c>
      <x:c r="M776" s="50" t="n">
        <x:f>I776+J776+L776</x:f>
        <x:v>1574017.4842845225</x:v>
      </x:c>
      <x:c r="N776" s="50" t="n">
        <x:f>F776+P776</x:f>
        <x:v>600</x:v>
      </x:c>
      <x:c r="O776" s="50" t="n">
        <x:f>IF(B776=1,0,O775+F775+P775)</x:f>
        <x:v>7257.142857142866</x:v>
      </x:c>
      <x:c r="P776" s="50" t="n">
        <x:f>MIN(G776,MAX(0,Inputs!$B$20-O776-F776))</x:f>
        <x:v>0</x:v>
      </x:c>
      <x:c r="Q776" s="50" t="n">
        <x:f>(C776-E776-F776)+(G776-P776)</x:f>
        <x:v>0</x:v>
      </x:c>
    </x:row>
    <x:row r="777">
      <x:c r="A777" s="41" t="n">
        <x:f>IF(B777=1,A776+1,A776)</x:f>
        <x:v>2056</x:v>
      </x:c>
      <x:c r="B777" s="41" t="n">
        <x:f>IF(B776=26,1,B776+1)</x:f>
        <x:v>22</x:v>
      </x:c>
      <x:c r="C777" s="48" t="n">
        <x:f>Inputs!$F$32</x:f>
        <x:v>600</x:v>
      </x:c>
      <x:c r="D777" s="50" t="n">
        <x:f>IF(B777=1,0,D776+E776)</x:f>
        <x:v>8000</x:v>
      </x:c>
      <x:c r="E777" s="50" t="n">
        <x:f>MIN(C777,MAX(0,Inputs!$B$7-D777))</x:f>
        <x:v>0</x:v>
      </x:c>
      <x:c r="F777" s="50" t="n">
        <x:f>MIN(C777-E777,MAX(0,Inputs!$B$20-O777))</x:f>
        <x:v>600</x:v>
      </x:c>
      <x:c r="G777" s="50" t="n">
        <x:f>0</x:f>
        <x:v>0</x:v>
      </x:c>
      <x:c r="H777" s="41" t="n">
        <x:f>0</x:f>
        <x:v>0</x:v>
      </x:c>
      <x:c r="I777" s="50" t="n">
        <x:f>(I776*(1+Inputs!$B$12))+E777</x:f>
        <x:v>696959.6292928644</x:v>
      </x:c>
      <x:c r="J777" s="50" t="n">
        <x:f>(J776*(1+Inputs!$B$12))+F777+P777</x:f>
        <x:v>827597.889232435</x:v>
      </x:c>
      <x:c r="K777" s="50" t="n">
        <x:f>(K776*(1+Inputs!$B$12))*(1-H777)</x:f>
        <x:v>0</x:v>
      </x:c>
      <x:c r="L777" s="50" t="n">
        <x:f>L776*(1+Inputs!$B$13)+Q777</x:f>
        <x:v>53009.64527163539</x:v>
      </x:c>
      <x:c r="M777" s="50" t="n">
        <x:f>I777+J777+L777</x:f>
        <x:v>1577567.1637969348</x:v>
      </x:c>
      <x:c r="N777" s="50" t="n">
        <x:f>F777+P777</x:f>
        <x:v>600</x:v>
      </x:c>
      <x:c r="O777" s="50" t="n">
        <x:f>IF(B777=1,0,O776+F776+P776)</x:f>
        <x:v>7857.142857142866</x:v>
      </x:c>
      <x:c r="P777" s="50" t="n">
        <x:f>MIN(G777,MAX(0,Inputs!$B$20-O777-F777))</x:f>
        <x:v>0</x:v>
      </x:c>
      <x:c r="Q777" s="50" t="n">
        <x:f>(C777-E777-F777)+(G777-P777)</x:f>
        <x:v>0</x:v>
      </x:c>
    </x:row>
    <x:row r="778">
      <x:c r="A778" s="41" t="n">
        <x:f>IF(B778=1,A777+1,A777)</x:f>
        <x:v>2056</x:v>
      </x:c>
      <x:c r="B778" s="41" t="n">
        <x:f>IF(B777=26,1,B777+1)</x:f>
        <x:v>23</x:v>
      </x:c>
      <x:c r="C778" s="48" t="n">
        <x:f>Inputs!$F$32</x:f>
        <x:v>600</x:v>
      </x:c>
      <x:c r="D778" s="50" t="n">
        <x:f>IF(B778=1,0,D777+E777)</x:f>
        <x:v>8000</x:v>
      </x:c>
      <x:c r="E778" s="50" t="n">
        <x:f>MIN(C778,MAX(0,Inputs!$B$7-D778))</x:f>
        <x:v>0</x:v>
      </x:c>
      <x:c r="F778" s="50" t="n">
        <x:f>MIN(C778-E778,MAX(0,Inputs!$B$20-O778))</x:f>
        <x:v>600</x:v>
      </x:c>
      <x:c r="G778" s="50" t="n">
        <x:f>0</x:f>
        <x:v>0</x:v>
      </x:c>
      <x:c r="H778" s="41" t="n">
        <x:f>0</x:f>
        <x:v>0</x:v>
      </x:c>
      <x:c r="I778" s="50" t="n">
        <x:f>(I777*(1+Inputs!$B$12))+E778</x:f>
        <x:v>698268.7331559695</x:v>
      </x:c>
      <x:c r="J778" s="50" t="n">
        <x:f>(J777*(1+Inputs!$B$12))+F778+P778</x:f>
        <x:v>829752.3717997986</x:v>
      </x:c>
      <x:c r="K778" s="50" t="n">
        <x:f>(K777*(1+Inputs!$B$12))*(1-H778)</x:f>
        <x:v>0</x:v>
      </x:c>
      <x:c r="L778" s="50" t="n">
        <x:f>L777*(1+Inputs!$B$13)+Q778</x:f>
        <x:v>53102.39382852379</x:v>
      </x:c>
      <x:c r="M778" s="50" t="n">
        <x:f>I778+J778+L778</x:f>
        <x:v>1581123.498784292</x:v>
      </x:c>
      <x:c r="N778" s="50" t="n">
        <x:f>F778+P778</x:f>
        <x:v>600</x:v>
      </x:c>
      <x:c r="O778" s="50" t="n">
        <x:f>IF(B778=1,0,O777+F777+P777)</x:f>
        <x:v>8457.142857142866</x:v>
      </x:c>
      <x:c r="P778" s="50" t="n">
        <x:f>MIN(G778,MAX(0,Inputs!$B$20-O778-F778))</x:f>
        <x:v>0</x:v>
      </x:c>
      <x:c r="Q778" s="50" t="n">
        <x:f>(C778-E778-F778)+(G778-P778)</x:f>
        <x:v>0</x:v>
      </x:c>
    </x:row>
    <x:row r="779">
      <x:c r="A779" s="41" t="n">
        <x:f>IF(B779=1,A778+1,A778)</x:f>
        <x:v>2056</x:v>
      </x:c>
      <x:c r="B779" s="41" t="n">
        <x:f>IF(B778=26,1,B778+1)</x:f>
        <x:v>24</x:v>
      </x:c>
      <x:c r="C779" s="48" t="n">
        <x:f>Inputs!$F$32</x:f>
        <x:v>600</x:v>
      </x:c>
      <x:c r="D779" s="50" t="n">
        <x:f>IF(B779=1,0,D778+E778)</x:f>
        <x:v>8000</x:v>
      </x:c>
      <x:c r="E779" s="50" t="n">
        <x:f>MIN(C779,MAX(0,Inputs!$B$7-D779))</x:f>
        <x:v>0</x:v>
      </x:c>
      <x:c r="F779" s="50" t="n">
        <x:f>MIN(C779-E779,MAX(0,Inputs!$B$20-O779))</x:f>
        <x:v>600</x:v>
      </x:c>
      <x:c r="G779" s="50" t="n">
        <x:f>0</x:f>
        <x:v>0</x:v>
      </x:c>
      <x:c r="H779" s="41" t="n">
        <x:f>0</x:f>
        <x:v>0</x:v>
      </x:c>
      <x:c r="I779" s="50" t="n">
        <x:f>(I778*(1+Inputs!$B$12))+E779</x:f>
        <x:v>699580.2959174848</x:v>
      </x:c>
      <x:c r="J779" s="50" t="n">
        <x:f>(J778*(1+Inputs!$B$12))+F779+P779</x:f>
        <x:v>831910.9011459616</x:v>
      </x:c>
      <x:c r="K779" s="50" t="n">
        <x:f>(K778*(1+Inputs!$B$12))*(1-H779)</x:f>
        <x:v>0</x:v>
      </x:c>
      <x:c r="L779" s="50" t="n">
        <x:f>L778*(1+Inputs!$B$13)+Q779</x:f>
        <x:v>53195.304663328985</x:v>
      </x:c>
      <x:c r="M779" s="50" t="n">
        <x:f>I779+J779+L779</x:f>
        <x:v>1584686.5017267754</x:v>
      </x:c>
      <x:c r="N779" s="50" t="n">
        <x:f>F779+P779</x:f>
        <x:v>600</x:v>
      </x:c>
      <x:c r="O779" s="50" t="n">
        <x:f>IF(B779=1,0,O778+F778+P778)</x:f>
        <x:v>9057.142857142866</x:v>
      </x:c>
      <x:c r="P779" s="50" t="n">
        <x:f>MIN(G779,MAX(0,Inputs!$B$20-O779-F779))</x:f>
        <x:v>0</x:v>
      </x:c>
      <x:c r="Q779" s="50" t="n">
        <x:f>(C779-E779-F779)+(G779-P779)</x:f>
        <x:v>0</x:v>
      </x:c>
    </x:row>
    <x:row r="780">
      <x:c r="A780" s="41" t="n">
        <x:f>IF(B780=1,A779+1,A779)</x:f>
        <x:v>2056</x:v>
      </x:c>
      <x:c r="B780" s="41" t="n">
        <x:f>IF(B779=26,1,B779+1)</x:f>
        <x:v>25</x:v>
      </x:c>
      <x:c r="C780" s="48" t="n">
        <x:f>Inputs!$F$32</x:f>
        <x:v>600</x:v>
      </x:c>
      <x:c r="D780" s="50" t="n">
        <x:f>IF(B780=1,0,D779+E779)</x:f>
        <x:v>8000</x:v>
      </x:c>
      <x:c r="E780" s="50" t="n">
        <x:f>MIN(C780,MAX(0,Inputs!$B$7-D780))</x:f>
        <x:v>0</x:v>
      </x:c>
      <x:c r="F780" s="50" t="n">
        <x:f>MIN(C780-E780,MAX(0,Inputs!$B$20-O780))</x:f>
        <x:v>600</x:v>
      </x:c>
      <x:c r="G780" s="50" t="n">
        <x:f>0</x:f>
        <x:v>0</x:v>
      </x:c>
      <x:c r="H780" s="41" t="n">
        <x:f>0</x:f>
        <x:v>0</x:v>
      </x:c>
      <x:c r="I780" s="50" t="n">
        <x:f>(I779*(1+Inputs!$B$12))+E780</x:f>
        <x:v>700894.3221959753</x:v>
      </x:c>
      <x:c r="J780" s="50" t="n">
        <x:f>(J779*(1+Inputs!$B$12))+F780+P780</x:f>
        <x:v>834073.4848720153</x:v>
      </x:c>
      <x:c r="K780" s="50" t="n">
        <x:f>(K779*(1+Inputs!$B$12))*(1-H780)</x:f>
        <x:v>0</x:v>
      </x:c>
      <x:c r="L780" s="50" t="n">
        <x:f>L779*(1+Inputs!$B$13)+Q780</x:f>
        <x:v>53288.378059981245</x:v>
      </x:c>
      <x:c r="M780" s="50" t="n">
        <x:f>I780+J780+L780</x:f>
        <x:v>1588256.185127972</x:v>
      </x:c>
      <x:c r="N780" s="50" t="n">
        <x:f>F780+P780</x:f>
        <x:v>600</x:v>
      </x:c>
      <x:c r="O780" s="50" t="n">
        <x:f>IF(B780=1,0,O779+F779+P779)</x:f>
        <x:v>9657.142857142866</x:v>
      </x:c>
      <x:c r="P780" s="50" t="n">
        <x:f>MIN(G780,MAX(0,Inputs!$B$20-O780-F780))</x:f>
        <x:v>0</x:v>
      </x:c>
      <x:c r="Q780" s="50" t="n">
        <x:f>(C780-E780-F780)+(G780-P780)</x:f>
        <x:v>0</x:v>
      </x:c>
    </x:row>
    <x:row r="781">
      <x:c r="A781" s="41" t="n">
        <x:f>IF(B781=1,A780+1,A780)</x:f>
        <x:v>2056</x:v>
      </x:c>
      <x:c r="B781" s="41" t="n">
        <x:f>IF(B780=26,1,B780+1)</x:f>
        <x:v>26</x:v>
      </x:c>
      <x:c r="C781" s="48" t="n">
        <x:f>Inputs!$F$32</x:f>
        <x:v>600</x:v>
      </x:c>
      <x:c r="D781" s="50" t="n">
        <x:f>IF(B781=1,0,D780+E780)</x:f>
        <x:v>8000</x:v>
      </x:c>
      <x:c r="E781" s="50" t="n">
        <x:f>MIN(C781,MAX(0,Inputs!$B$7-D781))</x:f>
        <x:v>0</x:v>
      </x:c>
      <x:c r="F781" s="50" t="n">
        <x:f>MIN(C781-E781,MAX(0,Inputs!$B$20-O781))</x:f>
        <x:v>600</x:v>
      </x:c>
      <x:c r="G781" s="50" t="n">
        <x:f>0</x:f>
        <x:v>0</x:v>
      </x:c>
      <x:c r="H781" s="41" t="n">
        <x:f>IF(A781=Inputs!$B$8,1,0)</x:f>
        <x:v>0</x:v>
      </x:c>
      <x:c r="I781" s="50" t="n">
        <x:f>(I780*(1+Inputs!$B$12))+E781</x:f>
        <x:v>702210.8166186813</x:v>
      </x:c>
      <x:c r="J781" s="50" t="n">
        <x:f>(J780*(1+Inputs!$B$12))+F781+P781</x:f>
        <x:v>836240.1305933283</x:v>
      </x:c>
      <x:c r="K781" s="50" t="n">
        <x:f>(K780*(1+Inputs!$B$12))*(1-H781)</x:f>
        <x:v>0</x:v>
      </x:c>
      <x:c r="L781" s="50" t="n">
        <x:f>L780*(1+Inputs!$B$13)+Q781</x:f>
        <x:v>53381.61430290761</x:v>
      </x:c>
      <x:c r="M781" s="50" t="n">
        <x:f>I781+J781+L781</x:f>
        <x:v>1591832.5615149173</x:v>
      </x:c>
      <x:c r="N781" s="50" t="n">
        <x:f>F781+P781</x:f>
        <x:v>600</x:v>
      </x:c>
      <x:c r="O781" s="50" t="n">
        <x:f>IF(B781=1,0,O780+F780+P780)</x:f>
        <x:v>10257.142857142866</x:v>
      </x:c>
      <x:c r="P781" s="50" t="n">
        <x:f>MIN(G781,MAX(0,Inputs!$B$20-O781-F781))</x:f>
        <x:v>0</x:v>
      </x:c>
      <x:c r="Q781" s="50" t="n">
        <x:f>(C781-E781-F781)+(G781-P781)</x:f>
        <x:v>0</x:v>
      </x:c>
    </x:row>
    <x:row r="782">
      <x:c r="A782" s="41" t="n">
        <x:f>IF(B782=1,A781+1,A781)</x:f>
        <x:v>2057</x:v>
      </x:c>
      <x:c r="B782" s="41" t="n">
        <x:f>IF(B781=26,1,B781+1)</x:f>
        <x:v>1</x:v>
      </x:c>
      <x:c r="C782" s="48" t="n">
        <x:f>Inputs!$F$33</x:f>
        <x:v>600</x:v>
      </x:c>
      <x:c r="D782" s="50" t="n">
        <x:f>IF(B782=1,0,D781+E781)</x:f>
        <x:v>0</x:v>
      </x:c>
      <x:c r="E782" s="50" t="n">
        <x:f>MIN(C782,MAX(0,Inputs!$B$7-D782))</x:f>
        <x:v>600</x:v>
      </x:c>
      <x:c r="F782" s="50" t="n">
        <x:f>MIN(C782-E782,MAX(0,Inputs!$B$20-O782))</x:f>
        <x:v>0</x:v>
      </x:c>
      <x:c r="G782" s="50" t="n">
        <x:f>0</x:f>
        <x:v>0</x:v>
      </x:c>
      <x:c r="H782" s="41" t="n">
        <x:f>0</x:f>
        <x:v>0</x:v>
      </x:c>
      <x:c r="I782" s="50" t="n">
        <x:f>(I781*(1+Inputs!$B$12))+E782</x:f>
        <x:v>704129.7838215341</x:v>
      </x:c>
      <x:c r="J782" s="50" t="n">
        <x:f>(J781*(1+Inputs!$B$12))+F782+P782</x:f>
        <x:v>837810.8459395729</x:v>
      </x:c>
      <x:c r="K782" s="50" t="n">
        <x:f>(K781*(1+Inputs!$B$12))*(1-H782)</x:f>
        <x:v>0</x:v>
      </x:c>
      <x:c r="L782" s="50" t="n">
        <x:f>L781*(1+Inputs!$B$13)+Q782</x:f>
        <x:v>53475.01367703277</x:v>
      </x:c>
      <x:c r="M782" s="50" t="n">
        <x:f>I782+J782+L782</x:f>
        <x:v>1595415.6434381397</x:v>
      </x:c>
      <x:c r="N782" s="50" t="n">
        <x:f>F782+P782</x:f>
        <x:v>0</x:v>
      </x:c>
      <x:c r="O782" s="50" t="n">
        <x:f>IF(B782=1,0,O781+F781+P781)</x:f>
        <x:v>0</x:v>
      </x:c>
      <x:c r="P782" s="50" t="n">
        <x:f>MIN(G782,MAX(0,Inputs!$B$20-O782-F782))</x:f>
        <x:v>0</x:v>
      </x:c>
      <x:c r="Q782" s="50" t="n">
        <x:f>(C782-E782-F782)+(G782-P782)</x:f>
        <x:v>0</x:v>
      </x:c>
    </x:row>
    <x:row r="783">
      <x:c r="A783" s="41" t="n">
        <x:f>IF(B783=1,A782+1,A782)</x:f>
        <x:v>2057</x:v>
      </x:c>
      <x:c r="B783" s="41" t="n">
        <x:f>IF(B782=26,1,B782+1)</x:f>
        <x:v>2</x:v>
      </x:c>
      <x:c r="C783" s="48" t="n">
        <x:f>Inputs!$F$33</x:f>
        <x:v>600</x:v>
      </x:c>
      <x:c r="D783" s="50" t="n">
        <x:f>IF(B783=1,0,D782+E782)</x:f>
        <x:v>600</x:v>
      </x:c>
      <x:c r="E783" s="50" t="n">
        <x:f>MIN(C783,MAX(0,Inputs!$B$7-D783))</x:f>
        <x:v>600</x:v>
      </x:c>
      <x:c r="F783" s="50" t="n">
        <x:f>MIN(C783-E783,MAX(0,Inputs!$B$20-O783))</x:f>
        <x:v>0</x:v>
      </x:c>
      <x:c r="G783" s="50" t="n">
        <x:f>0</x:f>
        <x:v>0</x:v>
      </x:c>
      <x:c r="H783" s="41" t="n">
        <x:f>0</x:f>
        <x:v>0</x:v>
      </x:c>
      <x:c r="I783" s="50" t="n">
        <x:f>(I782*(1+Inputs!$B$12))+E783</x:f>
        <x:v>706052.3554331257</x:v>
      </x:c>
      <x:c r="J783" s="50" t="n">
        <x:f>(J782*(1+Inputs!$B$12))+F783+P783</x:f>
        <x:v>839384.5115708</x:v>
      </x:c>
      <x:c r="K783" s="50" t="n">
        <x:f>(K782*(1+Inputs!$B$12))*(1-H783)</x:f>
        <x:v>0</x:v>
      </x:c>
      <x:c r="L783" s="50" t="n">
        <x:f>L782*(1+Inputs!$B$13)+Q783</x:f>
        <x:v>53568.57646777995</x:v>
      </x:c>
      <x:c r="M783" s="50" t="n">
        <x:f>I783+J783+L783</x:f>
        <x:v>1599005.4434717055</x:v>
      </x:c>
      <x:c r="N783" s="50" t="n">
        <x:f>F783+P783</x:f>
        <x:v>0</x:v>
      </x:c>
      <x:c r="O783" s="50" t="n">
        <x:f>IF(B783=1,0,O782+F782+P782)</x:f>
        <x:v>0</x:v>
      </x:c>
      <x:c r="P783" s="50" t="n">
        <x:f>MIN(G783,MAX(0,Inputs!$B$20-O783-F783))</x:f>
        <x:v>0</x:v>
      </x:c>
      <x:c r="Q783" s="50" t="n">
        <x:f>(C783-E783-F783)+(G783-P783)</x:f>
        <x:v>0</x:v>
      </x:c>
    </x:row>
    <x:row r="784">
      <x:c r="A784" s="41" t="n">
        <x:f>IF(B784=1,A783+1,A783)</x:f>
        <x:v>2057</x:v>
      </x:c>
      <x:c r="B784" s="41" t="n">
        <x:f>IF(B783=26,1,B783+1)</x:f>
        <x:v>3</x:v>
      </x:c>
      <x:c r="C784" s="48" t="n">
        <x:f>Inputs!$F$33</x:f>
        <x:v>600</x:v>
      </x:c>
      <x:c r="D784" s="50" t="n">
        <x:f>IF(B784=1,0,D783+E783)</x:f>
        <x:v>1200</x:v>
      </x:c>
      <x:c r="E784" s="50" t="n">
        <x:f>MIN(C784,MAX(0,Inputs!$B$7-D784))</x:f>
        <x:v>600</x:v>
      </x:c>
      <x:c r="F784" s="50" t="n">
        <x:f>MIN(C784-E784,MAX(0,Inputs!$B$20-O784))</x:f>
        <x:v>0</x:v>
      </x:c>
      <x:c r="G784" s="50" t="n">
        <x:f>0</x:f>
        <x:v>0</x:v>
      </x:c>
      <x:c r="H784" s="41" t="n">
        <x:f>0</x:f>
        <x:v>0</x:v>
      </x:c>
      <x:c r="I784" s="50" t="n">
        <x:f>(I783*(1+Inputs!$B$12))+E784</x:f>
        <x:v>707978.5382236409</x:v>
      </x:c>
      <x:c r="J784" s="50" t="n">
        <x:f>(J783*(1+Inputs!$B$12))+F784+P784</x:f>
        <x:v>840961.133028549</x:v>
      </x:c>
      <x:c r="K784" s="50" t="n">
        <x:f>(K783*(1+Inputs!$B$12))*(1-H784)</x:f>
        <x:v>0</x:v>
      </x:c>
      <x:c r="L784" s="50" t="n">
        <x:f>L783*(1+Inputs!$B$13)+Q784</x:f>
        <x:v>53662.30296107175</x:v>
      </x:c>
      <x:c r="M784" s="50" t="n">
        <x:f>I784+J784+L784</x:f>
        <x:v>1602601.9742132616</x:v>
      </x:c>
      <x:c r="N784" s="50" t="n">
        <x:f>F784+P784</x:f>
        <x:v>0</x:v>
      </x:c>
      <x:c r="O784" s="50" t="n">
        <x:f>IF(B784=1,0,O783+F783+P783)</x:f>
        <x:v>0</x:v>
      </x:c>
      <x:c r="P784" s="50" t="n">
        <x:f>MIN(G784,MAX(0,Inputs!$B$20-O784-F784))</x:f>
        <x:v>0</x:v>
      </x:c>
      <x:c r="Q784" s="50" t="n">
        <x:f>(C784-E784-F784)+(G784-P784)</x:f>
        <x:v>0</x:v>
      </x:c>
    </x:row>
    <x:row r="785">
      <x:c r="A785" s="41" t="n">
        <x:f>IF(B785=1,A784+1,A784)</x:f>
        <x:v>2057</x:v>
      </x:c>
      <x:c r="B785" s="41" t="n">
        <x:f>IF(B784=26,1,B784+1)</x:f>
        <x:v>4</x:v>
      </x:c>
      <x:c r="C785" s="48" t="n">
        <x:f>Inputs!$F$33</x:f>
        <x:v>600</x:v>
      </x:c>
      <x:c r="D785" s="50" t="n">
        <x:f>IF(B785=1,0,D784+E784)</x:f>
        <x:v>1800</x:v>
      </x:c>
      <x:c r="E785" s="50" t="n">
        <x:f>MIN(C785,MAX(0,Inputs!$B$7-D785))</x:f>
        <x:v>600</x:v>
      </x:c>
      <x:c r="F785" s="50" t="n">
        <x:f>MIN(C785-E785,MAX(0,Inputs!$B$20-O785))</x:f>
        <x:v>0</x:v>
      </x:c>
      <x:c r="G785" s="50" t="n">
        <x:f>0</x:f>
        <x:v>0</x:v>
      </x:c>
      <x:c r="H785" s="41" t="n">
        <x:f>0</x:f>
        <x:v>0</x:v>
      </x:c>
      <x:c r="I785" s="50" t="n">
        <x:f>(I784*(1+Inputs!$B$12))+E785</x:f>
        <x:v>709908.3389759806</x:v>
      </x:c>
      <x:c r="J785" s="50" t="n">
        <x:f>(J784*(1+Inputs!$B$12))+F785+P785</x:f>
        <x:v>842540.7158647686</x:v>
      </x:c>
      <x:c r="K785" s="50" t="n">
        <x:f>(K784*(1+Inputs!$B$12))*(1-H785)</x:f>
        <x:v>0</x:v>
      </x:c>
      <x:c r="L785" s="50" t="n">
        <x:f>L784*(1+Inputs!$B$13)+Q785</x:f>
        <x:v>53756.19344333103</x:v>
      </x:c>
      <x:c r="M785" s="50" t="n">
        <x:f>I785+J785+L785</x:f>
        <x:v>1606205.24828408</x:v>
      </x:c>
      <x:c r="N785" s="50" t="n">
        <x:f>F785+P785</x:f>
        <x:v>0</x:v>
      </x:c>
      <x:c r="O785" s="50" t="n">
        <x:f>IF(B785=1,0,O784+F784+P784)</x:f>
        <x:v>0</x:v>
      </x:c>
      <x:c r="P785" s="50" t="n">
        <x:f>MIN(G785,MAX(0,Inputs!$B$20-O785-F785))</x:f>
        <x:v>0</x:v>
      </x:c>
      <x:c r="Q785" s="50" t="n">
        <x:f>(C785-E785-F785)+(G785-P785)</x:f>
        <x:v>0</x:v>
      </x:c>
    </x:row>
    <x:row r="786">
      <x:c r="A786" s="41" t="n">
        <x:f>IF(B786=1,A785+1,A785)</x:f>
        <x:v>2057</x:v>
      </x:c>
      <x:c r="B786" s="41" t="n">
        <x:f>IF(B785=26,1,B785+1)</x:f>
        <x:v>5</x:v>
      </x:c>
      <x:c r="C786" s="48" t="n">
        <x:f>Inputs!$F$33</x:f>
        <x:v>600</x:v>
      </x:c>
      <x:c r="D786" s="50" t="n">
        <x:f>IF(B786=1,0,D785+E785)</x:f>
        <x:v>2400</x:v>
      </x:c>
      <x:c r="E786" s="50" t="n">
        <x:f>MIN(C786,MAX(0,Inputs!$B$7-D786))</x:f>
        <x:v>600</x:v>
      </x:c>
      <x:c r="F786" s="50" t="n">
        <x:f>MIN(C786-E786,MAX(0,Inputs!$B$20-O786))</x:f>
        <x:v>0</x:v>
      </x:c>
      <x:c r="G786" s="50" t="n">
        <x:f>0</x:f>
        <x:v>0</x:v>
      </x:c>
      <x:c r="H786" s="41" t="n">
        <x:f>0</x:f>
        <x:v>0</x:v>
      </x:c>
      <x:c r="I786" s="50" t="n">
        <x:f>(I785*(1+Inputs!$B$12))+E786</x:f>
        <x:v>711841.7644857867</x:v>
      </x:c>
      <x:c r="J786" s="50" t="n">
        <x:f>(J785*(1+Inputs!$B$12))+F786+P786</x:f>
        <x:v>844123.2656418354</x:v>
      </x:c>
      <x:c r="K786" s="50" t="n">
        <x:f>(K785*(1+Inputs!$B$12))*(1-H786)</x:f>
        <x:v>0</x:v>
      </x:c>
      <x:c r="L786" s="50" t="n">
        <x:f>L785*(1+Inputs!$B$13)+Q786</x:f>
        <x:v>53850.248201481816</x:v>
      </x:c>
      <x:c r="M786" s="50" t="n">
        <x:f>I786+J786+L786</x:f>
        <x:v>1609815.278329104</x:v>
      </x:c>
      <x:c r="N786" s="50" t="n">
        <x:f>F786+P786</x:f>
        <x:v>0</x:v>
      </x:c>
      <x:c r="O786" s="50" t="n">
        <x:f>IF(B786=1,0,O785+F785+P785)</x:f>
        <x:v>0</x:v>
      </x:c>
      <x:c r="P786" s="50" t="n">
        <x:f>MIN(G786,MAX(0,Inputs!$B$20-O786-F786))</x:f>
        <x:v>0</x:v>
      </x:c>
      <x:c r="Q786" s="50" t="n">
        <x:f>(C786-E786-F786)+(G786-P786)</x:f>
        <x:v>0</x:v>
      </x:c>
    </x:row>
    <x:row r="787">
      <x:c r="A787" s="41" t="n">
        <x:f>IF(B787=1,A786+1,A786)</x:f>
        <x:v>2057</x:v>
      </x:c>
      <x:c r="B787" s="41" t="n">
        <x:f>IF(B786=26,1,B786+1)</x:f>
        <x:v>6</x:v>
      </x:c>
      <x:c r="C787" s="48" t="n">
        <x:f>Inputs!$F$33</x:f>
        <x:v>600</x:v>
      </x:c>
      <x:c r="D787" s="50" t="n">
        <x:f>IF(B787=1,0,D786+E786)</x:f>
        <x:v>3000</x:v>
      </x:c>
      <x:c r="E787" s="50" t="n">
        <x:f>MIN(C787,MAX(0,Inputs!$B$7-D787))</x:f>
        <x:v>600</x:v>
      </x:c>
      <x:c r="F787" s="50" t="n">
        <x:f>MIN(C787-E787,MAX(0,Inputs!$B$20-O787))</x:f>
        <x:v>0</x:v>
      </x:c>
      <x:c r="G787" s="50" t="n">
        <x:f>0</x:f>
        <x:v>0</x:v>
      </x:c>
      <x:c r="H787" s="41" t="n">
        <x:f>0</x:f>
        <x:v>0</x:v>
      </x:c>
      <x:c r="I787" s="50" t="n">
        <x:f>(I786*(1+Inputs!$B$12))+E787</x:f>
        <x:v>713778.8215614647</x:v>
      </x:c>
      <x:c r="J787" s="50" t="n">
        <x:f>(J786*(1+Inputs!$B$12))+F787+P787</x:f>
        <x:v>845708.7879325739</x:v>
      </x:c>
      <x:c r="K787" s="50" t="n">
        <x:f>(K786*(1+Inputs!$B$12))*(1-H787)</x:f>
        <x:v>0</x:v>
      </x:c>
      <x:c r="L787" s="50" t="n">
        <x:f>L786*(1+Inputs!$B$13)+Q787</x:f>
        <x:v>53944.46752295013</x:v>
      </x:c>
      <x:c r="M787" s="50" t="n">
        <x:f>I787+J787+L787</x:f>
        <x:v>1613432.0770169888</x:v>
      </x:c>
      <x:c r="N787" s="50" t="n">
        <x:f>F787+P787</x:f>
        <x:v>0</x:v>
      </x:c>
      <x:c r="O787" s="50" t="n">
        <x:f>IF(B787=1,0,O786+F786+P786)</x:f>
        <x:v>0</x:v>
      </x:c>
      <x:c r="P787" s="50" t="n">
        <x:f>MIN(G787,MAX(0,Inputs!$B$20-O787-F787))</x:f>
        <x:v>0</x:v>
      </x:c>
      <x:c r="Q787" s="50" t="n">
        <x:f>(C787-E787-F787)+(G787-P787)</x:f>
        <x:v>0</x:v>
      </x:c>
    </x:row>
    <x:row r="788">
      <x:c r="A788" s="41" t="n">
        <x:f>IF(B788=1,A787+1,A787)</x:f>
        <x:v>2057</x:v>
      </x:c>
      <x:c r="B788" s="41" t="n">
        <x:f>IF(B787=26,1,B787+1)</x:f>
        <x:v>7</x:v>
      </x:c>
      <x:c r="C788" s="48" t="n">
        <x:f>Inputs!$F$33</x:f>
        <x:v>600</x:v>
      </x:c>
      <x:c r="D788" s="50" t="n">
        <x:f>IF(B788=1,0,D787+E787)</x:f>
        <x:v>3600</x:v>
      </x:c>
      <x:c r="E788" s="50" t="n">
        <x:f>MIN(C788,MAX(0,Inputs!$B$7-D788))</x:f>
        <x:v>600</x:v>
      </x:c>
      <x:c r="F788" s="50" t="n">
        <x:f>MIN(C788-E788,MAX(0,Inputs!$B$20-O788))</x:f>
        <x:v>0</x:v>
      </x:c>
      <x:c r="G788" s="50" t="n">
        <x:f>0</x:f>
        <x:v>0</x:v>
      </x:c>
      <x:c r="H788" s="41" t="n">
        <x:f>0</x:f>
        <x:v>0</x:v>
      </x:c>
      <x:c r="I788" s="50" t="n">
        <x:f>(I787*(1+Inputs!$B$12))+E788</x:f>
        <x:v>715719.5170242088</x:v>
      </x:c>
      <x:c r="J788" s="50" t="n">
        <x:f>(J787*(1+Inputs!$B$12))+F788+P788</x:f>
        <x:v>847297.2883202762</x:v>
      </x:c>
      <x:c r="K788" s="50" t="n">
        <x:f>(K787*(1+Inputs!$B$12))*(1-H788)</x:f>
        <x:v>0</x:v>
      </x:c>
      <x:c r="L788" s="50" t="n">
        <x:f>L787*(1+Inputs!$B$13)+Q788</x:f>
        <x:v>54038.8516956649</x:v>
      </x:c>
      <x:c r="M788" s="50" t="n">
        <x:f>I788+J788+L788</x:f>
        <x:v>1617055.65704015</x:v>
      </x:c>
      <x:c r="N788" s="50" t="n">
        <x:f>F788+P788</x:f>
        <x:v>0</x:v>
      </x:c>
      <x:c r="O788" s="50" t="n">
        <x:f>IF(B788=1,0,O787+F787+P787)</x:f>
        <x:v>0</x:v>
      </x:c>
      <x:c r="P788" s="50" t="n">
        <x:f>MIN(G788,MAX(0,Inputs!$B$20-O788-F788))</x:f>
        <x:v>0</x:v>
      </x:c>
      <x:c r="Q788" s="50" t="n">
        <x:f>(C788-E788-F788)+(G788-P788)</x:f>
        <x:v>0</x:v>
      </x:c>
    </x:row>
    <x:row r="789">
      <x:c r="A789" s="41" t="n">
        <x:f>IF(B789=1,A788+1,A788)</x:f>
        <x:v>2057</x:v>
      </x:c>
      <x:c r="B789" s="41" t="n">
        <x:f>IF(B788=26,1,B788+1)</x:f>
        <x:v>8</x:v>
      </x:c>
      <x:c r="C789" s="48" t="n">
        <x:f>Inputs!$F$33</x:f>
        <x:v>600</x:v>
      </x:c>
      <x:c r="D789" s="50" t="n">
        <x:f>IF(B789=1,0,D788+E788)</x:f>
        <x:v>4200</x:v>
      </x:c>
      <x:c r="E789" s="50" t="n">
        <x:f>MIN(C789,MAX(0,Inputs!$B$7-D789))</x:f>
        <x:v>600</x:v>
      </x:c>
      <x:c r="F789" s="50" t="n">
        <x:f>MIN(C789-E789,MAX(0,Inputs!$B$20-O789))</x:f>
        <x:v>0</x:v>
      </x:c>
      <x:c r="G789" s="50" t="n">
        <x:f>0</x:f>
        <x:v>0</x:v>
      </x:c>
      <x:c r="H789" s="41" t="n">
        <x:f>0</x:f>
        <x:v>0</x:v>
      </x:c>
      <x:c r="I789" s="50" t="n">
        <x:f>(I788*(1+Inputs!$B$12))+E789</x:f>
        <x:v>717663.8577080255</x:v>
      </x:c>
      <x:c r="J789" s="50" t="n">
        <x:f>(J788*(1+Inputs!$B$12))+F789+P789</x:f>
        <x:v>848888.7723987213</x:v>
      </x:c>
      <x:c r="K789" s="50" t="n">
        <x:f>(K788*(1+Inputs!$B$12))*(1-H789)</x:f>
        <x:v>0</x:v>
      </x:c>
      <x:c r="L789" s="50" t="n">
        <x:f>L788*(1+Inputs!$B$13)+Q789</x:f>
        <x:v>54133.40100805882</x:v>
      </x:c>
      <x:c r="M789" s="50" t="n">
        <x:f>I789+J789+L789</x:f>
        <x:v>1620686.0311148055</x:v>
      </x:c>
      <x:c r="N789" s="50" t="n">
        <x:f>F789+P789</x:f>
        <x:v>0</x:v>
      </x:c>
      <x:c r="O789" s="50" t="n">
        <x:f>IF(B789=1,0,O788+F788+P788)</x:f>
        <x:v>0</x:v>
      </x:c>
      <x:c r="P789" s="50" t="n">
        <x:f>MIN(G789,MAX(0,Inputs!$B$20-O789-F789))</x:f>
        <x:v>0</x:v>
      </x:c>
      <x:c r="Q789" s="50" t="n">
        <x:f>(C789-E789-F789)+(G789-P789)</x:f>
        <x:v>0</x:v>
      </x:c>
    </x:row>
    <x:row r="790">
      <x:c r="A790" s="41" t="n">
        <x:f>IF(B790=1,A789+1,A789)</x:f>
        <x:v>2057</x:v>
      </x:c>
      <x:c r="B790" s="41" t="n">
        <x:f>IF(B789=26,1,B789+1)</x:f>
        <x:v>9</x:v>
      </x:c>
      <x:c r="C790" s="48" t="n">
        <x:f>Inputs!$F$33</x:f>
        <x:v>600</x:v>
      </x:c>
      <x:c r="D790" s="50" t="n">
        <x:f>IF(B790=1,0,D789+E789)</x:f>
        <x:v>4800</x:v>
      </x:c>
      <x:c r="E790" s="50" t="n">
        <x:f>MIN(C790,MAX(0,Inputs!$B$7-D790))</x:f>
        <x:v>600</x:v>
      </x:c>
      <x:c r="F790" s="50" t="n">
        <x:f>MIN(C790-E790,MAX(0,Inputs!$B$20-O790))</x:f>
        <x:v>0</x:v>
      </x:c>
      <x:c r="G790" s="50" t="n">
        <x:f>SUM(N756:N781)*Inputs!$B$6</x:f>
        <x:v>3257.1428571428596</x:v>
      </x:c>
      <x:c r="H790" s="41" t="n">
        <x:f>0</x:f>
        <x:v>0</x:v>
      </x:c>
      <x:c r="I790" s="50" t="n">
        <x:f>(I789*(1+Inputs!$B$12))+E790</x:f>
        <x:v>719611.8504597574</x:v>
      </x:c>
      <x:c r="J790" s="50" t="n">
        <x:f>(J789*(1+Inputs!$B$12))+F790+P790</x:f>
        <x:v>853740.3886293381</x:v>
      </x:c>
      <x:c r="K790" s="50" t="n">
        <x:f>(K789*(1+Inputs!$B$12))*(1-H790)</x:f>
        <x:v>0</x:v>
      </x:c>
      <x:c r="L790" s="50" t="n">
        <x:f>L789*(1+Inputs!$B$13)+Q790</x:f>
        <x:v>54228.115749069264</x:v>
      </x:c>
      <x:c r="M790" s="50" t="n">
        <x:f>I790+J790+L790</x:f>
        <x:v>1627580.3548381648</x:v>
      </x:c>
      <x:c r="N790" s="50" t="n">
        <x:f>F790+P790</x:f>
        <x:v>3257.1428571428596</x:v>
      </x:c>
      <x:c r="O790" s="50" t="n">
        <x:f>IF(B790=1,0,O789+F789+P789)</x:f>
        <x:v>0</x:v>
      </x:c>
      <x:c r="P790" s="50" t="n">
        <x:f>MIN(G790,MAX(0,Inputs!$B$20-O790-F790))</x:f>
        <x:v>3257.1428571428596</x:v>
      </x:c>
      <x:c r="Q790" s="50" t="n">
        <x:f>(C790-E790-F790)+(G790-P790)</x:f>
        <x:v>0</x:v>
      </x:c>
    </x:row>
    <x:row r="791">
      <x:c r="A791" s="41" t="n">
        <x:f>IF(B791=1,A790+1,A790)</x:f>
        <x:v>2057</x:v>
      </x:c>
      <x:c r="B791" s="41" t="n">
        <x:f>IF(B790=26,1,B790+1)</x:f>
        <x:v>10</x:v>
      </x:c>
      <x:c r="C791" s="48" t="n">
        <x:f>Inputs!$F$33</x:f>
        <x:v>600</x:v>
      </x:c>
      <x:c r="D791" s="50" t="n">
        <x:f>IF(B791=1,0,D790+E790)</x:f>
        <x:v>5400</x:v>
      </x:c>
      <x:c r="E791" s="50" t="n">
        <x:f>MIN(C791,MAX(0,Inputs!$B$7-D791))</x:f>
        <x:v>600</x:v>
      </x:c>
      <x:c r="F791" s="50" t="n">
        <x:f>MIN(C791-E791,MAX(0,Inputs!$B$20-O791))</x:f>
        <x:v>0</x:v>
      </x:c>
      <x:c r="G791" s="50" t="n">
        <x:f>0</x:f>
        <x:v>0</x:v>
      </x:c>
      <x:c r="H791" s="41" t="n">
        <x:f>0</x:f>
        <x:v>0</x:v>
      </x:c>
      <x:c r="I791" s="50" t="n">
        <x:f>(I790*(1+Inputs!$B$12))+E791</x:f>
        <x:v>721563.5021391078</x:v>
      </x:c>
      <x:c r="J791" s="50" t="n">
        <x:f>(J790*(1+Inputs!$B$12))+F791+P791</x:f>
        <x:v>855343.9748255394</x:v>
      </x:c>
      <x:c r="K791" s="50" t="n">
        <x:f>(K790*(1+Inputs!$B$12))*(1-H791)</x:f>
        <x:v>0</x:v>
      </x:c>
      <x:c r="L791" s="50" t="n">
        <x:f>L790*(1+Inputs!$B$13)+Q791</x:f>
        <x:v>54322.99620813912</x:v>
      </x:c>
      <x:c r="M791" s="50" t="n">
        <x:f>I791+J791+L791</x:f>
        <x:v>1631230.4731727864</x:v>
      </x:c>
      <x:c r="N791" s="50" t="n">
        <x:f>F791+P791</x:f>
        <x:v>0</x:v>
      </x:c>
      <x:c r="O791" s="50" t="n">
        <x:f>IF(B791=1,0,O790+F790+P790)</x:f>
        <x:v>3257.1428571428596</x:v>
      </x:c>
      <x:c r="P791" s="50" t="n">
        <x:f>MIN(G791,MAX(0,Inputs!$B$20-O791-F791))</x:f>
        <x:v>0</x:v>
      </x:c>
      <x:c r="Q791" s="50" t="n">
        <x:f>(C791-E791-F791)+(G791-P791)</x:f>
        <x:v>0</x:v>
      </x:c>
    </x:row>
    <x:row r="792">
      <x:c r="A792" s="41" t="n">
        <x:f>IF(B792=1,A791+1,A791)</x:f>
        <x:v>2057</x:v>
      </x:c>
      <x:c r="B792" s="41" t="n">
        <x:f>IF(B791=26,1,B791+1)</x:f>
        <x:v>11</x:v>
      </x:c>
      <x:c r="C792" s="48" t="n">
        <x:f>Inputs!$F$33</x:f>
        <x:v>600</x:v>
      </x:c>
      <x:c r="D792" s="50" t="n">
        <x:f>IF(B792=1,0,D791+E791)</x:f>
        <x:v>6000</x:v>
      </x:c>
      <x:c r="E792" s="50" t="n">
        <x:f>MIN(C792,MAX(0,Inputs!$B$7-D792))</x:f>
        <x:v>600</x:v>
      </x:c>
      <x:c r="F792" s="50" t="n">
        <x:f>MIN(C792-E792,MAX(0,Inputs!$B$20-O792))</x:f>
        <x:v>0</x:v>
      </x:c>
      <x:c r="G792" s="50" t="n">
        <x:f>0</x:f>
        <x:v>0</x:v>
      </x:c>
      <x:c r="H792" s="41" t="n">
        <x:f>0</x:f>
        <x:v>0</x:v>
      </x:c>
      <x:c r="I792" s="50" t="n">
        <x:f>(I791*(1+Inputs!$B$12))+E792</x:f>
        <x:v>723518.8196186646</x:v>
      </x:c>
      <x:c r="J792" s="50" t="n">
        <x:f>(J791*(1+Inputs!$B$12))+F792+P792</x:f>
        <x:v>856950.573048257</x:v>
      </x:c>
      <x:c r="K792" s="50" t="n">
        <x:f>(K791*(1+Inputs!$B$12))*(1-H792)</x:f>
        <x:v>0</x:v>
      </x:c>
      <x:c r="L792" s="50" t="n">
        <x:f>L791*(1+Inputs!$B$13)+Q792</x:f>
        <x:v>54418.04267521772</x:v>
      </x:c>
      <x:c r="M792" s="50" t="n">
        <x:f>I792+J792+L792</x:f>
        <x:v>1634887.435342139</x:v>
      </x:c>
      <x:c r="N792" s="50" t="n">
        <x:f>F792+P792</x:f>
        <x:v>0</x:v>
      </x:c>
      <x:c r="O792" s="50" t="n">
        <x:f>IF(B792=1,0,O791+F791+P791)</x:f>
        <x:v>3257.1428571428596</x:v>
      </x:c>
      <x:c r="P792" s="50" t="n">
        <x:f>MIN(G792,MAX(0,Inputs!$B$20-O792-F792))</x:f>
        <x:v>0</x:v>
      </x:c>
      <x:c r="Q792" s="50" t="n">
        <x:f>(C792-E792-F792)+(G792-P792)</x:f>
        <x:v>0</x:v>
      </x:c>
    </x:row>
    <x:row r="793">
      <x:c r="A793" s="41" t="n">
        <x:f>IF(B793=1,A792+1,A792)</x:f>
        <x:v>2057</x:v>
      </x:c>
      <x:c r="B793" s="41" t="n">
        <x:f>IF(B792=26,1,B792+1)</x:f>
        <x:v>12</x:v>
      </x:c>
      <x:c r="C793" s="48" t="n">
        <x:f>Inputs!$F$33</x:f>
        <x:v>600</x:v>
      </x:c>
      <x:c r="D793" s="50" t="n">
        <x:f>IF(B793=1,0,D792+E792)</x:f>
        <x:v>6600</x:v>
      </x:c>
      <x:c r="E793" s="50" t="n">
        <x:f>MIN(C793,MAX(0,Inputs!$B$7-D793))</x:f>
        <x:v>600</x:v>
      </x:c>
      <x:c r="F793" s="50" t="n">
        <x:f>MIN(C793-E793,MAX(0,Inputs!$B$20-O793))</x:f>
        <x:v>0</x:v>
      </x:c>
      <x:c r="G793" s="50" t="n">
        <x:f>0</x:f>
        <x:v>0</x:v>
      </x:c>
      <x:c r="H793" s="41" t="n">
        <x:f>0</x:f>
        <x:v>0</x:v>
      </x:c>
      <x:c r="I793" s="50" t="n">
        <x:f>(I792*(1+Inputs!$B$12))+E793</x:f>
        <x:v>725477.8097839244</x:v>
      </x:c>
      <x:c r="J793" s="50" t="n">
        <x:f>(J792*(1+Inputs!$B$12))+F793+P793</x:f>
        <x:v>858560.1889550003</x:v>
      </x:c>
      <x:c r="K793" s="50" t="n">
        <x:f>(K792*(1+Inputs!$B$12))*(1-H793)</x:f>
        <x:v>0</x:v>
      </x:c>
      <x:c r="L793" s="50" t="n">
        <x:f>L792*(1+Inputs!$B$13)+Q793</x:f>
        <x:v>54513.2554407617</x:v>
      </x:c>
      <x:c r="M793" s="50" t="n">
        <x:f>I793+J793+L793</x:f>
        <x:v>1638551.2541796863</x:v>
      </x:c>
      <x:c r="N793" s="50" t="n">
        <x:f>F793+P793</x:f>
        <x:v>0</x:v>
      </x:c>
      <x:c r="O793" s="50" t="n">
        <x:f>IF(B793=1,0,O792+F792+P792)</x:f>
        <x:v>3257.1428571428596</x:v>
      </x:c>
      <x:c r="P793" s="50" t="n">
        <x:f>MIN(G793,MAX(0,Inputs!$B$20-O793-F793))</x:f>
        <x:v>0</x:v>
      </x:c>
      <x:c r="Q793" s="50" t="n">
        <x:f>(C793-E793-F793)+(G793-P793)</x:f>
        <x:v>0</x:v>
      </x:c>
    </x:row>
    <x:row r="794">
      <x:c r="A794" s="41" t="n">
        <x:f>IF(B794=1,A793+1,A793)</x:f>
        <x:v>2057</x:v>
      </x:c>
      <x:c r="B794" s="41" t="n">
        <x:f>IF(B793=26,1,B793+1)</x:f>
        <x:v>13</x:v>
      </x:c>
      <x:c r="C794" s="48" t="n">
        <x:f>Inputs!$F$33</x:f>
        <x:v>600</x:v>
      </x:c>
      <x:c r="D794" s="50" t="n">
        <x:f>IF(B794=1,0,D793+E793)</x:f>
        <x:v>7200</x:v>
      </x:c>
      <x:c r="E794" s="50" t="n">
        <x:f>MIN(C794,MAX(0,Inputs!$B$7-D794))</x:f>
        <x:v>600</x:v>
      </x:c>
      <x:c r="F794" s="50" t="n">
        <x:f>MIN(C794-E794,MAX(0,Inputs!$B$20-O794))</x:f>
        <x:v>0</x:v>
      </x:c>
      <x:c r="G794" s="50" t="n">
        <x:f>0</x:f>
        <x:v>0</x:v>
      </x:c>
      <x:c r="H794" s="41" t="n">
        <x:f>0</x:f>
        <x:v>0</x:v>
      </x:c>
      <x:c r="I794" s="50" t="n">
        <x:f>(I793*(1+Inputs!$B$12))+E794</x:f>
        <x:v>727440.4795333169</x:v>
      </x:c>
      <x:c r="J794" s="50" t="n">
        <x:f>(J793*(1+Inputs!$B$12))+F794+P794</x:f>
        <x:v>860172.8282139049</x:v>
      </x:c>
      <x:c r="K794" s="50" t="n">
        <x:f>(K793*(1+Inputs!$B$12))*(1-H794)</x:f>
        <x:v>0</x:v>
      </x:c>
      <x:c r="L794" s="50" t="n">
        <x:f>L793*(1+Inputs!$B$13)+Q794</x:f>
        <x:v>54608.63479573589</x:v>
      </x:c>
      <x:c r="M794" s="50" t="n">
        <x:f>I794+J794+L794</x:f>
        <x:v>1642221.9425429576</x:v>
      </x:c>
      <x:c r="N794" s="50" t="n">
        <x:f>F794+P794</x:f>
        <x:v>0</x:v>
      </x:c>
      <x:c r="O794" s="50" t="n">
        <x:f>IF(B794=1,0,O793+F793+P793)</x:f>
        <x:v>3257.1428571428596</x:v>
      </x:c>
      <x:c r="P794" s="50" t="n">
        <x:f>MIN(G794,MAX(0,Inputs!$B$20-O794-F794))</x:f>
        <x:v>0</x:v>
      </x:c>
      <x:c r="Q794" s="50" t="n">
        <x:f>(C794-E794-F794)+(G794-P794)</x:f>
        <x:v>0</x:v>
      </x:c>
    </x:row>
    <x:row r="795">
      <x:c r="A795" s="41" t="n">
        <x:f>IF(B795=1,A794+1,A794)</x:f>
        <x:v>2057</x:v>
      </x:c>
      <x:c r="B795" s="41" t="n">
        <x:f>IF(B794=26,1,B794+1)</x:f>
        <x:v>14</x:v>
      </x:c>
      <x:c r="C795" s="48" t="n">
        <x:f>Inputs!$F$33</x:f>
        <x:v>600</x:v>
      </x:c>
      <x:c r="D795" s="50" t="n">
        <x:f>IF(B795=1,0,D794+E794)</x:f>
        <x:v>7800</x:v>
      </x:c>
      <x:c r="E795" s="50" t="n">
        <x:f>MIN(C795,MAX(0,Inputs!$B$7-D795))</x:f>
        <x:v>200</x:v>
      </x:c>
      <x:c r="F795" s="50" t="n">
        <x:f>MIN(C795-E795,MAX(0,Inputs!$B$20-O795))</x:f>
        <x:v>400</x:v>
      </x:c>
      <x:c r="G795" s="50" t="n">
        <x:f>0</x:f>
        <x:v>0</x:v>
      </x:c>
      <x:c r="H795" s="41" t="n">
        <x:f>0</x:f>
        <x:v>0</x:v>
      </x:c>
      <x:c r="I795" s="50" t="n">
        <x:f>(I794*(1+Inputs!$B$12))+E795</x:f>
        <x:v>729006.8357782293</x:v>
      </x:c>
      <x:c r="J795" s="50" t="n">
        <x:f>(J794*(1+Inputs!$B$12))+F795+P795</x:f>
        <x:v>862188.4965037532</x:v>
      </x:c>
      <x:c r="K795" s="50" t="n">
        <x:f>(K794*(1+Inputs!$B$12))*(1-H795)</x:f>
        <x:v>0</x:v>
      </x:c>
      <x:c r="L795" s="50" t="n">
        <x:f>L794*(1+Inputs!$B$13)+Q795</x:f>
        <x:v>54704.181031614215</x:v>
      </x:c>
      <x:c r="M795" s="50" t="n">
        <x:f>I795+J795+L795</x:f>
        <x:v>1645899.5133135968</x:v>
      </x:c>
      <x:c r="N795" s="50" t="n">
        <x:f>F795+P795</x:f>
        <x:v>400</x:v>
      </x:c>
      <x:c r="O795" s="50" t="n">
        <x:f>IF(B795=1,0,O794+F794+P794)</x:f>
        <x:v>3257.1428571428596</x:v>
      </x:c>
      <x:c r="P795" s="50" t="n">
        <x:f>MIN(G795,MAX(0,Inputs!$B$20-O795-F795))</x:f>
        <x:v>0</x:v>
      </x:c>
      <x:c r="Q795" s="50" t="n">
        <x:f>(C795-E795-F795)+(G795-P795)</x:f>
        <x:v>0</x:v>
      </x:c>
    </x:row>
    <x:row r="796">
      <x:c r="A796" s="41" t="n">
        <x:f>IF(B796=1,A795+1,A795)</x:f>
        <x:v>2057</x:v>
      </x:c>
      <x:c r="B796" s="41" t="n">
        <x:f>IF(B795=26,1,B795+1)</x:f>
        <x:v>15</x:v>
      </x:c>
      <x:c r="C796" s="48" t="n">
        <x:f>Inputs!$F$33</x:f>
        <x:v>600</x:v>
      </x:c>
      <x:c r="D796" s="50" t="n">
        <x:f>IF(B796=1,0,D795+E795)</x:f>
        <x:v>8000</x:v>
      </x:c>
      <x:c r="E796" s="50" t="n">
        <x:f>MIN(C796,MAX(0,Inputs!$B$7-D796))</x:f>
        <x:v>0</x:v>
      </x:c>
      <x:c r="F796" s="50" t="n">
        <x:f>MIN(C796-E796,MAX(0,Inputs!$B$20-O796))</x:f>
        <x:v>600</x:v>
      </x:c>
      <x:c r="G796" s="50" t="n">
        <x:f>0</x:f>
        <x:v>0</x:v>
      </x:c>
      <x:c r="H796" s="41" t="n">
        <x:f>0</x:f>
        <x:v>0</x:v>
      </x:c>
      <x:c r="I796" s="50" t="n">
        <x:f>(I795*(1+Inputs!$B$12))+E796</x:f>
        <x:v>730376.1341203953</x:v>
      </x:c>
      <x:c r="J796" s="50" t="n">
        <x:f>(J795*(1+Inputs!$B$12))+F796+P796</x:f>
        <x:v>864407.9508366291</x:v>
      </x:c>
      <x:c r="K796" s="50" t="n">
        <x:f>(K795*(1+Inputs!$B$12))*(1-H796)</x:f>
        <x:v>0</x:v>
      </x:c>
      <x:c r="L796" s="50" t="n">
        <x:f>L795*(1+Inputs!$B$13)+Q796</x:f>
        <x:v>54799.89444038058</x:v>
      </x:c>
      <x:c r="M796" s="50" t="n">
        <x:f>I796+J796+L796</x:f>
        <x:v>1649583.9793974052</x:v>
      </x:c>
      <x:c r="N796" s="50" t="n">
        <x:f>F796+P796</x:f>
        <x:v>600</x:v>
      </x:c>
      <x:c r="O796" s="50" t="n">
        <x:f>IF(B796=1,0,O795+F795+P795)</x:f>
        <x:v>3657.1428571428596</x:v>
      </x:c>
      <x:c r="P796" s="50" t="n">
        <x:f>MIN(G796,MAX(0,Inputs!$B$20-O796-F796))</x:f>
        <x:v>0</x:v>
      </x:c>
      <x:c r="Q796" s="50" t="n">
        <x:f>(C796-E796-F796)+(G796-P796)</x:f>
        <x:v>0</x:v>
      </x:c>
    </x:row>
    <x:row r="797">
      <x:c r="A797" s="41" t="n">
        <x:f>IF(B797=1,A796+1,A796)</x:f>
        <x:v>2057</x:v>
      </x:c>
      <x:c r="B797" s="41" t="n">
        <x:f>IF(B796=26,1,B796+1)</x:f>
        <x:v>16</x:v>
      </x:c>
      <x:c r="C797" s="48" t="n">
        <x:f>Inputs!$F$33</x:f>
        <x:v>600</x:v>
      </x:c>
      <x:c r="D797" s="50" t="n">
        <x:f>IF(B797=1,0,D796+E796)</x:f>
        <x:v>8000</x:v>
      </x:c>
      <x:c r="E797" s="50" t="n">
        <x:f>MIN(C797,MAX(0,Inputs!$B$7-D797))</x:f>
        <x:v>0</x:v>
      </x:c>
      <x:c r="F797" s="50" t="n">
        <x:f>MIN(C797-E797,MAX(0,Inputs!$B$20-O797))</x:f>
        <x:v>600</x:v>
      </x:c>
      <x:c r="G797" s="50" t="n">
        <x:f>0</x:f>
        <x:v>0</x:v>
      </x:c>
      <x:c r="H797" s="41" t="n">
        <x:f>0</x:f>
        <x:v>0</x:v>
      </x:c>
      <x:c r="I797" s="50" t="n">
        <x:f>(I796*(1+Inputs!$B$12))+E797</x:f>
        <x:v>731748.004424658</x:v>
      </x:c>
      <x:c r="J797" s="50" t="n">
        <x:f>(J796*(1+Inputs!$B$12))+F797+P797</x:f>
        <x:v>866631.5739851997</x:v>
      </x:c>
      <x:c r="K797" s="50" t="n">
        <x:f>(K796*(1+Inputs!$B$12))*(1-H797)</x:f>
        <x:v>0</x:v>
      </x:c>
      <x:c r="L797" s="50" t="n">
        <x:f>L796*(1+Inputs!$B$13)+Q797</x:f>
        <x:v>54895.775314529754</x:v>
      </x:c>
      <x:c r="M797" s="50" t="n">
        <x:f>I797+J797+L797</x:f>
        <x:v>1653275.3537243872</x:v>
      </x:c>
      <x:c r="N797" s="50" t="n">
        <x:f>F797+P797</x:f>
        <x:v>600</x:v>
      </x:c>
      <x:c r="O797" s="50" t="n">
        <x:f>IF(B797=1,0,O796+F796+P796)</x:f>
        <x:v>4257.14285714286</x:v>
      </x:c>
      <x:c r="P797" s="50" t="n">
        <x:f>MIN(G797,MAX(0,Inputs!$B$20-O797-F797))</x:f>
        <x:v>0</x:v>
      </x:c>
      <x:c r="Q797" s="50" t="n">
        <x:f>(C797-E797-F797)+(G797-P797)</x:f>
        <x:v>0</x:v>
      </x:c>
    </x:row>
    <x:row r="798">
      <x:c r="A798" s="41" t="n">
        <x:f>IF(B798=1,A797+1,A797)</x:f>
        <x:v>2057</x:v>
      </x:c>
      <x:c r="B798" s="41" t="n">
        <x:f>IF(B797=26,1,B797+1)</x:f>
        <x:v>17</x:v>
      </x:c>
      <x:c r="C798" s="48" t="n">
        <x:f>Inputs!$F$33</x:f>
        <x:v>600</x:v>
      </x:c>
      <x:c r="D798" s="50" t="n">
        <x:f>IF(B798=1,0,D797+E797)</x:f>
        <x:v>8000</x:v>
      </x:c>
      <x:c r="E798" s="50" t="n">
        <x:f>MIN(C798,MAX(0,Inputs!$B$7-D798))</x:f>
        <x:v>0</x:v>
      </x:c>
      <x:c r="F798" s="50" t="n">
        <x:f>MIN(C798-E798,MAX(0,Inputs!$B$20-O798))</x:f>
        <x:v>600</x:v>
      </x:c>
      <x:c r="G798" s="50" t="n">
        <x:f>0</x:f>
        <x:v>0</x:v>
      </x:c>
      <x:c r="H798" s="41" t="n">
        <x:f>0</x:f>
        <x:v>0</x:v>
      </x:c>
      <x:c r="I798" s="50" t="n">
        <x:f>(I797*(1+Inputs!$B$12))+E798</x:f>
        <x:v>733122.4515219508</x:v>
      </x:c>
      <x:c r="J798" s="50" t="n">
        <x:f>(J797*(1+Inputs!$B$12))+F798+P798</x:f>
        <x:v>868859.373779779</x:v>
      </x:c>
      <x:c r="K798" s="50" t="n">
        <x:f>(K797*(1+Inputs!$B$12))*(1-H798)</x:f>
        <x:v>0</x:v>
      </x:c>
      <x:c r="L798" s="50" t="n">
        <x:f>L797*(1+Inputs!$B$13)+Q798</x:f>
        <x:v>54991.82394706827</x:v>
      </x:c>
      <x:c r="M798" s="50" t="n">
        <x:f>I798+J798+L798</x:f>
        <x:v>1656973.649248798</x:v>
      </x:c>
      <x:c r="N798" s="50" t="n">
        <x:f>F798+P798</x:f>
        <x:v>600</x:v>
      </x:c>
      <x:c r="O798" s="50" t="n">
        <x:f>IF(B798=1,0,O797+F797+P797)</x:f>
        <x:v>4857.14285714286</x:v>
      </x:c>
      <x:c r="P798" s="50" t="n">
        <x:f>MIN(G798,MAX(0,Inputs!$B$20-O798-F798))</x:f>
        <x:v>0</x:v>
      </x:c>
      <x:c r="Q798" s="50" t="n">
        <x:f>(C798-E798-F798)+(G798-P798)</x:f>
        <x:v>0</x:v>
      </x:c>
    </x:row>
    <x:row r="799">
      <x:c r="A799" s="41" t="n">
        <x:f>IF(B799=1,A798+1,A798)</x:f>
        <x:v>2057</x:v>
      </x:c>
      <x:c r="B799" s="41" t="n">
        <x:f>IF(B798=26,1,B798+1)</x:f>
        <x:v>18</x:v>
      </x:c>
      <x:c r="C799" s="48" t="n">
        <x:f>Inputs!$F$33</x:f>
        <x:v>600</x:v>
      </x:c>
      <x:c r="D799" s="50" t="n">
        <x:f>IF(B799=1,0,D798+E798)</x:f>
        <x:v>8000</x:v>
      </x:c>
      <x:c r="E799" s="50" t="n">
        <x:f>MIN(C799,MAX(0,Inputs!$B$7-D799))</x:f>
        <x:v>0</x:v>
      </x:c>
      <x:c r="F799" s="50" t="n">
        <x:f>MIN(C799-E799,MAX(0,Inputs!$B$20-O799))</x:f>
        <x:v>600</x:v>
      </x:c>
      <x:c r="G799" s="50" t="n">
        <x:f>0</x:f>
        <x:v>0</x:v>
      </x:c>
      <x:c r="H799" s="41" t="n">
        <x:f>0</x:f>
        <x:v>0</x:v>
      </x:c>
      <x:c r="I799" s="50" t="n">
        <x:f>(I798*(1+Inputs!$B$12))+E799</x:f>
        <x:v>734499.480252281</x:v>
      </x:c>
      <x:c r="J799" s="50" t="n">
        <x:f>(J798*(1+Inputs!$B$12))+F799+P799</x:f>
        <x:v>871091.3580653885</x:v>
      </x:c>
      <x:c r="K799" s="50" t="n">
        <x:f>(K798*(1+Inputs!$B$12))*(1-H799)</x:f>
        <x:v>0</x:v>
      </x:c>
      <x:c r="L799" s="50" t="n">
        <x:f>L798*(1+Inputs!$B$13)+Q799</x:f>
        <x:v>55088.04063151532</x:v>
      </x:c>
      <x:c r="M799" s="50" t="n">
        <x:f>I799+J799+L799</x:f>
        <x:v>1660678.878949185</x:v>
      </x:c>
      <x:c r="N799" s="50" t="n">
        <x:f>F799+P799</x:f>
        <x:v>600</x:v>
      </x:c>
      <x:c r="O799" s="50" t="n">
        <x:f>IF(B799=1,0,O798+F798+P798)</x:f>
        <x:v>5457.14285714286</x:v>
      </x:c>
      <x:c r="P799" s="50" t="n">
        <x:f>MIN(G799,MAX(0,Inputs!$B$20-O799-F799))</x:f>
        <x:v>0</x:v>
      </x:c>
      <x:c r="Q799" s="50" t="n">
        <x:f>(C799-E799-F799)+(G799-P799)</x:f>
        <x:v>0</x:v>
      </x:c>
    </x:row>
    <x:row r="800">
      <x:c r="A800" s="41" t="n">
        <x:f>IF(B800=1,A799+1,A799)</x:f>
        <x:v>2057</x:v>
      </x:c>
      <x:c r="B800" s="41" t="n">
        <x:f>IF(B799=26,1,B799+1)</x:f>
        <x:v>19</x:v>
      </x:c>
      <x:c r="C800" s="48" t="n">
        <x:f>Inputs!$F$33</x:f>
        <x:v>600</x:v>
      </x:c>
      <x:c r="D800" s="50" t="n">
        <x:f>IF(B800=1,0,D799+E799)</x:f>
        <x:v>8000</x:v>
      </x:c>
      <x:c r="E800" s="50" t="n">
        <x:f>MIN(C800,MAX(0,Inputs!$B$7-D800))</x:f>
        <x:v>0</x:v>
      </x:c>
      <x:c r="F800" s="50" t="n">
        <x:f>MIN(C800-E800,MAX(0,Inputs!$B$20-O800))</x:f>
        <x:v>600</x:v>
      </x:c>
      <x:c r="G800" s="50" t="n">
        <x:f>0</x:f>
        <x:v>0</x:v>
      </x:c>
      <x:c r="H800" s="41" t="n">
        <x:f>0</x:f>
        <x:v>0</x:v>
      </x:c>
      <x:c r="I800" s="50" t="n">
        <x:f>(I799*(1+Inputs!$B$12))+E800</x:f>
        <x:v>735879.0954647468</x:v>
      </x:c>
      <x:c r="J800" s="50" t="n">
        <x:f>(J799*(1+Inputs!$B$12))+F800+P800</x:f>
        <x:v>873327.5347017855</x:v>
      </x:c>
      <x:c r="K800" s="50" t="n">
        <x:f>(K799*(1+Inputs!$B$12))*(1-H800)</x:f>
        <x:v>0</x:v>
      </x:c>
      <x:c r="L800" s="50" t="n">
        <x:f>L799*(1+Inputs!$B$13)+Q800</x:f>
        <x:v>55184.425661903675</x:v>
      </x:c>
      <x:c r="M800" s="50" t="n">
        <x:f>I800+J800+L800</x:f>
        <x:v>1664391.055828436</x:v>
      </x:c>
      <x:c r="N800" s="50" t="n">
        <x:f>F800+P800</x:f>
        <x:v>600</x:v>
      </x:c>
      <x:c r="O800" s="50" t="n">
        <x:f>IF(B800=1,0,O799+F799+P799)</x:f>
        <x:v>6057.14285714286</x:v>
      </x:c>
      <x:c r="P800" s="50" t="n">
        <x:f>MIN(G800,MAX(0,Inputs!$B$20-O800-F800))</x:f>
        <x:v>0</x:v>
      </x:c>
      <x:c r="Q800" s="50" t="n">
        <x:f>(C800-E800-F800)+(G800-P800)</x:f>
        <x:v>0</x:v>
      </x:c>
    </x:row>
    <x:row r="801">
      <x:c r="A801" s="41" t="n">
        <x:f>IF(B801=1,A800+1,A800)</x:f>
        <x:v>2057</x:v>
      </x:c>
      <x:c r="B801" s="41" t="n">
        <x:f>IF(B800=26,1,B800+1)</x:f>
        <x:v>20</x:v>
      </x:c>
      <x:c r="C801" s="48" t="n">
        <x:f>Inputs!$F$33</x:f>
        <x:v>600</x:v>
      </x:c>
      <x:c r="D801" s="50" t="n">
        <x:f>IF(B801=1,0,D800+E800)</x:f>
        <x:v>8000</x:v>
      </x:c>
      <x:c r="E801" s="50" t="n">
        <x:f>MIN(C801,MAX(0,Inputs!$B$7-D801))</x:f>
        <x:v>0</x:v>
      </x:c>
      <x:c r="F801" s="50" t="n">
        <x:f>MIN(C801-E801,MAX(0,Inputs!$B$20-O801))</x:f>
        <x:v>600</x:v>
      </x:c>
      <x:c r="G801" s="50" t="n">
        <x:f>0</x:f>
        <x:v>0</x:v>
      </x:c>
      <x:c r="H801" s="41" t="n">
        <x:f>0</x:f>
        <x:v>0</x:v>
      </x:c>
      <x:c r="I801" s="50" t="n">
        <x:f>(I800*(1+Inputs!$B$12))+E801</x:f>
        <x:v>737261.3020175549</x:v>
      </x:c>
      <x:c r="J801" s="50" t="n">
        <x:f>(J800*(1+Inputs!$B$12))+F801+P801</x:f>
        <x:v>875567.9115634902</x:v>
      </x:c>
      <x:c r="K801" s="50" t="n">
        <x:f>(K800*(1+Inputs!$B$12))*(1-H801)</x:f>
        <x:v>0</x:v>
      </x:c>
      <x:c r="L801" s="50" t="n">
        <x:f>L800*(1+Inputs!$B$13)+Q801</x:f>
        <x:v>55280.97933278054</x:v>
      </x:c>
      <x:c r="M801" s="50" t="n">
        <x:f>I801+J801+L801</x:f>
        <x:v>1668110.1929138256</x:v>
      </x:c>
      <x:c r="N801" s="50" t="n">
        <x:f>F801+P801</x:f>
        <x:v>600</x:v>
      </x:c>
      <x:c r="O801" s="50" t="n">
        <x:f>IF(B801=1,0,O800+F800+P800)</x:f>
        <x:v>6657.14285714286</x:v>
      </x:c>
      <x:c r="P801" s="50" t="n">
        <x:f>MIN(G801,MAX(0,Inputs!$B$20-O801-F801))</x:f>
        <x:v>0</x:v>
      </x:c>
      <x:c r="Q801" s="50" t="n">
        <x:f>(C801-E801-F801)+(G801-P801)</x:f>
        <x:v>0</x:v>
      </x:c>
    </x:row>
    <x:row r="802">
      <x:c r="A802" s="41" t="n">
        <x:f>IF(B802=1,A801+1,A801)</x:f>
        <x:v>2057</x:v>
      </x:c>
      <x:c r="B802" s="41" t="n">
        <x:f>IF(B801=26,1,B801+1)</x:f>
        <x:v>21</x:v>
      </x:c>
      <x:c r="C802" s="48" t="n">
        <x:f>Inputs!$F$33</x:f>
        <x:v>600</x:v>
      </x:c>
      <x:c r="D802" s="50" t="n">
        <x:f>IF(B802=1,0,D801+E801)</x:f>
        <x:v>8000</x:v>
      </x:c>
      <x:c r="E802" s="50" t="n">
        <x:f>MIN(C802,MAX(0,Inputs!$B$7-D802))</x:f>
        <x:v>0</x:v>
      </x:c>
      <x:c r="F802" s="50" t="n">
        <x:f>MIN(C802-E802,MAX(0,Inputs!$B$20-O802))</x:f>
        <x:v>600</x:v>
      </x:c>
      <x:c r="G802" s="50" t="n">
        <x:f>0</x:f>
        <x:v>0</x:v>
      </x:c>
      <x:c r="H802" s="41" t="n">
        <x:f>0</x:f>
        <x:v>0</x:v>
      </x:c>
      <x:c r="I802" s="50" t="n">
        <x:f>(I801*(1+Inputs!$B$12))+E802</x:f>
        <x:v>738646.1047780367</x:v>
      </x:c>
      <x:c r="J802" s="50" t="n">
        <x:f>(J801*(1+Inputs!$B$12))+F802+P802</x:f>
        <x:v>877812.4965398132</x:v>
      </x:c>
      <x:c r="K802" s="50" t="n">
        <x:f>(K801*(1+Inputs!$B$12))*(1-H802)</x:f>
        <x:v>0</x:v>
      </x:c>
      <x:c r="L802" s="50" t="n">
        <x:f>L801*(1+Inputs!$B$13)+Q802</x:f>
        <x:v>55377.70193920847</x:v>
      </x:c>
      <x:c r="M802" s="50" t="n">
        <x:f>I802+J802+L802</x:f>
        <x:v>1671836.3032570584</x:v>
      </x:c>
      <x:c r="N802" s="50" t="n">
        <x:f>F802+P802</x:f>
        <x:v>600</x:v>
      </x:c>
      <x:c r="O802" s="50" t="n">
        <x:f>IF(B802=1,0,O801+F801+P801)</x:f>
        <x:v>7257.14285714286</x:v>
      </x:c>
      <x:c r="P802" s="50" t="n">
        <x:f>MIN(G802,MAX(0,Inputs!$B$20-O802-F802))</x:f>
        <x:v>0</x:v>
      </x:c>
      <x:c r="Q802" s="50" t="n">
        <x:f>(C802-E802-F802)+(G802-P802)</x:f>
        <x:v>0</x:v>
      </x:c>
    </x:row>
    <x:row r="803">
      <x:c r="A803" s="41" t="n">
        <x:f>IF(B803=1,A802+1,A802)</x:f>
        <x:v>2057</x:v>
      </x:c>
      <x:c r="B803" s="41" t="n">
        <x:f>IF(B802=26,1,B802+1)</x:f>
        <x:v>22</x:v>
      </x:c>
      <x:c r="C803" s="48" t="n">
        <x:f>Inputs!$F$33</x:f>
        <x:v>600</x:v>
      </x:c>
      <x:c r="D803" s="50" t="n">
        <x:f>IF(B803=1,0,D802+E802)</x:f>
        <x:v>8000</x:v>
      </x:c>
      <x:c r="E803" s="50" t="n">
        <x:f>MIN(C803,MAX(0,Inputs!$B$7-D803))</x:f>
        <x:v>0</x:v>
      </x:c>
      <x:c r="F803" s="50" t="n">
        <x:f>MIN(C803-E803,MAX(0,Inputs!$B$20-O803))</x:f>
        <x:v>600</x:v>
      </x:c>
      <x:c r="G803" s="50" t="n">
        <x:f>0</x:f>
        <x:v>0</x:v>
      </x:c>
      <x:c r="H803" s="41" t="n">
        <x:f>0</x:f>
        <x:v>0</x:v>
      </x:c>
      <x:c r="I803" s="50" t="n">
        <x:f>(I802*(1+Inputs!$B$12))+E803</x:f>
        <x:v>740033.5086226662</x:v>
      </x:c>
      <x:c r="J803" s="50" t="n">
        <x:f>(J802*(1+Inputs!$B$12))+F803+P803</x:f>
        <x:v>880061.2975348841</x:v>
      </x:c>
      <x:c r="K803" s="50" t="n">
        <x:f>(K802*(1+Inputs!$B$12))*(1-H803)</x:f>
        <x:v>0</x:v>
      </x:c>
      <x:c r="L803" s="50" t="n">
        <x:f>L802*(1+Inputs!$B$13)+Q803</x:f>
        <x:v>55474.5937767663</x:v>
      </x:c>
      <x:c r="M803" s="50" t="n">
        <x:f>I803+J803+L803</x:f>
        <x:v>1675569.3999343165</x:v>
      </x:c>
      <x:c r="N803" s="50" t="n">
        <x:f>F803+P803</x:f>
        <x:v>600</x:v>
      </x:c>
      <x:c r="O803" s="50" t="n">
        <x:f>IF(B803=1,0,O802+F802+P802)</x:f>
        <x:v>7857.14285714286</x:v>
      </x:c>
      <x:c r="P803" s="50" t="n">
        <x:f>MIN(G803,MAX(0,Inputs!$B$20-O803-F803))</x:f>
        <x:v>0</x:v>
      </x:c>
      <x:c r="Q803" s="50" t="n">
        <x:f>(C803-E803-F803)+(G803-P803)</x:f>
        <x:v>0</x:v>
      </x:c>
    </x:row>
    <x:row r="804">
      <x:c r="A804" s="41" t="n">
        <x:f>IF(B804=1,A803+1,A803)</x:f>
        <x:v>2057</x:v>
      </x:c>
      <x:c r="B804" s="41" t="n">
        <x:f>IF(B803=26,1,B803+1)</x:f>
        <x:v>23</x:v>
      </x:c>
      <x:c r="C804" s="48" t="n">
        <x:f>Inputs!$F$33</x:f>
        <x:v>600</x:v>
      </x:c>
      <x:c r="D804" s="50" t="n">
        <x:f>IF(B804=1,0,D803+E803)</x:f>
        <x:v>8000</x:v>
      </x:c>
      <x:c r="E804" s="50" t="n">
        <x:f>MIN(C804,MAX(0,Inputs!$B$7-D804))</x:f>
        <x:v>0</x:v>
      </x:c>
      <x:c r="F804" s="50" t="n">
        <x:f>MIN(C804-E804,MAX(0,Inputs!$B$20-O804))</x:f>
        <x:v>600</x:v>
      </x:c>
      <x:c r="G804" s="50" t="n">
        <x:f>0</x:f>
        <x:v>0</x:v>
      </x:c>
      <x:c r="H804" s="41" t="n">
        <x:f>0</x:f>
        <x:v>0</x:v>
      </x:c>
      <x:c r="I804" s="50" t="n">
        <x:f>(I803*(1+Inputs!$B$12))+E804</x:f>
        <x:v>741423.5184370771</x:v>
      </x:c>
      <x:c r="J804" s="50" t="n">
        <x:f>(J803*(1+Inputs!$B$12))+F804+P804</x:f>
        <x:v>882314.3224676785</x:v>
      </x:c>
      <x:c r="K804" s="50" t="n">
        <x:f>(K803*(1+Inputs!$B$12))*(1-H804)</x:f>
        <x:v>0</x:v>
      </x:c>
      <x:c r="L804" s="50" t="n">
        <x:f>L803*(1+Inputs!$B$13)+Q804</x:f>
        <x:v>55571.65514155001</x:v>
      </x:c>
      <x:c r="M804" s="50" t="n">
        <x:f>I804+J804+L804</x:f>
        <x:v>1679309.4960463056</x:v>
      </x:c>
      <x:c r="N804" s="50" t="n">
        <x:f>F804+P804</x:f>
        <x:v>600</x:v>
      </x:c>
      <x:c r="O804" s="50" t="n">
        <x:f>IF(B804=1,0,O803+F803+P803)</x:f>
        <x:v>8457.142857142859</x:v>
      </x:c>
      <x:c r="P804" s="50" t="n">
        <x:f>MIN(G804,MAX(0,Inputs!$B$20-O804-F804))</x:f>
        <x:v>0</x:v>
      </x:c>
      <x:c r="Q804" s="50" t="n">
        <x:f>(C804-E804-F804)+(G804-P804)</x:f>
        <x:v>0</x:v>
      </x:c>
    </x:row>
    <x:row r="805">
      <x:c r="A805" s="41" t="n">
        <x:f>IF(B805=1,A804+1,A804)</x:f>
        <x:v>2057</x:v>
      </x:c>
      <x:c r="B805" s="41" t="n">
        <x:f>IF(B804=26,1,B804+1)</x:f>
        <x:v>24</x:v>
      </x:c>
      <x:c r="C805" s="48" t="n">
        <x:f>Inputs!$F$33</x:f>
        <x:v>600</x:v>
      </x:c>
      <x:c r="D805" s="50" t="n">
        <x:f>IF(B805=1,0,D804+E804)</x:f>
        <x:v>8000</x:v>
      </x:c>
      <x:c r="E805" s="50" t="n">
        <x:f>MIN(C805,MAX(0,Inputs!$B$7-D805))</x:f>
        <x:v>0</x:v>
      </x:c>
      <x:c r="F805" s="50" t="n">
        <x:f>MIN(C805-E805,MAX(0,Inputs!$B$20-O805))</x:f>
        <x:v>600</x:v>
      </x:c>
      <x:c r="G805" s="50" t="n">
        <x:f>0</x:f>
        <x:v>0</x:v>
      </x:c>
      <x:c r="H805" s="41" t="n">
        <x:f>0</x:f>
        <x:v>0</x:v>
      </x:c>
      <x:c r="I805" s="50" t="n">
        <x:f>(I804*(1+Inputs!$B$12))+E805</x:f>
        <x:v>742816.1391160793</x:v>
      </x:c>
      <x:c r="J805" s="50" t="n">
        <x:f>(J804*(1+Inputs!$B$12))+F805+P805</x:f>
        <x:v>884571.5792720466</x:v>
      </x:c>
      <x:c r="K805" s="50" t="n">
        <x:f>(K804*(1+Inputs!$B$12))*(1-H805)</x:f>
        <x:v>0</x:v>
      </x:c>
      <x:c r="L805" s="50" t="n">
        <x:f>L804*(1+Inputs!$B$13)+Q805</x:f>
        <x:v>55668.88633017364</x:v>
      </x:c>
      <x:c r="M805" s="50" t="n">
        <x:f>I805+J805+L805</x:f>
        <x:v>1683056.6047182993</x:v>
      </x:c>
      <x:c r="N805" s="50" t="n">
        <x:f>F805+P805</x:f>
        <x:v>600</x:v>
      </x:c>
      <x:c r="O805" s="50" t="n">
        <x:f>IF(B805=1,0,O804+F804+P804)</x:f>
        <x:v>9057.142857142859</x:v>
      </x:c>
      <x:c r="P805" s="50" t="n">
        <x:f>MIN(G805,MAX(0,Inputs!$B$20-O805-F805))</x:f>
        <x:v>0</x:v>
      </x:c>
      <x:c r="Q805" s="50" t="n">
        <x:f>(C805-E805-F805)+(G805-P805)</x:f>
        <x:v>0</x:v>
      </x:c>
    </x:row>
    <x:row r="806">
      <x:c r="A806" s="41" t="n">
        <x:f>IF(B806=1,A805+1,A805)</x:f>
        <x:v>2057</x:v>
      </x:c>
      <x:c r="B806" s="41" t="n">
        <x:f>IF(B805=26,1,B805+1)</x:f>
        <x:v>25</x:v>
      </x:c>
      <x:c r="C806" s="48" t="n">
        <x:f>Inputs!$F$33</x:f>
        <x:v>600</x:v>
      </x:c>
      <x:c r="D806" s="50" t="n">
        <x:f>IF(B806=1,0,D805+E805)</x:f>
        <x:v>8000</x:v>
      </x:c>
      <x:c r="E806" s="50" t="n">
        <x:f>MIN(C806,MAX(0,Inputs!$B$7-D806))</x:f>
        <x:v>0</x:v>
      </x:c>
      <x:c r="F806" s="50" t="n">
        <x:f>MIN(C806-E806,MAX(0,Inputs!$B$20-O806))</x:f>
        <x:v>600</x:v>
      </x:c>
      <x:c r="G806" s="50" t="n">
        <x:f>0</x:f>
        <x:v>0</x:v>
      </x:c>
      <x:c r="H806" s="41" t="n">
        <x:f>0</x:f>
        <x:v>0</x:v>
      </x:c>
      <x:c r="I806" s="50" t="n">
        <x:f>(I805*(1+Inputs!$B$12))+E806</x:f>
        <x:v>744211.3755636773</x:v>
      </x:c>
      <x:c r="J806" s="50" t="n">
        <x:f>(J805*(1+Inputs!$B$12))+F806+P806</x:f>
        <x:v>886833.0758967405</x:v>
      </x:c>
      <x:c r="K806" s="50" t="n">
        <x:f>(K805*(1+Inputs!$B$12))*(1-H806)</x:f>
        <x:v>0</x:v>
      </x:c>
      <x:c r="L806" s="50" t="n">
        <x:f>L805*(1+Inputs!$B$13)+Q806</x:f>
        <x:v>55766.28763977023</x:v>
      </x:c>
      <x:c r="M806" s="50" t="n">
        <x:f>I806+J806+L806</x:f>
        <x:v>1686810.739100188</x:v>
      </x:c>
      <x:c r="N806" s="50" t="n">
        <x:f>F806+P806</x:f>
        <x:v>600</x:v>
      </x:c>
      <x:c r="O806" s="50" t="n">
        <x:f>IF(B806=1,0,O805+F805+P805)</x:f>
        <x:v>9657.142857142859</x:v>
      </x:c>
      <x:c r="P806" s="50" t="n">
        <x:f>MIN(G806,MAX(0,Inputs!$B$20-O806-F806))</x:f>
        <x:v>0</x:v>
      </x:c>
      <x:c r="Q806" s="50" t="n">
        <x:f>(C806-E806-F806)+(G806-P806)</x:f>
        <x:v>0</x:v>
      </x:c>
    </x:row>
    <x:row r="807">
      <x:c r="A807" s="41" t="n">
        <x:f>IF(B807=1,A806+1,A806)</x:f>
        <x:v>2057</x:v>
      </x:c>
      <x:c r="B807" s="41" t="n">
        <x:f>IF(B806=26,1,B806+1)</x:f>
        <x:v>26</x:v>
      </x:c>
      <x:c r="C807" s="48" t="n">
        <x:f>Inputs!$F$33</x:f>
        <x:v>600</x:v>
      </x:c>
      <x:c r="D807" s="50" t="n">
        <x:f>IF(B807=1,0,D806+E806)</x:f>
        <x:v>8000</x:v>
      </x:c>
      <x:c r="E807" s="50" t="n">
        <x:f>MIN(C807,MAX(0,Inputs!$B$7-D807))</x:f>
        <x:v>0</x:v>
      </x:c>
      <x:c r="F807" s="50" t="n">
        <x:f>MIN(C807-E807,MAX(0,Inputs!$B$20-O807))</x:f>
        <x:v>600</x:v>
      </x:c>
      <x:c r="G807" s="50" t="n">
        <x:f>0</x:f>
        <x:v>0</x:v>
      </x:c>
      <x:c r="H807" s="41" t="n">
        <x:f>IF(A807=Inputs!$B$8,1,0)</x:f>
        <x:v>0</x:v>
      </x:c>
      <x:c r="I807" s="50" t="n">
        <x:f>(I806*(1+Inputs!$B$12))+E807</x:f>
        <x:v>745609.2326930863</x:v>
      </x:c>
      <x:c r="J807" s="50" t="n">
        <x:f>(J806*(1+Inputs!$B$12))+F807+P807</x:f>
        <x:v>889098.8203054429</x:v>
      </x:c>
      <x:c r="K807" s="50" t="n">
        <x:f>(K806*(1+Inputs!$B$12))*(1-H807)</x:f>
        <x:v>0</x:v>
      </x:c>
      <x:c r="L807" s="50" t="n">
        <x:f>L806*(1+Inputs!$B$13)+Q807</x:f>
        <x:v>55863.85936799267</x:v>
      </x:c>
      <x:c r="M807" s="50" t="n">
        <x:f>I807+J807+L807</x:f>
        <x:v>1690571.912366522</x:v>
      </x:c>
      <x:c r="N807" s="50" t="n">
        <x:f>F807+P807</x:f>
        <x:v>600</x:v>
      </x:c>
      <x:c r="O807" s="50" t="n">
        <x:f>IF(B807=1,0,O806+F806+P806)</x:f>
        <x:v>10257.142857142859</x:v>
      </x:c>
      <x:c r="P807" s="50" t="n">
        <x:f>MIN(G807,MAX(0,Inputs!$B$20-O807-F807))</x:f>
        <x:v>0</x:v>
      </x:c>
      <x:c r="Q807" s="50" t="n">
        <x:f>(C807-E807-F807)+(G807-P807)</x:f>
        <x:v>0</x:v>
      </x:c>
    </x:row>
    <x:row r="808">
      <x:c r="A808" s="41" t="n">
        <x:f>IF(B808=1,A807+1,A807)</x:f>
        <x:v>2058</x:v>
      </x:c>
      <x:c r="B808" s="41" t="n">
        <x:f>IF(B807=26,1,B807+1)</x:f>
        <x:v>1</x:v>
      </x:c>
      <x:c r="C808" s="48" t="n">
        <x:f>Inputs!$F$34</x:f>
        <x:v>600</x:v>
      </x:c>
      <x:c r="D808" s="50" t="n">
        <x:f>IF(B808=1,0,D807+E807)</x:f>
        <x:v>0</x:v>
      </x:c>
      <x:c r="E808" s="50" t="n">
        <x:f>MIN(C808,MAX(0,Inputs!$B$7-D808))</x:f>
        <x:v>600</x:v>
      </x:c>
      <x:c r="F808" s="50" t="n">
        <x:f>MIN(C808-E808,MAX(0,Inputs!$B$20-O808))</x:f>
        <x:v>0</x:v>
      </x:c>
      <x:c r="G808" s="50" t="n">
        <x:f>0</x:f>
        <x:v>0</x:v>
      </x:c>
      <x:c r="H808" s="41" t="n">
        <x:f>0</x:f>
        <x:v>0</x:v>
      </x:c>
      <x:c r="I808" s="50" t="n">
        <x:f>(I807*(1+Inputs!$B$12))+E808</x:f>
        <x:v>747609.7154267501</x:v>
      </x:c>
      <x:c r="J808" s="50" t="n">
        <x:f>(J807*(1+Inputs!$B$12))+F808+P808</x:f>
        <x:v>890768.8204767944</x:v>
      </x:c>
      <x:c r="K808" s="50" t="n">
        <x:f>(K807*(1+Inputs!$B$12))*(1-H808)</x:f>
        <x:v>0</x:v>
      </x:c>
      <x:c r="L808" s="50" t="n">
        <x:f>L807*(1+Inputs!$B$13)+Q808</x:f>
        <x:v>55961.601813014655</x:v>
      </x:c>
      <x:c r="M808" s="50" t="n">
        <x:f>I808+J808+L808</x:f>
        <x:v>1694340.1377165592</x:v>
      </x:c>
      <x:c r="N808" s="50" t="n">
        <x:f>F808+P808</x:f>
        <x:v>0</x:v>
      </x:c>
      <x:c r="O808" s="50" t="n">
        <x:f>IF(B808=1,0,O807+F807+P807)</x:f>
        <x:v>0</x:v>
      </x:c>
      <x:c r="P808" s="50" t="n">
        <x:f>MIN(G808,MAX(0,Inputs!$B$20-O808-F808))</x:f>
        <x:v>0</x:v>
      </x:c>
      <x:c r="Q808" s="50" t="n">
        <x:f>(C808-E808-F808)+(G808-P808)</x:f>
        <x:v>0</x:v>
      </x:c>
    </x:row>
    <x:row r="809">
      <x:c r="A809" s="41" t="n">
        <x:f>IF(B809=1,A808+1,A808)</x:f>
        <x:v>2058</x:v>
      </x:c>
      <x:c r="B809" s="41" t="n">
        <x:f>IF(B808=26,1,B808+1)</x:f>
        <x:v>2</x:v>
      </x:c>
      <x:c r="C809" s="48" t="n">
        <x:f>Inputs!$F$34</x:f>
        <x:v>600</x:v>
      </x:c>
      <x:c r="D809" s="50" t="n">
        <x:f>IF(B809=1,0,D808+E808)</x:f>
        <x:v>600</x:v>
      </x:c>
      <x:c r="E809" s="50" t="n">
        <x:f>MIN(C809,MAX(0,Inputs!$B$7-D809))</x:f>
        <x:v>600</x:v>
      </x:c>
      <x:c r="F809" s="50" t="n">
        <x:f>MIN(C809-E809,MAX(0,Inputs!$B$20-O809))</x:f>
        <x:v>0</x:v>
      </x:c>
      <x:c r="G809" s="50" t="n">
        <x:f>0</x:f>
        <x:v>0</x:v>
      </x:c>
      <x:c r="H809" s="41" t="n">
        <x:f>0</x:f>
        <x:v>0</x:v>
      </x:c>
      <x:c r="I809" s="50" t="n">
        <x:f>(I808*(1+Inputs!$B$12))+E809</x:f>
        <x:v>749613.9556803113</x:v>
      </x:c>
      <x:c r="J809" s="50" t="n">
        <x:f>(J808*(1+Inputs!$B$12))+F809+P809</x:f>
        <x:v>892441.9574204693</x:v>
      </x:c>
      <x:c r="K809" s="50" t="n">
        <x:f>(K808*(1+Inputs!$B$12))*(1-H809)</x:f>
        <x:v>0</x:v>
      </x:c>
      <x:c r="L809" s="50" t="n">
        <x:f>L808*(1+Inputs!$B$13)+Q809</x:f>
        <x:v>56059.51527353158</x:v>
      </x:c>
      <x:c r="M809" s="50" t="n">
        <x:f>I809+J809+L809</x:f>
        <x:v>1698115.4283743121</x:v>
      </x:c>
      <x:c r="N809" s="50" t="n">
        <x:f>F809+P809</x:f>
        <x:v>0</x:v>
      </x:c>
      <x:c r="O809" s="50" t="n">
        <x:f>IF(B809=1,0,O808+F808+P808)</x:f>
        <x:v>0</x:v>
      </x:c>
      <x:c r="P809" s="50" t="n">
        <x:f>MIN(G809,MAX(0,Inputs!$B$20-O809-F809))</x:f>
        <x:v>0</x:v>
      </x:c>
      <x:c r="Q809" s="50" t="n">
        <x:f>(C809-E809-F809)+(G809-P809)</x:f>
        <x:v>0</x:v>
      </x:c>
    </x:row>
    <x:row r="810">
      <x:c r="A810" s="41" t="n">
        <x:f>IF(B810=1,A809+1,A809)</x:f>
        <x:v>2058</x:v>
      </x:c>
      <x:c r="B810" s="41" t="n">
        <x:f>IF(B809=26,1,B809+1)</x:f>
        <x:v>3</x:v>
      </x:c>
      <x:c r="C810" s="48" t="n">
        <x:f>Inputs!$F$34</x:f>
        <x:v>600</x:v>
      </x:c>
      <x:c r="D810" s="50" t="n">
        <x:f>IF(B810=1,0,D809+E809)</x:f>
        <x:v>1200</x:v>
      </x:c>
      <x:c r="E810" s="50" t="n">
        <x:f>MIN(C810,MAX(0,Inputs!$B$7-D810))</x:f>
        <x:v>600</x:v>
      </x:c>
      <x:c r="F810" s="50" t="n">
        <x:f>MIN(C810-E810,MAX(0,Inputs!$B$20-O810))</x:f>
        <x:v>0</x:v>
      </x:c>
      <x:c r="G810" s="50" t="n">
        <x:f>0</x:f>
        <x:v>0</x:v>
      </x:c>
      <x:c r="H810" s="41" t="n">
        <x:f>0</x:f>
        <x:v>0</x:v>
      </x:c>
      <x:c r="I810" s="50" t="n">
        <x:f>(I809*(1+Inputs!$B$12))+E810</x:f>
        <x:v>751621.9605115443</x:v>
      </x:c>
      <x:c r="J810" s="50" t="n">
        <x:f>(J809*(1+Inputs!$B$12))+F810+P810</x:f>
        <x:v>894118.2370282876</x:v>
      </x:c>
      <x:c r="K810" s="50" t="n">
        <x:f>(K809*(1+Inputs!$B$12))*(1-H810)</x:f>
        <x:v>0</x:v>
      </x:c>
      <x:c r="L810" s="50" t="n">
        <x:f>L809*(1+Inputs!$B$13)+Q810</x:f>
        <x:v>56157.600048761444</x:v>
      </x:c>
      <x:c r="M810" s="50" t="n">
        <x:f>I810+J810+L810</x:f>
        <x:v>1701897.7975885933</x:v>
      </x:c>
      <x:c r="N810" s="50" t="n">
        <x:f>F810+P810</x:f>
        <x:v>0</x:v>
      </x:c>
      <x:c r="O810" s="50" t="n">
        <x:f>IF(B810=1,0,O809+F809+P809)</x:f>
        <x:v>0</x:v>
      </x:c>
      <x:c r="P810" s="50" t="n">
        <x:f>MIN(G810,MAX(0,Inputs!$B$20-O810-F810))</x:f>
        <x:v>0</x:v>
      </x:c>
      <x:c r="Q810" s="50" t="n">
        <x:f>(C810-E810-F810)+(G810-P810)</x:f>
        <x:v>0</x:v>
      </x:c>
    </x:row>
    <x:row r="811">
      <x:c r="A811" s="41" t="n">
        <x:f>IF(B811=1,A810+1,A810)</x:f>
        <x:v>2058</x:v>
      </x:c>
      <x:c r="B811" s="41" t="n">
        <x:f>IF(B810=26,1,B810+1)</x:f>
        <x:v>4</x:v>
      </x:c>
      <x:c r="C811" s="48" t="n">
        <x:f>Inputs!$F$34</x:f>
        <x:v>600</x:v>
      </x:c>
      <x:c r="D811" s="50" t="n">
        <x:f>IF(B811=1,0,D810+E810)</x:f>
        <x:v>1800</x:v>
      </x:c>
      <x:c r="E811" s="50" t="n">
        <x:f>MIN(C811,MAX(0,Inputs!$B$7-D811))</x:f>
        <x:v>600</x:v>
      </x:c>
      <x:c r="F811" s="50" t="n">
        <x:f>MIN(C811-E811,MAX(0,Inputs!$B$20-O811))</x:f>
        <x:v>0</x:v>
      </x:c>
      <x:c r="G811" s="50" t="n">
        <x:f>0</x:f>
        <x:v>0</x:v>
      </x:c>
      <x:c r="H811" s="41" t="n">
        <x:f>0</x:f>
        <x:v>0</x:v>
      </x:c>
      <x:c r="I811" s="50" t="n">
        <x:f>(I810*(1+Inputs!$B$12))+E811</x:f>
        <x:v>753633.7369914799</x:v>
      </x:c>
      <x:c r="J811" s="50" t="n">
        <x:f>(J810*(1+Inputs!$B$12))+F811+P811</x:f>
        <x:v>895797.6652031363</x:v>
      </x:c>
      <x:c r="K811" s="50" t="n">
        <x:f>(K810*(1+Inputs!$B$12))*(1-H811)</x:f>
        <x:v>0</x:v>
      </x:c>
      <x:c r="L811" s="50" t="n">
        <x:f>L810*(1+Inputs!$B$13)+Q811</x:f>
        <x:v>56255.856438445786</x:v>
      </x:c>
      <x:c r="M811" s="50" t="n">
        <x:f>I811+J811+L811</x:f>
        <x:v>1705687.258633062</x:v>
      </x:c>
      <x:c r="N811" s="50" t="n">
        <x:f>F811+P811</x:f>
        <x:v>0</x:v>
      </x:c>
      <x:c r="O811" s="50" t="n">
        <x:f>IF(B811=1,0,O810+F810+P810)</x:f>
        <x:v>0</x:v>
      </x:c>
      <x:c r="P811" s="50" t="n">
        <x:f>MIN(G811,MAX(0,Inputs!$B$20-O811-F811))</x:f>
        <x:v>0</x:v>
      </x:c>
      <x:c r="Q811" s="50" t="n">
        <x:f>(C811-E811-F811)+(G811-P811)</x:f>
        <x:v>0</x:v>
      </x:c>
    </x:row>
    <x:row r="812">
      <x:c r="A812" s="41" t="n">
        <x:f>IF(B812=1,A811+1,A811)</x:f>
        <x:v>2058</x:v>
      </x:c>
      <x:c r="B812" s="41" t="n">
        <x:f>IF(B811=26,1,B811+1)</x:f>
        <x:v>5</x:v>
      </x:c>
      <x:c r="C812" s="48" t="n">
        <x:f>Inputs!$F$34</x:f>
        <x:v>600</x:v>
      </x:c>
      <x:c r="D812" s="50" t="n">
        <x:f>IF(B812=1,0,D811+E811)</x:f>
        <x:v>2400</x:v>
      </x:c>
      <x:c r="E812" s="50" t="n">
        <x:f>MIN(C812,MAX(0,Inputs!$B$7-D812))</x:f>
        <x:v>600</x:v>
      </x:c>
      <x:c r="F812" s="50" t="n">
        <x:f>MIN(C812-E812,MAX(0,Inputs!$B$20-O812))</x:f>
        <x:v>0</x:v>
      </x:c>
      <x:c r="G812" s="50" t="n">
        <x:f>0</x:f>
        <x:v>0</x:v>
      </x:c>
      <x:c r="H812" s="41" t="n">
        <x:f>0</x:f>
        <x:v>0</x:v>
      </x:c>
      <x:c r="I812" s="50" t="n">
        <x:f>(I811*(1+Inputs!$B$12))+E812</x:f>
        <x:v>755649.2922044309</x:v>
      </x:c>
      <x:c r="J812" s="50" t="n">
        <x:f>(J811*(1+Inputs!$B$12))+F812+P812</x:f>
        <x:v>897480.2478589894</x:v>
      </x:c>
      <x:c r="K812" s="50" t="n">
        <x:f>(K811*(1+Inputs!$B$12))*(1-H812)</x:f>
        <x:v>0</x:v>
      </x:c>
      <x:c r="L812" s="50" t="n">
        <x:f>L811*(1+Inputs!$B$13)+Q812</x:f>
        <x:v>56354.28474285058</x:v>
      </x:c>
      <x:c r="M812" s="50" t="n">
        <x:f>I812+J812+L812</x:f>
        <x:v>1709483.824806271</x:v>
      </x:c>
      <x:c r="N812" s="50" t="n">
        <x:f>F812+P812</x:f>
        <x:v>0</x:v>
      </x:c>
      <x:c r="O812" s="50" t="n">
        <x:f>IF(B812=1,0,O811+F811+P811)</x:f>
        <x:v>0</x:v>
      </x:c>
      <x:c r="P812" s="50" t="n">
        <x:f>MIN(G812,MAX(0,Inputs!$B$20-O812-F812))</x:f>
        <x:v>0</x:v>
      </x:c>
      <x:c r="Q812" s="50" t="n">
        <x:f>(C812-E812-F812)+(G812-P812)</x:f>
        <x:v>0</x:v>
      </x:c>
    </x:row>
    <x:row r="813">
      <x:c r="A813" s="41" t="n">
        <x:f>IF(B813=1,A812+1,A812)</x:f>
        <x:v>2058</x:v>
      </x:c>
      <x:c r="B813" s="41" t="n">
        <x:f>IF(B812=26,1,B812+1)</x:f>
        <x:v>6</x:v>
      </x:c>
      <x:c r="C813" s="48" t="n">
        <x:f>Inputs!$F$34</x:f>
        <x:v>600</x:v>
      </x:c>
      <x:c r="D813" s="50" t="n">
        <x:f>IF(B813=1,0,D812+E812)</x:f>
        <x:v>3000</x:v>
      </x:c>
      <x:c r="E813" s="50" t="n">
        <x:f>MIN(C813,MAX(0,Inputs!$B$7-D813))</x:f>
        <x:v>600</x:v>
      </x:c>
      <x:c r="F813" s="50" t="n">
        <x:f>MIN(C813-E813,MAX(0,Inputs!$B$20-O813))</x:f>
        <x:v>0</x:v>
      </x:c>
      <x:c r="G813" s="50" t="n">
        <x:f>0</x:f>
        <x:v>0</x:v>
      </x:c>
      <x:c r="H813" s="41" t="n">
        <x:f>0</x:f>
        <x:v>0</x:v>
      </x:c>
      <x:c r="I813" s="50" t="n">
        <x:f>(I812*(1+Inputs!$B$12))+E813</x:f>
        <x:v>757668.6332480165</x:v>
      </x:c>
      <x:c r="J813" s="50" t="n">
        <x:f>(J812*(1+Inputs!$B$12))+F813+P813</x:f>
        <x:v>899165.9909209295</x:v>
      </x:c>
      <x:c r="K813" s="50" t="n">
        <x:f>(K812*(1+Inputs!$B$12))*(1-H813)</x:f>
        <x:v>0</x:v>
      </x:c>
      <x:c r="L813" s="50" t="n">
        <x:f>L812*(1+Inputs!$B$13)+Q813</x:f>
        <x:v>56452.885262767166</x:v>
      </x:c>
      <x:c r="M813" s="50" t="n">
        <x:f>I813+J813+L813</x:f>
        <x:v>1713287.509431713</x:v>
      </x:c>
      <x:c r="N813" s="50" t="n">
        <x:f>F813+P813</x:f>
        <x:v>0</x:v>
      </x:c>
      <x:c r="O813" s="50" t="n">
        <x:f>IF(B813=1,0,O812+F812+P812)</x:f>
        <x:v>0</x:v>
      </x:c>
      <x:c r="P813" s="50" t="n">
        <x:f>MIN(G813,MAX(0,Inputs!$B$20-O813-F813))</x:f>
        <x:v>0</x:v>
      </x:c>
      <x:c r="Q813" s="50" t="n">
        <x:f>(C813-E813-F813)+(G813-P813)</x:f>
        <x:v>0</x:v>
      </x:c>
    </x:row>
    <x:row r="814">
      <x:c r="A814" s="41" t="n">
        <x:f>IF(B814=1,A813+1,A813)</x:f>
        <x:v>2058</x:v>
      </x:c>
      <x:c r="B814" s="41" t="n">
        <x:f>IF(B813=26,1,B813+1)</x:f>
        <x:v>7</x:v>
      </x:c>
      <x:c r="C814" s="48" t="n">
        <x:f>Inputs!$F$34</x:f>
        <x:v>600</x:v>
      </x:c>
      <x:c r="D814" s="50" t="n">
        <x:f>IF(B814=1,0,D813+E813)</x:f>
        <x:v>3600</x:v>
      </x:c>
      <x:c r="E814" s="50" t="n">
        <x:f>MIN(C814,MAX(0,Inputs!$B$7-D814))</x:f>
        <x:v>600</x:v>
      </x:c>
      <x:c r="F814" s="50" t="n">
        <x:f>MIN(C814-E814,MAX(0,Inputs!$B$20-O814))</x:f>
        <x:v>0</x:v>
      </x:c>
      <x:c r="G814" s="50" t="n">
        <x:f>0</x:f>
        <x:v>0</x:v>
      </x:c>
      <x:c r="H814" s="41" t="n">
        <x:f>0</x:f>
        <x:v>0</x:v>
      </x:c>
      <x:c r="I814" s="50" t="n">
        <x:f>(I813*(1+Inputs!$B$12))+E814</x:f>
        <x:v>759691.7672331871</x:v>
      </x:c>
      <x:c r="J814" s="50" t="n">
        <x:f>(J813*(1+Inputs!$B$12))+F814+P814</x:f>
        <x:v>900854.9003251682</x:v>
      </x:c>
      <x:c r="K814" s="50" t="n">
        <x:f>(K813*(1+Inputs!$B$12))*(1-H814)</x:f>
        <x:v>0</x:v>
      </x:c>
      <x:c r="L814" s="50" t="n">
        <x:f>L813*(1+Inputs!$B$13)+Q814</x:f>
        <x:v>56551.65829951317</x:v>
      </x:c>
      <x:c r="M814" s="50" t="n">
        <x:f>I814+J814+L814</x:f>
        <x:v>1717098.3258578684</x:v>
      </x:c>
      <x:c r="N814" s="50" t="n">
        <x:f>F814+P814</x:f>
        <x:v>0</x:v>
      </x:c>
      <x:c r="O814" s="50" t="n">
        <x:f>IF(B814=1,0,O813+F813+P813)</x:f>
        <x:v>0</x:v>
      </x:c>
      <x:c r="P814" s="50" t="n">
        <x:f>MIN(G814,MAX(0,Inputs!$B$20-O814-F814))</x:f>
        <x:v>0</x:v>
      </x:c>
      <x:c r="Q814" s="50" t="n">
        <x:f>(C814-E814-F814)+(G814-P814)</x:f>
        <x:v>0</x:v>
      </x:c>
    </x:row>
    <x:row r="815">
      <x:c r="A815" s="41" t="n">
        <x:f>IF(B815=1,A814+1,A814)</x:f>
        <x:v>2058</x:v>
      </x:c>
      <x:c r="B815" s="41" t="n">
        <x:f>IF(B814=26,1,B814+1)</x:f>
        <x:v>8</x:v>
      </x:c>
      <x:c r="C815" s="48" t="n">
        <x:f>Inputs!$F$34</x:f>
        <x:v>600</x:v>
      </x:c>
      <x:c r="D815" s="50" t="n">
        <x:f>IF(B815=1,0,D814+E814)</x:f>
        <x:v>4200</x:v>
      </x:c>
      <x:c r="E815" s="50" t="n">
        <x:f>MIN(C815,MAX(0,Inputs!$B$7-D815))</x:f>
        <x:v>600</x:v>
      </x:c>
      <x:c r="F815" s="50" t="n">
        <x:f>MIN(C815-E815,MAX(0,Inputs!$B$20-O815))</x:f>
        <x:v>0</x:v>
      </x:c>
      <x:c r="G815" s="50" t="n">
        <x:f>0</x:f>
        <x:v>0</x:v>
      </x:c>
      <x:c r="H815" s="41" t="n">
        <x:f>0</x:f>
        <x:v>0</x:v>
      </x:c>
      <x:c r="I815" s="50" t="n">
        <x:f>(I814*(1+Inputs!$B$12))+E815</x:f>
        <x:v>761718.70128425</x:v>
      </x:c>
      <x:c r="J815" s="50" t="n">
        <x:f>(J814*(1+Inputs!$B$12))+F815+P815</x:f>
        <x:v>902546.9820190669</x:v>
      </x:c>
      <x:c r="K815" s="50" t="n">
        <x:f>(K814*(1+Inputs!$B$12))*(1-H815)</x:f>
        <x:v>0</x:v>
      </x:c>
      <x:c r="L815" s="50" t="n">
        <x:f>L814*(1+Inputs!$B$13)+Q815</x:f>
        <x:v>56650.60415493341</x:v>
      </x:c>
      <x:c r="M815" s="50" t="n">
        <x:f>I815+J815+L815</x:f>
        <x:v>1720916.2874582505</x:v>
      </x:c>
      <x:c r="N815" s="50" t="n">
        <x:f>F815+P815</x:f>
        <x:v>0</x:v>
      </x:c>
      <x:c r="O815" s="50" t="n">
        <x:f>IF(B815=1,0,O814+F814+P814)</x:f>
        <x:v>0</x:v>
      </x:c>
      <x:c r="P815" s="50" t="n">
        <x:f>MIN(G815,MAX(0,Inputs!$B$20-O815-F815))</x:f>
        <x:v>0</x:v>
      </x:c>
      <x:c r="Q815" s="50" t="n">
        <x:f>(C815-E815-F815)+(G815-P815)</x:f>
        <x:v>0</x:v>
      </x:c>
    </x:row>
    <x:row r="816">
      <x:c r="A816" s="41" t="n">
        <x:f>IF(B816=1,A815+1,A815)</x:f>
        <x:v>2058</x:v>
      </x:c>
      <x:c r="B816" s="41" t="n">
        <x:f>IF(B815=26,1,B815+1)</x:f>
        <x:v>9</x:v>
      </x:c>
      <x:c r="C816" s="48" t="n">
        <x:f>Inputs!$F$34</x:f>
        <x:v>600</x:v>
      </x:c>
      <x:c r="D816" s="50" t="n">
        <x:f>IF(B816=1,0,D815+E815)</x:f>
        <x:v>4800</x:v>
      </x:c>
      <x:c r="E816" s="50" t="n">
        <x:f>MIN(C816,MAX(0,Inputs!$B$7-D816))</x:f>
        <x:v>600</x:v>
      </x:c>
      <x:c r="F816" s="50" t="n">
        <x:f>MIN(C816-E816,MAX(0,Inputs!$B$20-O816))</x:f>
        <x:v>0</x:v>
      </x:c>
      <x:c r="G816" s="50" t="n">
        <x:f>SUM(N782:N807)*Inputs!$B$6</x:f>
        <x:v>3257.1428571428573</x:v>
      </x:c>
      <x:c r="H816" s="41" t="n">
        <x:f>0</x:f>
        <x:v>0</x:v>
      </x:c>
      <x:c r="I816" s="50" t="n">
        <x:f>(I815*(1+Inputs!$B$12))+E816</x:f>
        <x:v>763749.442538894</x:v>
      </x:c>
      <x:c r="J816" s="50" t="n">
        <x:f>(J815*(1+Inputs!$B$12))+F816+P816</x:f>
        <x:v>907499.3848183012</x:v>
      </x:c>
      <x:c r="K816" s="50" t="n">
        <x:f>(K815*(1+Inputs!$B$12))*(1-H816)</x:f>
        <x:v>0</x:v>
      </x:c>
      <x:c r="L816" s="50" t="n">
        <x:f>L815*(1+Inputs!$B$13)+Q816</x:f>
        <x:v>56749.72313140084</x:v>
      </x:c>
      <x:c r="M816" s="50" t="n">
        <x:f>I816+J816+L816</x:f>
        <x:v>1727998.550488596</x:v>
      </x:c>
      <x:c r="N816" s="50" t="n">
        <x:f>F816+P816</x:f>
        <x:v>3257.1428571428573</x:v>
      </x:c>
      <x:c r="O816" s="50" t="n">
        <x:f>IF(B816=1,0,O815+F815+P815)</x:f>
        <x:v>0</x:v>
      </x:c>
      <x:c r="P816" s="50" t="n">
        <x:f>MIN(G816,MAX(0,Inputs!$B$20-O816-F816))</x:f>
        <x:v>3257.1428571428573</x:v>
      </x:c>
      <x:c r="Q816" s="50" t="n">
        <x:f>(C816-E816-F816)+(G816-P816)</x:f>
        <x:v>0</x:v>
      </x:c>
    </x:row>
    <x:row r="817">
      <x:c r="A817" s="41" t="n">
        <x:f>IF(B817=1,A816+1,A816)</x:f>
        <x:v>2058</x:v>
      </x:c>
      <x:c r="B817" s="41" t="n">
        <x:f>IF(B816=26,1,B816+1)</x:f>
        <x:v>10</x:v>
      </x:c>
      <x:c r="C817" s="48" t="n">
        <x:f>Inputs!$F$34</x:f>
        <x:v>600</x:v>
      </x:c>
      <x:c r="D817" s="50" t="n">
        <x:f>IF(B817=1,0,D816+E816)</x:f>
        <x:v>5400</x:v>
      </x:c>
      <x:c r="E817" s="50" t="n">
        <x:f>MIN(C817,MAX(0,Inputs!$B$7-D817))</x:f>
        <x:v>600</x:v>
      </x:c>
      <x:c r="F817" s="50" t="n">
        <x:f>MIN(C817-E817,MAX(0,Inputs!$B$20-O817))</x:f>
        <x:v>0</x:v>
      </x:c>
      <x:c r="G817" s="50" t="n">
        <x:f>0</x:f>
        <x:v>0</x:v>
      </x:c>
      <x:c r="H817" s="41" t="n">
        <x:f>0</x:f>
        <x:v>0</x:v>
      </x:c>
      <x:c r="I817" s="50" t="n">
        <x:f>(I816*(1+Inputs!$B$12))+E817</x:f>
        <x:v>765783.9981482147</x:v>
      </x:c>
      <x:c r="J817" s="50" t="n">
        <x:f>(J816*(1+Inputs!$B$12))+F817+P817</x:f>
        <x:v>909203.9468911957</x:v>
      </x:c>
      <x:c r="K817" s="50" t="n">
        <x:f>(K816*(1+Inputs!$B$12))*(1-H817)</x:f>
        <x:v>0</x:v>
      </x:c>
      <x:c r="L817" s="50" t="n">
        <x:f>L816*(1+Inputs!$B$13)+Q817</x:f>
        <x:v>56849.015531817444</x:v>
      </x:c>
      <x:c r="M817" s="50" t="n">
        <x:f>I817+J817+L817</x:f>
        <x:v>1731836.9605712278</x:v>
      </x:c>
      <x:c r="N817" s="50" t="n">
        <x:f>F817+P817</x:f>
        <x:v>0</x:v>
      </x:c>
      <x:c r="O817" s="50" t="n">
        <x:f>IF(B817=1,0,O816+F816+P816)</x:f>
        <x:v>3257.1428571428573</x:v>
      </x:c>
      <x:c r="P817" s="50" t="n">
        <x:f>MIN(G817,MAX(0,Inputs!$B$20-O817-F817))</x:f>
        <x:v>0</x:v>
      </x:c>
      <x:c r="Q817" s="50" t="n">
        <x:f>(C817-E817-F817)+(G817-P817)</x:f>
        <x:v>0</x:v>
      </x:c>
    </x:row>
    <x:row r="818">
      <x:c r="A818" s="41" t="n">
        <x:f>IF(B818=1,A817+1,A817)</x:f>
        <x:v>2058</x:v>
      </x:c>
      <x:c r="B818" s="41" t="n">
        <x:f>IF(B817=26,1,B817+1)</x:f>
        <x:v>11</x:v>
      </x:c>
      <x:c r="C818" s="48" t="n">
        <x:f>Inputs!$F$34</x:f>
        <x:v>600</x:v>
      </x:c>
      <x:c r="D818" s="50" t="n">
        <x:f>IF(B818=1,0,D817+E817)</x:f>
        <x:v>6000</x:v>
      </x:c>
      <x:c r="E818" s="50" t="n">
        <x:f>MIN(C818,MAX(0,Inputs!$B$7-D818))</x:f>
        <x:v>600</x:v>
      </x:c>
      <x:c r="F818" s="50" t="n">
        <x:f>MIN(C818-E818,MAX(0,Inputs!$B$20-O818))</x:f>
        <x:v>0</x:v>
      </x:c>
      <x:c r="G818" s="50" t="n">
        <x:f>0</x:f>
        <x:v>0</x:v>
      </x:c>
      <x:c r="H818" s="41" t="n">
        <x:f>0</x:f>
        <x:v>0</x:v>
      </x:c>
      <x:c r="I818" s="50" t="n">
        <x:f>(I817*(1+Inputs!$B$12))+E818</x:f>
        <x:v>767822.3752767395</x:v>
      </x:c>
      <x:c r="J818" s="50" t="n">
        <x:f>(J817*(1+Inputs!$B$12))+F818+P818</x:f>
        <x:v>910911.7106542609</x:v>
      </x:c>
      <x:c r="K818" s="50" t="n">
        <x:f>(K817*(1+Inputs!$B$12))*(1-H818)</x:f>
        <x:v>0</x:v>
      </x:c>
      <x:c r="L818" s="50" t="n">
        <x:f>L817*(1+Inputs!$B$13)+Q818</x:f>
        <x:v>56948.4816596152</x:v>
      </x:c>
      <x:c r="M818" s="50" t="n">
        <x:f>I818+J818+L818</x:f>
        <x:v>1735682.5675906155</x:v>
      </x:c>
      <x:c r="N818" s="50" t="n">
        <x:f>F818+P818</x:f>
        <x:v>0</x:v>
      </x:c>
      <x:c r="O818" s="50" t="n">
        <x:f>IF(B818=1,0,O817+F817+P817)</x:f>
        <x:v>3257.1428571428573</x:v>
      </x:c>
      <x:c r="P818" s="50" t="n">
        <x:f>MIN(G818,MAX(0,Inputs!$B$20-O818-F818))</x:f>
        <x:v>0</x:v>
      </x:c>
      <x:c r="Q818" s="50" t="n">
        <x:f>(C818-E818-F818)+(G818-P818)</x:f>
        <x:v>0</x:v>
      </x:c>
    </x:row>
    <x:row r="819">
      <x:c r="A819" s="41" t="n">
        <x:f>IF(B819=1,A818+1,A818)</x:f>
        <x:v>2058</x:v>
      </x:c>
      <x:c r="B819" s="41" t="n">
        <x:f>IF(B818=26,1,B818+1)</x:f>
        <x:v>12</x:v>
      </x:c>
      <x:c r="C819" s="48" t="n">
        <x:f>Inputs!$F$34</x:f>
        <x:v>600</x:v>
      </x:c>
      <x:c r="D819" s="50" t="n">
        <x:f>IF(B819=1,0,D818+E818)</x:f>
        <x:v>6600</x:v>
      </x:c>
      <x:c r="E819" s="50" t="n">
        <x:f>MIN(C819,MAX(0,Inputs!$B$7-D819))</x:f>
        <x:v>600</x:v>
      </x:c>
      <x:c r="F819" s="50" t="n">
        <x:f>MIN(C819-E819,MAX(0,Inputs!$B$20-O819))</x:f>
        <x:v>0</x:v>
      </x:c>
      <x:c r="G819" s="50" t="n">
        <x:f>0</x:f>
        <x:v>0</x:v>
      </x:c>
      <x:c r="H819" s="41" t="n">
        <x:f>0</x:f>
        <x:v>0</x:v>
      </x:c>
      <x:c r="I819" s="50" t="n">
        <x:f>(I818*(1+Inputs!$B$12))+E819</x:f>
        <x:v>769864.581102453</x:v>
      </x:c>
      <x:c r="J819" s="50" t="n">
        <x:f>(J818*(1+Inputs!$B$12))+F819+P819</x:f>
        <x:v>912622.6821212526</x:v>
      </x:c>
      <x:c r="K819" s="50" t="n">
        <x:f>(K818*(1+Inputs!$B$12))*(1-H819)</x:f>
        <x:v>0</x:v>
      </x:c>
      <x:c r="L819" s="50" t="n">
        <x:f>L818*(1+Inputs!$B$13)+Q819</x:f>
        <x:v>57048.121818756976</x:v>
      </x:c>
      <x:c r="M819" s="50" t="n">
        <x:f>I819+J819+L819</x:f>
        <x:v>1739535.3850424627</x:v>
      </x:c>
      <x:c r="N819" s="50" t="n">
        <x:f>F819+P819</x:f>
        <x:v>0</x:v>
      </x:c>
      <x:c r="O819" s="50" t="n">
        <x:f>IF(B819=1,0,O818+F818+P818)</x:f>
        <x:v>3257.1428571428573</x:v>
      </x:c>
      <x:c r="P819" s="50" t="n">
        <x:f>MIN(G819,MAX(0,Inputs!$B$20-O819-F819))</x:f>
        <x:v>0</x:v>
      </x:c>
      <x:c r="Q819" s="50" t="n">
        <x:f>(C819-E819-F819)+(G819-P819)</x:f>
        <x:v>0</x:v>
      </x:c>
    </x:row>
    <x:row r="820">
      <x:c r="A820" s="41" t="n">
        <x:f>IF(B820=1,A819+1,A819)</x:f>
        <x:v>2058</x:v>
      </x:c>
      <x:c r="B820" s="41" t="n">
        <x:f>IF(B819=26,1,B819+1)</x:f>
        <x:v>13</x:v>
      </x:c>
      <x:c r="C820" s="48" t="n">
        <x:f>Inputs!$F$34</x:f>
        <x:v>600</x:v>
      </x:c>
      <x:c r="D820" s="50" t="n">
        <x:f>IF(B820=1,0,D819+E819)</x:f>
        <x:v>7200</x:v>
      </x:c>
      <x:c r="E820" s="50" t="n">
        <x:f>MIN(C820,MAX(0,Inputs!$B$7-D820))</x:f>
        <x:v>600</x:v>
      </x:c>
      <x:c r="F820" s="50" t="n">
        <x:f>MIN(C820-E820,MAX(0,Inputs!$B$20-O820))</x:f>
        <x:v>0</x:v>
      </x:c>
      <x:c r="G820" s="50" t="n">
        <x:f>0</x:f>
        <x:v>0</x:v>
      </x:c>
      <x:c r="H820" s="41" t="n">
        <x:f>0</x:f>
        <x:v>0</x:v>
      </x:c>
      <x:c r="I820" s="50" t="n">
        <x:f>(I819*(1+Inputs!$B$12))+E820</x:f>
        <x:v>771910.6228168227</x:v>
      </x:c>
      <x:c r="J820" s="50" t="n">
        <x:f>(J819*(1+Inputs!$B$12))+F820+P820</x:f>
        <x:v>914336.8673172223</x:v>
      </x:c>
      <x:c r="K820" s="50" t="n">
        <x:f>(K819*(1+Inputs!$B$12))*(1-H820)</x:f>
        <x:v>0</x:v>
      </x:c>
      <x:c r="L820" s="50" t="n">
        <x:f>L819*(1+Inputs!$B$13)+Q820</x:f>
        <x:v>57147.93631373747</x:v>
      </x:c>
      <x:c r="M820" s="50" t="n">
        <x:f>I820+J820+L820</x:f>
        <x:v>1743395.4264477824</x:v>
      </x:c>
      <x:c r="N820" s="50" t="n">
        <x:f>F820+P820</x:f>
        <x:v>0</x:v>
      </x:c>
      <x:c r="O820" s="50" t="n">
        <x:f>IF(B820=1,0,O819+F819+P819)</x:f>
        <x:v>3257.1428571428573</x:v>
      </x:c>
      <x:c r="P820" s="50" t="n">
        <x:f>MIN(G820,MAX(0,Inputs!$B$20-O820-F820))</x:f>
        <x:v>0</x:v>
      </x:c>
      <x:c r="Q820" s="50" t="n">
        <x:f>(C820-E820-F820)+(G820-P820)</x:f>
        <x:v>0</x:v>
      </x:c>
    </x:row>
    <x:row r="821">
      <x:c r="A821" s="41" t="n">
        <x:f>IF(B821=1,A820+1,A820)</x:f>
        <x:v>2058</x:v>
      </x:c>
      <x:c r="B821" s="41" t="n">
        <x:f>IF(B820=26,1,B820+1)</x:f>
        <x:v>14</x:v>
      </x:c>
      <x:c r="C821" s="48" t="n">
        <x:f>Inputs!$F$34</x:f>
        <x:v>600</x:v>
      </x:c>
      <x:c r="D821" s="50" t="n">
        <x:f>IF(B821=1,0,D820+E820)</x:f>
        <x:v>7800</x:v>
      </x:c>
      <x:c r="E821" s="50" t="n">
        <x:f>MIN(C821,MAX(0,Inputs!$B$7-D821))</x:f>
        <x:v>200</x:v>
      </x:c>
      <x:c r="F821" s="50" t="n">
        <x:f>MIN(C821-E821,MAX(0,Inputs!$B$20-O821))</x:f>
        <x:v>400</x:v>
      </x:c>
      <x:c r="G821" s="50" t="n">
        <x:f>0</x:f>
        <x:v>0</x:v>
      </x:c>
      <x:c r="H821" s="41" t="n">
        <x:f>0</x:f>
        <x:v>0</x:v>
      </x:c>
      <x:c r="I821" s="50" t="n">
        <x:f>(I820*(1+Inputs!$B$12))+E821</x:f>
        <x:v>773560.5076248233</x:v>
      </x:c>
      <x:c r="J821" s="50" t="n">
        <x:f>(J820*(1+Inputs!$B$12))+F821+P821</x:f>
        <x:v>916454.2722785382</x:v>
      </x:c>
      <x:c r="K821" s="50" t="n">
        <x:f>(K820*(1+Inputs!$B$12))*(1-H821)</x:f>
        <x:v>0</x:v>
      </x:c>
      <x:c r="L821" s="50" t="n">
        <x:f>L820*(1+Inputs!$B$13)+Q821</x:f>
        <x:v>57247.92544958414</x:v>
      </x:c>
      <x:c r="M821" s="50" t="n">
        <x:f>I821+J821+L821</x:f>
        <x:v>1747262.7053529457</x:v>
      </x:c>
      <x:c r="N821" s="50" t="n">
        <x:f>F821+P821</x:f>
        <x:v>400</x:v>
      </x:c>
      <x:c r="O821" s="50" t="n">
        <x:f>IF(B821=1,0,O820+F820+P820)</x:f>
        <x:v>3257.1428571428573</x:v>
      </x:c>
      <x:c r="P821" s="50" t="n">
        <x:f>MIN(G821,MAX(0,Inputs!$B$20-O821-F821))</x:f>
        <x:v>0</x:v>
      </x:c>
      <x:c r="Q821" s="50" t="n">
        <x:f>(C821-E821-F821)+(G821-P821)</x:f>
        <x:v>0</x:v>
      </x:c>
    </x:row>
    <x:row r="822">
      <x:c r="A822" s="41" t="n">
        <x:f>IF(B822=1,A821+1,A821)</x:f>
        <x:v>2058</x:v>
      </x:c>
      <x:c r="B822" s="41" t="n">
        <x:f>IF(B821=26,1,B821+1)</x:f>
        <x:v>15</x:v>
      </x:c>
      <x:c r="C822" s="48" t="n">
        <x:f>Inputs!$F$34</x:f>
        <x:v>600</x:v>
      </x:c>
      <x:c r="D822" s="50" t="n">
        <x:f>IF(B822=1,0,D821+E821)</x:f>
        <x:v>8000</x:v>
      </x:c>
      <x:c r="E822" s="50" t="n">
        <x:f>MIN(C822,MAX(0,Inputs!$B$7-D822))</x:f>
        <x:v>0</x:v>
      </x:c>
      <x:c r="F822" s="50" t="n">
        <x:f>MIN(C822-E822,MAX(0,Inputs!$B$20-O822))</x:f>
        <x:v>600</x:v>
      </x:c>
      <x:c r="G822" s="50" t="n">
        <x:f>0</x:f>
        <x:v>0</x:v>
      </x:c>
      <x:c r="H822" s="41" t="n">
        <x:f>0</x:f>
        <x:v>0</x:v>
      </x:c>
      <x:c r="I822" s="50" t="n">
        <x:f>(I821*(1+Inputs!$B$12))+E822</x:f>
        <x:v>775013.4914223277</x:v>
      </x:c>
      <x:c r="J822" s="50" t="n">
        <x:f>(J821*(1+Inputs!$B$12))+F822+P822</x:f>
        <x:v>918775.654375542</x:v>
      </x:c>
      <x:c r="K822" s="50" t="n">
        <x:f>(K821*(1+Inputs!$B$12))*(1-H822)</x:f>
        <x:v>0</x:v>
      </x:c>
      <x:c r="L822" s="50" t="n">
        <x:f>L821*(1+Inputs!$B$13)+Q822</x:f>
        <x:v>57348.08953185814</x:v>
      </x:c>
      <x:c r="M822" s="50" t="n">
        <x:f>I822+J822+L822</x:f>
        <x:v>1751137.2353297279</x:v>
      </x:c>
      <x:c r="N822" s="50" t="n">
        <x:f>F822+P822</x:f>
        <x:v>600</x:v>
      </x:c>
      <x:c r="O822" s="50" t="n">
        <x:f>IF(B822=1,0,O821+F821+P821)</x:f>
        <x:v>3657.1428571428573</x:v>
      </x:c>
      <x:c r="P822" s="50" t="n">
        <x:f>MIN(G822,MAX(0,Inputs!$B$20-O822-F822))</x:f>
        <x:v>0</x:v>
      </x:c>
      <x:c r="Q822" s="50" t="n">
        <x:f>(C822-E822-F822)+(G822-P822)</x:f>
        <x:v>0</x:v>
      </x:c>
    </x:row>
    <x:row r="823">
      <x:c r="A823" s="41" t="n">
        <x:f>IF(B823=1,A822+1,A822)</x:f>
        <x:v>2058</x:v>
      </x:c>
      <x:c r="B823" s="41" t="n">
        <x:f>IF(B822=26,1,B822+1)</x:f>
        <x:v>16</x:v>
      </x:c>
      <x:c r="C823" s="48" t="n">
        <x:f>Inputs!$F$34</x:f>
        <x:v>600</x:v>
      </x:c>
      <x:c r="D823" s="50" t="n">
        <x:f>IF(B823=1,0,D822+E822)</x:f>
        <x:v>8000</x:v>
      </x:c>
      <x:c r="E823" s="50" t="n">
        <x:f>MIN(C823,MAX(0,Inputs!$B$7-D823))</x:f>
        <x:v>0</x:v>
      </x:c>
      <x:c r="F823" s="50" t="n">
        <x:f>MIN(C823-E823,MAX(0,Inputs!$B$20-O823))</x:f>
        <x:v>600</x:v>
      </x:c>
      <x:c r="G823" s="50" t="n">
        <x:f>0</x:f>
        <x:v>0</x:v>
      </x:c>
      <x:c r="H823" s="41" t="n">
        <x:f>0</x:f>
        <x:v>0</x:v>
      </x:c>
      <x:c r="I823" s="50" t="n">
        <x:f>(I822*(1+Inputs!$B$12))+E823</x:f>
        <x:v>776469.2043688709</x:v>
      </x:c>
      <x:c r="J823" s="50" t="n">
        <x:f>(J822*(1+Inputs!$B$12))+F823+P823</x:f>
        <x:v>921101.3967398312</x:v>
      </x:c>
      <x:c r="K823" s="50" t="n">
        <x:f>(K822*(1+Inputs!$B$12))*(1-H823)</x:f>
        <x:v>0</x:v>
      </x:c>
      <x:c r="L823" s="50" t="n">
        <x:f>L822*(1+Inputs!$B$13)+Q823</x:f>
        <x:v>57448.428866655246</x:v>
      </x:c>
      <x:c r="M823" s="50" t="n">
        <x:f>I823+J823+L823</x:f>
        <x:v>1755019.0299753575</x:v>
      </x:c>
      <x:c r="N823" s="50" t="n">
        <x:f>F823+P823</x:f>
        <x:v>600</x:v>
      </x:c>
      <x:c r="O823" s="50" t="n">
        <x:f>IF(B823=1,0,O822+F822+P822)</x:f>
        <x:v>4257.142857142857</x:v>
      </x:c>
      <x:c r="P823" s="50" t="n">
        <x:f>MIN(G823,MAX(0,Inputs!$B$20-O823-F823))</x:f>
        <x:v>0</x:v>
      </x:c>
      <x:c r="Q823" s="50" t="n">
        <x:f>(C823-E823-F823)+(G823-P823)</x:f>
        <x:v>0</x:v>
      </x:c>
    </x:row>
    <x:row r="824">
      <x:c r="A824" s="41" t="n">
        <x:f>IF(B824=1,A823+1,A823)</x:f>
        <x:v>2058</x:v>
      </x:c>
      <x:c r="B824" s="41" t="n">
        <x:f>IF(B823=26,1,B823+1)</x:f>
        <x:v>17</x:v>
      </x:c>
      <x:c r="C824" s="48" t="n">
        <x:f>Inputs!$F$34</x:f>
        <x:v>600</x:v>
      </x:c>
      <x:c r="D824" s="50" t="n">
        <x:f>IF(B824=1,0,D823+E823)</x:f>
        <x:v>8000</x:v>
      </x:c>
      <x:c r="E824" s="50" t="n">
        <x:f>MIN(C824,MAX(0,Inputs!$B$7-D824))</x:f>
        <x:v>0</x:v>
      </x:c>
      <x:c r="F824" s="50" t="n">
        <x:f>MIN(C824-E824,MAX(0,Inputs!$B$20-O824))</x:f>
        <x:v>600</x:v>
      </x:c>
      <x:c r="G824" s="50" t="n">
        <x:f>0</x:f>
        <x:v>0</x:v>
      </x:c>
      <x:c r="H824" s="41" t="n">
        <x:f>0</x:f>
        <x:v>0</x:v>
      </x:c>
      <x:c r="I824" s="50" t="n">
        <x:f>(I823*(1+Inputs!$B$12))+E824</x:f>
        <x:v>777927.6515906316</x:v>
      </x:c>
      <x:c r="J824" s="50" t="n">
        <x:f>(J823*(1+Inputs!$B$12))+F824+P824</x:f>
        <x:v>923431.5075613247</x:v>
      </x:c>
      <x:c r="K824" s="50" t="n">
        <x:f>(K823*(1+Inputs!$B$12))*(1-H824)</x:f>
        <x:v>0</x:v>
      </x:c>
      <x:c r="L824" s="50" t="n">
        <x:f>L823*(1+Inputs!$B$13)+Q824</x:f>
        <x:v>57548.9437606068</x:v>
      </x:c>
      <x:c r="M824" s="50" t="n">
        <x:f>I824+J824+L824</x:f>
        <x:v>1758908.1029125631</x:v>
      </x:c>
      <x:c r="N824" s="50" t="n">
        <x:f>F824+P824</x:f>
        <x:v>600</x:v>
      </x:c>
      <x:c r="O824" s="50" t="n">
        <x:f>IF(B824=1,0,O823+F823+P823)</x:f>
        <x:v>4857.142857142857</x:v>
      </x:c>
      <x:c r="P824" s="50" t="n">
        <x:f>MIN(G824,MAX(0,Inputs!$B$20-O824-F824))</x:f>
        <x:v>0</x:v>
      </x:c>
      <x:c r="Q824" s="50" t="n">
        <x:f>(C824-E824-F824)+(G824-P824)</x:f>
        <x:v>0</x:v>
      </x:c>
    </x:row>
    <x:row r="825">
      <x:c r="A825" s="41" t="n">
        <x:f>IF(B825=1,A824+1,A824)</x:f>
        <x:v>2058</x:v>
      </x:c>
      <x:c r="B825" s="41" t="n">
        <x:f>IF(B824=26,1,B824+1)</x:f>
        <x:v>18</x:v>
      </x:c>
      <x:c r="C825" s="48" t="n">
        <x:f>Inputs!$F$34</x:f>
        <x:v>600</x:v>
      </x:c>
      <x:c r="D825" s="50" t="n">
        <x:f>IF(B825=1,0,D824+E824)</x:f>
        <x:v>8000</x:v>
      </x:c>
      <x:c r="E825" s="50" t="n">
        <x:f>MIN(C825,MAX(0,Inputs!$B$7-D825))</x:f>
        <x:v>0</x:v>
      </x:c>
      <x:c r="F825" s="50" t="n">
        <x:f>MIN(C825-E825,MAX(0,Inputs!$B$20-O825))</x:f>
        <x:v>600</x:v>
      </x:c>
      <x:c r="G825" s="50" t="n">
        <x:f>0</x:f>
        <x:v>0</x:v>
      </x:c>
      <x:c r="H825" s="41" t="n">
        <x:f>0</x:f>
        <x:v>0</x:v>
      </x:c>
      <x:c r="I825" s="50" t="n">
        <x:f>(I824*(1+Inputs!$B$12))+E825</x:f>
        <x:v>779388.8382234167</x:v>
      </x:c>
      <x:c r="J825" s="50" t="n">
        <x:f>(J824*(1+Inputs!$B$12))+F825+P825</x:f>
        <x:v>925765.9950453244</x:v>
      </x:c>
      <x:c r="K825" s="50" t="n">
        <x:f>(K824*(1+Inputs!$B$12))*(1-H825)</x:f>
        <x:v>0</x:v>
      </x:c>
      <x:c r="L825" s="50" t="n">
        <x:f>L824*(1+Inputs!$B$13)+Q825</x:f>
        <x:v>57649.634520880645</x:v>
      </x:c>
      <x:c r="M825" s="50" t="n">
        <x:f>I825+J825+L825</x:f>
        <x:v>1762804.4677896218</x:v>
      </x:c>
      <x:c r="N825" s="50" t="n">
        <x:f>F825+P825</x:f>
        <x:v>600</x:v>
      </x:c>
      <x:c r="O825" s="50" t="n">
        <x:f>IF(B825=1,0,O824+F824+P824)</x:f>
        <x:v>5457.142857142857</x:v>
      </x:c>
      <x:c r="P825" s="50" t="n">
        <x:f>MIN(G825,MAX(0,Inputs!$B$20-O825-F825))</x:f>
        <x:v>0</x:v>
      </x:c>
      <x:c r="Q825" s="50" t="n">
        <x:f>(C825-E825-F825)+(G825-P825)</x:f>
        <x:v>0</x:v>
      </x:c>
    </x:row>
    <x:row r="826">
      <x:c r="A826" s="41" t="n">
        <x:f>IF(B826=1,A825+1,A825)</x:f>
        <x:v>2058</x:v>
      </x:c>
      <x:c r="B826" s="41" t="n">
        <x:f>IF(B825=26,1,B825+1)</x:f>
        <x:v>19</x:v>
      </x:c>
      <x:c r="C826" s="48" t="n">
        <x:f>Inputs!$F$34</x:f>
        <x:v>600</x:v>
      </x:c>
      <x:c r="D826" s="50" t="n">
        <x:f>IF(B826=1,0,D825+E825)</x:f>
        <x:v>8000</x:v>
      </x:c>
      <x:c r="E826" s="50" t="n">
        <x:f>MIN(C826,MAX(0,Inputs!$B$7-D826))</x:f>
        <x:v>0</x:v>
      </x:c>
      <x:c r="F826" s="50" t="n">
        <x:f>MIN(C826-E826,MAX(0,Inputs!$B$20-O826))</x:f>
        <x:v>600</x:v>
      </x:c>
      <x:c r="G826" s="50" t="n">
        <x:f>0</x:f>
        <x:v>0</x:v>
      </x:c>
      <x:c r="H826" s="41" t="n">
        <x:f>0</x:f>
        <x:v>0</x:v>
      </x:c>
      <x:c r="I826" s="50" t="n">
        <x:f>(I825*(1+Inputs!$B$12))+E826</x:f>
        <x:v>780852.7694126802</x:v>
      </x:c>
      <x:c r="J826" s="50" t="n">
        <x:f>(J825*(1+Inputs!$B$12))+F826+P826</x:f>
        <x:v>928104.8674125444</x:v>
      </x:c>
      <x:c r="K826" s="50" t="n">
        <x:f>(K825*(1+Inputs!$B$12))*(1-H826)</x:f>
        <x:v>0</x:v>
      </x:c>
      <x:c r="L826" s="50" t="n">
        <x:f>L825*(1+Inputs!$B$13)+Q826</x:f>
        <x:v>57750.50145518206</x:v>
      </x:c>
      <x:c r="M826" s="50" t="n">
        <x:f>I826+J826+L826</x:f>
        <x:v>1766708.1382804066</x:v>
      </x:c>
      <x:c r="N826" s="50" t="n">
        <x:f>F826+P826</x:f>
        <x:v>600</x:v>
      </x:c>
      <x:c r="O826" s="50" t="n">
        <x:f>IF(B826=1,0,O825+F825+P825)</x:f>
        <x:v>6057.142857142857</x:v>
      </x:c>
      <x:c r="P826" s="50" t="n">
        <x:f>MIN(G826,MAX(0,Inputs!$B$20-O826-F826))</x:f>
        <x:v>0</x:v>
      </x:c>
      <x:c r="Q826" s="50" t="n">
        <x:f>(C826-E826-F826)+(G826-P826)</x:f>
        <x:v>0</x:v>
      </x:c>
    </x:row>
    <x:row r="827">
      <x:c r="A827" s="41" t="n">
        <x:f>IF(B827=1,A826+1,A826)</x:f>
        <x:v>2058</x:v>
      </x:c>
      <x:c r="B827" s="41" t="n">
        <x:f>IF(B826=26,1,B826+1)</x:f>
        <x:v>20</x:v>
      </x:c>
      <x:c r="C827" s="48" t="n">
        <x:f>Inputs!$F$34</x:f>
        <x:v>600</x:v>
      </x:c>
      <x:c r="D827" s="50" t="n">
        <x:f>IF(B827=1,0,D826+E826)</x:f>
        <x:v>8000</x:v>
      </x:c>
      <x:c r="E827" s="50" t="n">
        <x:f>MIN(C827,MAX(0,Inputs!$B$7-D827))</x:f>
        <x:v>0</x:v>
      </x:c>
      <x:c r="F827" s="50" t="n">
        <x:f>MIN(C827-E827,MAX(0,Inputs!$B$20-O827))</x:f>
        <x:v>600</x:v>
      </x:c>
      <x:c r="G827" s="50" t="n">
        <x:f>0</x:f>
        <x:v>0</x:v>
      </x:c>
      <x:c r="H827" s="41" t="n">
        <x:f>0</x:f>
        <x:v>0</x:v>
      </x:c>
      <x:c r="I827" s="50" t="n">
        <x:f>(I826*(1+Inputs!$B$12))+E827</x:f>
        <x:v>782319.4503135405</x:v>
      </x:c>
      <x:c r="J827" s="50" t="n">
        <x:f>(J826*(1+Inputs!$B$12))+F827+P827</x:f>
        <x:v>930448.1328991397</x:v>
      </x:c>
      <x:c r="K827" s="50" t="n">
        <x:f>(K826*(1+Inputs!$B$12))*(1-H827)</x:f>
        <x:v>0</x:v>
      </x:c>
      <x:c r="L827" s="50" t="n">
        <x:f>L826*(1+Inputs!$B$13)+Q827</x:f>
        <x:v>57851.54487175469</x:v>
      </x:c>
      <x:c r="M827" s="50" t="n">
        <x:f>I827+J827+L827</x:f>
        <x:v>1770619.128084435</x:v>
      </x:c>
      <x:c r="N827" s="50" t="n">
        <x:f>F827+P827</x:f>
        <x:v>600</x:v>
      </x:c>
      <x:c r="O827" s="50" t="n">
        <x:f>IF(B827=1,0,O826+F826+P826)</x:f>
        <x:v>6657.142857142857</x:v>
      </x:c>
      <x:c r="P827" s="50" t="n">
        <x:f>MIN(G827,MAX(0,Inputs!$B$20-O827-F827))</x:f>
        <x:v>0</x:v>
      </x:c>
      <x:c r="Q827" s="50" t="n">
        <x:f>(C827-E827-F827)+(G827-P827)</x:f>
        <x:v>0</x:v>
      </x:c>
    </x:row>
    <x:row r="828">
      <x:c r="A828" s="41" t="n">
        <x:f>IF(B828=1,A827+1,A827)</x:f>
        <x:v>2058</x:v>
      </x:c>
      <x:c r="B828" s="41" t="n">
        <x:f>IF(B827=26,1,B827+1)</x:f>
        <x:v>21</x:v>
      </x:c>
      <x:c r="C828" s="48" t="n">
        <x:f>Inputs!$F$34</x:f>
        <x:v>600</x:v>
      </x:c>
      <x:c r="D828" s="50" t="n">
        <x:f>IF(B828=1,0,D827+E827)</x:f>
        <x:v>8000</x:v>
      </x:c>
      <x:c r="E828" s="50" t="n">
        <x:f>MIN(C828,MAX(0,Inputs!$B$7-D828))</x:f>
        <x:v>0</x:v>
      </x:c>
      <x:c r="F828" s="50" t="n">
        <x:f>MIN(C828-E828,MAX(0,Inputs!$B$20-O828))</x:f>
        <x:v>600</x:v>
      </x:c>
      <x:c r="G828" s="50" t="n">
        <x:f>0</x:f>
        <x:v>0</x:v>
      </x:c>
      <x:c r="H828" s="41" t="n">
        <x:f>0</x:f>
        <x:v>0</x:v>
      </x:c>
      <x:c r="I828" s="50" t="n">
        <x:f>(I827*(1+Inputs!$B$12))+E828</x:f>
        <x:v>783788.886090799</x:v>
      </x:c>
      <x:c r="J828" s="50" t="n">
        <x:f>(J827*(1+Inputs!$B$12))+F828+P828</x:f>
        <x:v>932795.7997567353</x:v>
      </x:c>
      <x:c r="K828" s="50" t="n">
        <x:f>(K827*(1+Inputs!$B$12))*(1-H828)</x:f>
        <x:v>0</x:v>
      </x:c>
      <x:c r="L828" s="50" t="n">
        <x:f>L827*(1+Inputs!$B$13)+Q828</x:f>
        <x:v>57952.76507938152</x:v>
      </x:c>
      <x:c r="M828" s="50" t="n">
        <x:f>I828+J828+L828</x:f>
        <x:v>1774537.4509269157</x:v>
      </x:c>
      <x:c r="N828" s="50" t="n">
        <x:f>F828+P828</x:f>
        <x:v>600</x:v>
      </x:c>
      <x:c r="O828" s="50" t="n">
        <x:f>IF(B828=1,0,O827+F827+P827)</x:f>
        <x:v>7257.142857142857</x:v>
      </x:c>
      <x:c r="P828" s="50" t="n">
        <x:f>MIN(G828,MAX(0,Inputs!$B$20-O828-F828))</x:f>
        <x:v>0</x:v>
      </x:c>
      <x:c r="Q828" s="50" t="n">
        <x:f>(C828-E828-F828)+(G828-P828)</x:f>
        <x:v>0</x:v>
      </x:c>
    </x:row>
    <x:row r="829">
      <x:c r="A829" s="41" t="n">
        <x:f>IF(B829=1,A828+1,A828)</x:f>
        <x:v>2058</x:v>
      </x:c>
      <x:c r="B829" s="41" t="n">
        <x:f>IF(B828=26,1,B828+1)</x:f>
        <x:v>22</x:v>
      </x:c>
      <x:c r="C829" s="48" t="n">
        <x:f>Inputs!$F$34</x:f>
        <x:v>600</x:v>
      </x:c>
      <x:c r="D829" s="50" t="n">
        <x:f>IF(B829=1,0,D828+E828)</x:f>
        <x:v>8000</x:v>
      </x:c>
      <x:c r="E829" s="50" t="n">
        <x:f>MIN(C829,MAX(0,Inputs!$B$7-D829))</x:f>
        <x:v>0</x:v>
      </x:c>
      <x:c r="F829" s="50" t="n">
        <x:f>MIN(C829-E829,MAX(0,Inputs!$B$20-O829))</x:f>
        <x:v>600</x:v>
      </x:c>
      <x:c r="G829" s="50" t="n">
        <x:f>0</x:f>
        <x:v>0</x:v>
      </x:c>
      <x:c r="H829" s="41" t="n">
        <x:f>0</x:f>
        <x:v>0</x:v>
      </x:c>
      <x:c r="I829" s="50" t="n">
        <x:f>(I828*(1+Inputs!$B$12))+E829</x:f>
        <x:v>785261.0819189582</x:v>
      </x:c>
      <x:c r="J829" s="50" t="n">
        <x:f>(J828*(1+Inputs!$B$12))+F829+P829</x:f>
        <x:v>935147.8762524554</x:v>
      </x:c>
      <x:c r="K829" s="50" t="n">
        <x:f>(K828*(1+Inputs!$B$12))*(1-H829)</x:f>
        <x:v>0</x:v>
      </x:c>
      <x:c r="L829" s="50" t="n">
        <x:f>L828*(1+Inputs!$B$13)+Q829</x:f>
        <x:v>58054.16238738579</x:v>
      </x:c>
      <x:c r="M829" s="50" t="n">
        <x:f>I829+J829+L829</x:f>
        <x:v>1778463.1205587995</x:v>
      </x:c>
      <x:c r="N829" s="50" t="n">
        <x:f>F829+P829</x:f>
        <x:v>600</x:v>
      </x:c>
      <x:c r="O829" s="50" t="n">
        <x:f>IF(B829=1,0,O828+F828+P828)</x:f>
        <x:v>7857.142857142857</x:v>
      </x:c>
      <x:c r="P829" s="50" t="n">
        <x:f>MIN(G829,MAX(0,Inputs!$B$20-O829-F829))</x:f>
        <x:v>0</x:v>
      </x:c>
      <x:c r="Q829" s="50" t="n">
        <x:f>(C829-E829-F829)+(G829-P829)</x:f>
        <x:v>0</x:v>
      </x:c>
    </x:row>
    <x:row r="830">
      <x:c r="A830" s="41" t="n">
        <x:f>IF(B830=1,A829+1,A829)</x:f>
        <x:v>2058</x:v>
      </x:c>
      <x:c r="B830" s="41" t="n">
        <x:f>IF(B829=26,1,B829+1)</x:f>
        <x:v>23</x:v>
      </x:c>
      <x:c r="C830" s="48" t="n">
        <x:f>Inputs!$F$34</x:f>
        <x:v>600</x:v>
      </x:c>
      <x:c r="D830" s="50" t="n">
        <x:f>IF(B830=1,0,D829+E829)</x:f>
        <x:v>8000</x:v>
      </x:c>
      <x:c r="E830" s="50" t="n">
        <x:f>MIN(C830,MAX(0,Inputs!$B$7-D830))</x:f>
        <x:v>0</x:v>
      </x:c>
      <x:c r="F830" s="50" t="n">
        <x:f>MIN(C830-E830,MAX(0,Inputs!$B$20-O830))</x:f>
        <x:v>600</x:v>
      </x:c>
      <x:c r="G830" s="50" t="n">
        <x:f>0</x:f>
        <x:v>0</x:v>
      </x:c>
      <x:c r="H830" s="41" t="n">
        <x:f>0</x:f>
        <x:v>0</x:v>
      </x:c>
      <x:c r="I830" s="50" t="n">
        <x:f>(I829*(1+Inputs!$B$12))+E830</x:f>
        <x:v>786736.04298224</x:v>
      </x:c>
      <x:c r="J830" s="50" t="n">
        <x:f>(J829*(1+Inputs!$B$12))+F830+P830</x:f>
        <x:v>937504.3706689524</x:v>
      </x:c>
      <x:c r="K830" s="50" t="n">
        <x:f>(K829*(1+Inputs!$B$12))*(1-H830)</x:f>
        <x:v>0</x:v>
      </x:c>
      <x:c r="L830" s="50" t="n">
        <x:f>L829*(1+Inputs!$B$13)+Q830</x:f>
        <x:v>58155.73710563194</x:v>
      </x:c>
      <x:c r="M830" s="50" t="n">
        <x:f>I830+J830+L830</x:f>
        <x:v>1782396.1507568243</x:v>
      </x:c>
      <x:c r="N830" s="50" t="n">
        <x:f>F830+P830</x:f>
        <x:v>600</x:v>
      </x:c>
      <x:c r="O830" s="50" t="n">
        <x:f>IF(B830=1,0,O829+F829+P829)</x:f>
        <x:v>8457.142857142857</x:v>
      </x:c>
      <x:c r="P830" s="50" t="n">
        <x:f>MIN(G830,MAX(0,Inputs!$B$20-O830-F830))</x:f>
        <x:v>0</x:v>
      </x:c>
      <x:c r="Q830" s="50" t="n">
        <x:f>(C830-E830-F830)+(G830-P830)</x:f>
        <x:v>0</x:v>
      </x:c>
    </x:row>
    <x:row r="831">
      <x:c r="A831" s="41" t="n">
        <x:f>IF(B831=1,A830+1,A830)</x:f>
        <x:v>2058</x:v>
      </x:c>
      <x:c r="B831" s="41" t="n">
        <x:f>IF(B830=26,1,B830+1)</x:f>
        <x:v>24</x:v>
      </x:c>
      <x:c r="C831" s="48" t="n">
        <x:f>Inputs!$F$34</x:f>
        <x:v>600</x:v>
      </x:c>
      <x:c r="D831" s="50" t="n">
        <x:f>IF(B831=1,0,D830+E830)</x:f>
        <x:v>8000</x:v>
      </x:c>
      <x:c r="E831" s="50" t="n">
        <x:f>MIN(C831,MAX(0,Inputs!$B$7-D831))</x:f>
        <x:v>0</x:v>
      </x:c>
      <x:c r="F831" s="50" t="n">
        <x:f>MIN(C831-E831,MAX(0,Inputs!$B$20-O831))</x:f>
        <x:v>600</x:v>
      </x:c>
      <x:c r="G831" s="50" t="n">
        <x:f>0</x:f>
        <x:v>0</x:v>
      </x:c>
      <x:c r="H831" s="41" t="n">
        <x:f>0</x:f>
        <x:v>0</x:v>
      </x:c>
      <x:c r="I831" s="50" t="n">
        <x:f>(I830*(1+Inputs!$B$12))+E831</x:f>
        <x:v>788213.7744746036</x:v>
      </x:c>
      <x:c r="J831" s="50" t="n">
        <x:f>(J830*(1+Inputs!$B$12))+F831+P831</x:f>
        <x:v>939865.2913044358</x:v>
      </x:c>
      <x:c r="K831" s="50" t="n">
        <x:f>(K830*(1+Inputs!$B$12))*(1-H831)</x:f>
        <x:v>0</x:v>
      </x:c>
      <x:c r="L831" s="50" t="n">
        <x:f>L830*(1+Inputs!$B$13)+Q831</x:f>
        <x:v>58257.48954452657</x:v>
      </x:c>
      <x:c r="M831" s="50" t="n">
        <x:f>I831+J831+L831</x:f>
        <x:v>1786336.555323566</x:v>
      </x:c>
      <x:c r="N831" s="50" t="n">
        <x:f>F831+P831</x:f>
        <x:v>600</x:v>
      </x:c>
      <x:c r="O831" s="50" t="n">
        <x:f>IF(B831=1,0,O830+F830+P830)</x:f>
        <x:v>9057.142857142857</x:v>
      </x:c>
      <x:c r="P831" s="50" t="n">
        <x:f>MIN(G831,MAX(0,Inputs!$B$20-O831-F831))</x:f>
        <x:v>0</x:v>
      </x:c>
      <x:c r="Q831" s="50" t="n">
        <x:f>(C831-E831-F831)+(G831-P831)</x:f>
        <x:v>0</x:v>
      </x:c>
    </x:row>
    <x:row r="832">
      <x:c r="A832" s="41" t="n">
        <x:f>IF(B832=1,A831+1,A831)</x:f>
        <x:v>2058</x:v>
      </x:c>
      <x:c r="B832" s="41" t="n">
        <x:f>IF(B831=26,1,B831+1)</x:f>
        <x:v>25</x:v>
      </x:c>
      <x:c r="C832" s="48" t="n">
        <x:f>Inputs!$F$34</x:f>
        <x:v>600</x:v>
      </x:c>
      <x:c r="D832" s="50" t="n">
        <x:f>IF(B832=1,0,D831+E831)</x:f>
        <x:v>8000</x:v>
      </x:c>
      <x:c r="E832" s="50" t="n">
        <x:f>MIN(C832,MAX(0,Inputs!$B$7-D832))</x:f>
        <x:v>0</x:v>
      </x:c>
      <x:c r="F832" s="50" t="n">
        <x:f>MIN(C832-E832,MAX(0,Inputs!$B$20-O832))</x:f>
        <x:v>600</x:v>
      </x:c>
      <x:c r="G832" s="50" t="n">
        <x:f>0</x:f>
        <x:v>0</x:v>
      </x:c>
      <x:c r="H832" s="41" t="n">
        <x:f>0</x:f>
        <x:v>0</x:v>
      </x:c>
      <x:c r="I832" s="50" t="n">
        <x:f>(I831*(1+Inputs!$B$12))+E832</x:f>
        <x:v>789694.2815997642</x:v>
      </x:c>
      <x:c r="J832" s="50" t="n">
        <x:f>(J831*(1+Inputs!$B$12))+F832+P832</x:f>
        <x:v>942230.6464727022</x:v>
      </x:c>
      <x:c r="K832" s="50" t="n">
        <x:f>(K831*(1+Inputs!$B$12))*(1-H832)</x:f>
        <x:v>0</x:v>
      </x:c>
      <x:c r="L832" s="50" t="n">
        <x:f>L831*(1+Inputs!$B$13)+Q832</x:f>
        <x:v>58359.4200150194</x:v>
      </x:c>
      <x:c r="M832" s="50" t="n">
        <x:f>I832+J832+L832</x:f>
        <x:v>1790284.3480874859</x:v>
      </x:c>
      <x:c r="N832" s="50" t="n">
        <x:f>F832+P832</x:f>
        <x:v>600</x:v>
      </x:c>
      <x:c r="O832" s="50" t="n">
        <x:f>IF(B832=1,0,O831+F831+P831)</x:f>
        <x:v>9657.142857142857</x:v>
      </x:c>
      <x:c r="P832" s="50" t="n">
        <x:f>MIN(G832,MAX(0,Inputs!$B$20-O832-F832))</x:f>
        <x:v>0</x:v>
      </x:c>
      <x:c r="Q832" s="50" t="n">
        <x:f>(C832-E832-F832)+(G832-P832)</x:f>
        <x:v>0</x:v>
      </x:c>
    </x:row>
    <x:row r="833">
      <x:c r="A833" s="41" t="n">
        <x:f>IF(B833=1,A832+1,A832)</x:f>
        <x:v>2058</x:v>
      </x:c>
      <x:c r="B833" s="41" t="n">
        <x:f>IF(B832=26,1,B832+1)</x:f>
        <x:v>26</x:v>
      </x:c>
      <x:c r="C833" s="48" t="n">
        <x:f>Inputs!$F$34</x:f>
        <x:v>600</x:v>
      </x:c>
      <x:c r="D833" s="50" t="n">
        <x:f>IF(B833=1,0,D832+E832)</x:f>
        <x:v>8000</x:v>
      </x:c>
      <x:c r="E833" s="50" t="n">
        <x:f>MIN(C833,MAX(0,Inputs!$B$7-D833))</x:f>
        <x:v>0</x:v>
      </x:c>
      <x:c r="F833" s="50" t="n">
        <x:f>MIN(C833-E833,MAX(0,Inputs!$B$20-O833))</x:f>
        <x:v>600</x:v>
      </x:c>
      <x:c r="G833" s="50" t="n">
        <x:f>0</x:f>
        <x:v>0</x:v>
      </x:c>
      <x:c r="H833" s="41" t="n">
        <x:f>IF(A833=Inputs!$B$8,1,0)</x:f>
        <x:v>0</x:v>
      </x:c>
      <x:c r="I833" s="50" t="n">
        <x:f>(I832*(1+Inputs!$B$12))+E833</x:f>
        <x:v>791177.5695712114</x:v>
      </x:c>
      <x:c r="J833" s="50" t="n">
        <x:f>(J832*(1+Inputs!$B$12))+F833+P833</x:f>
        <x:v>944600.4445031633</x:v>
      </x:c>
      <x:c r="K833" s="50" t="n">
        <x:f>(K832*(1+Inputs!$B$12))*(1-H833)</x:f>
        <x:v>0</x:v>
      </x:c>
      <x:c r="L833" s="50" t="n">
        <x:f>L832*(1+Inputs!$B$13)+Q833</x:f>
        <x:v>58461.52882860418</x:v>
      </x:c>
      <x:c r="M833" s="50" t="n">
        <x:f>I833+J833+L833</x:f>
        <x:v>1794239.5429029788</x:v>
      </x:c>
      <x:c r="N833" s="50" t="n">
        <x:f>F833+P833</x:f>
        <x:v>600</x:v>
      </x:c>
      <x:c r="O833" s="50" t="n">
        <x:f>IF(B833=1,0,O832+F832+P832)</x:f>
        <x:v>10257.142857142857</x:v>
      </x:c>
      <x:c r="P833" s="50" t="n">
        <x:f>MIN(G833,MAX(0,Inputs!$B$20-O833-F833))</x:f>
        <x:v>0</x:v>
      </x:c>
      <x:c r="Q833" s="50" t="n">
        <x:f>(C833-E833-F833)+(G833-P833)</x:f>
        <x:v>0</x:v>
      </x:c>
    </x:row>
    <x:row r="834">
      <x:c r="A834" s="41" t="n">
        <x:f>IF(B834=1,A833+1,A833)</x:f>
        <x:v>2059</x:v>
      </x:c>
      <x:c r="B834" s="41" t="n">
        <x:f>IF(B833=26,1,B833+1)</x:f>
        <x:v>1</x:v>
      </x:c>
      <x:c r="C834" s="48" t="n">
        <x:f>Inputs!$F$35</x:f>
        <x:v>600</x:v>
      </x:c>
      <x:c r="D834" s="50" t="n">
        <x:f>IF(B834=1,0,D833+E833)</x:f>
        <x:v>0</x:v>
      </x:c>
      <x:c r="E834" s="50" t="n">
        <x:f>MIN(C834,MAX(0,Inputs!$B$7-D834))</x:f>
        <x:v>600</x:v>
      </x:c>
      <x:c r="F834" s="50" t="n">
        <x:f>MIN(C834-E834,MAX(0,Inputs!$B$20-O834))</x:f>
        <x:v>0</x:v>
      </x:c>
      <x:c r="G834" s="50" t="n">
        <x:f>0</x:f>
        <x:v>0</x:v>
      </x:c>
      <x:c r="H834" s="41" t="n">
        <x:f>0</x:f>
        <x:v>0</x:v>
      </x:c>
      <x:c r="I834" s="50" t="n">
        <x:f>(I833*(1+Inputs!$B$12))+E834</x:f>
        <x:v>793263.6436122267</x:v>
      </x:c>
      <x:c r="J834" s="50" t="n">
        <x:f>(J833*(1+Inputs!$B$12))+F834+P834</x:f>
        <x:v>946374.6937408769</x:v>
      </x:c>
      <x:c r="K834" s="50" t="n">
        <x:f>(K833*(1+Inputs!$B$12))*(1-H834)</x:f>
        <x:v>0</x:v>
      </x:c>
      <x:c r="L834" s="50" t="n">
        <x:f>L833*(1+Inputs!$B$13)+Q834</x:f>
        <x:v>58563.81629731969</x:v>
      </x:c>
      <x:c r="M834" s="50" t="n">
        <x:f>I834+J834+L834</x:f>
        <x:v>1798202.1536504233</x:v>
      </x:c>
      <x:c r="N834" s="50" t="n">
        <x:f>F834+P834</x:f>
        <x:v>0</x:v>
      </x:c>
      <x:c r="O834" s="50" t="n">
        <x:f>IF(B834=1,0,O833+F833+P833)</x:f>
        <x:v>0</x:v>
      </x:c>
      <x:c r="P834" s="50" t="n">
        <x:f>MIN(G834,MAX(0,Inputs!$B$20-O834-F834))</x:f>
        <x:v>0</x:v>
      </x:c>
      <x:c r="Q834" s="50" t="n">
        <x:f>(C834-E834-F834)+(G834-P834)</x:f>
        <x:v>0</x:v>
      </x:c>
    </x:row>
    <x:row r="835">
      <x:c r="A835" s="41" t="n">
        <x:f>IF(B835=1,A834+1,A834)</x:f>
        <x:v>2059</x:v>
      </x:c>
      <x:c r="B835" s="41" t="n">
        <x:f>IF(B834=26,1,B834+1)</x:f>
        <x:v>2</x:v>
      </x:c>
      <x:c r="C835" s="48" t="n">
        <x:f>Inputs!$F$35</x:f>
        <x:v>600</x:v>
      </x:c>
      <x:c r="D835" s="50" t="n">
        <x:f>IF(B835=1,0,D834+E834)</x:f>
        <x:v>600</x:v>
      </x:c>
      <x:c r="E835" s="50" t="n">
        <x:f>MIN(C835,MAX(0,Inputs!$B$7-D835))</x:f>
        <x:v>600</x:v>
      </x:c>
      <x:c r="F835" s="50" t="n">
        <x:f>MIN(C835-E835,MAX(0,Inputs!$B$20-O835))</x:f>
        <x:v>0</x:v>
      </x:c>
      <x:c r="G835" s="50" t="n">
        <x:f>0</x:f>
        <x:v>0</x:v>
      </x:c>
      <x:c r="H835" s="41" t="n">
        <x:f>0</x:f>
        <x:v>0</x:v>
      </x:c>
      <x:c r="I835" s="50" t="n">
        <x:f>(I834*(1+Inputs!$B$12))+E835</x:f>
        <x:v>795353.635939856</x:v>
      </x:c>
      <x:c r="J835" s="50" t="n">
        <x:f>(J834*(1+Inputs!$B$12))+F835+P835</x:f>
        <x:v>948152.2755626219</x:v>
      </x:c>
      <x:c r="K835" s="50" t="n">
        <x:f>(K834*(1+Inputs!$B$12))*(1-H835)</x:f>
        <x:v>0</x:v>
      </x:c>
      <x:c r="L835" s="50" t="n">
        <x:f>L834*(1+Inputs!$B$13)+Q835</x:f>
        <x:v>58666.282733750646</x:v>
      </x:c>
      <x:c r="M835" s="50" t="n">
        <x:f>I835+J835+L835</x:f>
        <x:v>1802172.1942362282</x:v>
      </x:c>
      <x:c r="N835" s="50" t="n">
        <x:f>F835+P835</x:f>
        <x:v>0</x:v>
      </x:c>
      <x:c r="O835" s="50" t="n">
        <x:f>IF(B835=1,0,O834+F834+P834)</x:f>
        <x:v>0</x:v>
      </x:c>
      <x:c r="P835" s="50" t="n">
        <x:f>MIN(G835,MAX(0,Inputs!$B$20-O835-F835))</x:f>
        <x:v>0</x:v>
      </x:c>
      <x:c r="Q835" s="50" t="n">
        <x:f>(C835-E835-F835)+(G835-P835)</x:f>
        <x:v>0</x:v>
      </x:c>
    </x:row>
    <x:row r="836">
      <x:c r="A836" s="41" t="n">
        <x:f>IF(B836=1,A835+1,A835)</x:f>
        <x:v>2059</x:v>
      </x:c>
      <x:c r="B836" s="41" t="n">
        <x:f>IF(B835=26,1,B835+1)</x:f>
        <x:v>3</x:v>
      </x:c>
      <x:c r="C836" s="48" t="n">
        <x:f>Inputs!$F$35</x:f>
        <x:v>600</x:v>
      </x:c>
      <x:c r="D836" s="50" t="n">
        <x:f>IF(B836=1,0,D835+E835)</x:f>
        <x:v>1200</x:v>
      </x:c>
      <x:c r="E836" s="50" t="n">
        <x:f>MIN(C836,MAX(0,Inputs!$B$7-D836))</x:f>
        <x:v>600</x:v>
      </x:c>
      <x:c r="F836" s="50" t="n">
        <x:f>MIN(C836-E836,MAX(0,Inputs!$B$20-O836))</x:f>
        <x:v>0</x:v>
      </x:c>
      <x:c r="G836" s="50" t="n">
        <x:f>0</x:f>
        <x:v>0</x:v>
      </x:c>
      <x:c r="H836" s="41" t="n">
        <x:f>0</x:f>
        <x:v>0</x:v>
      </x:c>
      <x:c r="I836" s="50" t="n">
        <x:f>(I835*(1+Inputs!$B$12))+E836</x:f>
        <x:v>797447.5539138425</x:v>
      </x:c>
      <x:c r="J836" s="50" t="n">
        <x:f>(J835*(1+Inputs!$B$12))+F836+P836</x:f>
        <x:v>949933.196228013</x:v>
      </x:c>
      <x:c r="K836" s="50" t="n">
        <x:f>(K835*(1+Inputs!$B$12))*(1-H836)</x:f>
        <x:v>0</x:v>
      </x:c>
      <x:c r="L836" s="50" t="n">
        <x:f>L835*(1+Inputs!$B$13)+Q836</x:f>
        <x:v>58768.928451028696</x:v>
      </x:c>
      <x:c r="M836" s="50" t="n">
        <x:f>I836+J836+L836</x:f>
        <x:v>1806149.6785928842</x:v>
      </x:c>
      <x:c r="N836" s="50" t="n">
        <x:f>F836+P836</x:f>
        <x:v>0</x:v>
      </x:c>
      <x:c r="O836" s="50" t="n">
        <x:f>IF(B836=1,0,O835+F835+P835)</x:f>
        <x:v>0</x:v>
      </x:c>
      <x:c r="P836" s="50" t="n">
        <x:f>MIN(G836,MAX(0,Inputs!$B$20-O836-F836))</x:f>
        <x:v>0</x:v>
      </x:c>
      <x:c r="Q836" s="50" t="n">
        <x:f>(C836-E836-F836)+(G836-P836)</x:f>
        <x:v>0</x:v>
      </x:c>
    </x:row>
    <x:row r="837">
      <x:c r="A837" s="41" t="n">
        <x:f>IF(B837=1,A836+1,A836)</x:f>
        <x:v>2059</x:v>
      </x:c>
      <x:c r="B837" s="41" t="n">
        <x:f>IF(B836=26,1,B836+1)</x:f>
        <x:v>4</x:v>
      </x:c>
      <x:c r="C837" s="48" t="n">
        <x:f>Inputs!$F$35</x:f>
        <x:v>600</x:v>
      </x:c>
      <x:c r="D837" s="50" t="n">
        <x:f>IF(B837=1,0,D836+E836)</x:f>
        <x:v>1800</x:v>
      </x:c>
      <x:c r="E837" s="50" t="n">
        <x:f>MIN(C837,MAX(0,Inputs!$B$7-D837))</x:f>
        <x:v>600</x:v>
      </x:c>
      <x:c r="F837" s="50" t="n">
        <x:f>MIN(C837-E837,MAX(0,Inputs!$B$20-O837))</x:f>
        <x:v>0</x:v>
      </x:c>
      <x:c r="G837" s="50" t="n">
        <x:f>0</x:f>
        <x:v>0</x:v>
      </x:c>
      <x:c r="H837" s="41" t="n">
        <x:f>0</x:f>
        <x:v>0</x:v>
      </x:c>
      <x:c r="I837" s="50" t="n">
        <x:f>(I836*(1+Inputs!$B$12))+E837</x:f>
        <x:v>799545.4049077539</x:v>
      </x:c>
      <x:c r="J837" s="50" t="n">
        <x:f>(J836*(1+Inputs!$B$12))+F837+P837</x:f>
        <x:v>951717.4620084222</x:v>
      </x:c>
      <x:c r="K837" s="50" t="n">
        <x:f>(K836*(1+Inputs!$B$12))*(1-H837)</x:f>
        <x:v>0</x:v>
      </x:c>
      <x:c r="L837" s="50" t="n">
        <x:f>L836*(1+Inputs!$B$13)+Q837</x:f>
        <x:v>58871.75376283336</x:v>
      </x:c>
      <x:c r="M837" s="50" t="n">
        <x:f>I837+J837+L837</x:f>
        <x:v>1810134.6206790095</x:v>
      </x:c>
      <x:c r="N837" s="50" t="n">
        <x:f>F837+P837</x:f>
        <x:v>0</x:v>
      </x:c>
      <x:c r="O837" s="50" t="n">
        <x:f>IF(B837=1,0,O836+F836+P836)</x:f>
        <x:v>0</x:v>
      </x:c>
      <x:c r="P837" s="50" t="n">
        <x:f>MIN(G837,MAX(0,Inputs!$B$20-O837-F837))</x:f>
        <x:v>0</x:v>
      </x:c>
      <x:c r="Q837" s="50" t="n">
        <x:f>(C837-E837-F837)+(G837-P837)</x:f>
        <x:v>0</x:v>
      </x:c>
    </x:row>
    <x:row r="838">
      <x:c r="A838" s="41" t="n">
        <x:f>IF(B838=1,A837+1,A837)</x:f>
        <x:v>2059</x:v>
      </x:c>
      <x:c r="B838" s="41" t="n">
        <x:f>IF(B837=26,1,B837+1)</x:f>
        <x:v>5</x:v>
      </x:c>
      <x:c r="C838" s="48" t="n">
        <x:f>Inputs!$F$35</x:f>
        <x:v>600</x:v>
      </x:c>
      <x:c r="D838" s="50" t="n">
        <x:f>IF(B838=1,0,D837+E837)</x:f>
        <x:v>2400</x:v>
      </x:c>
      <x:c r="E838" s="50" t="n">
        <x:f>MIN(C838,MAX(0,Inputs!$B$7-D838))</x:f>
        <x:v>600</x:v>
      </x:c>
      <x:c r="F838" s="50" t="n">
        <x:f>MIN(C838-E838,MAX(0,Inputs!$B$20-O838))</x:f>
        <x:v>0</x:v>
      </x:c>
      <x:c r="G838" s="50" t="n">
        <x:f>0</x:f>
        <x:v>0</x:v>
      </x:c>
      <x:c r="H838" s="41" t="n">
        <x:f>0</x:f>
        <x:v>0</x:v>
      </x:c>
      <x:c r="I838" s="50" t="n">
        <x:f>(I837*(1+Inputs!$B$12))+E838</x:f>
        <x:v>801647.1963090072</x:v>
      </x:c>
      <x:c r="J838" s="50" t="n">
        <x:f>(J837*(1+Inputs!$B$12))+F838+P838</x:f>
        <x:v>953505.0791870011</x:v>
      </x:c>
      <x:c r="K838" s="50" t="n">
        <x:f>(K837*(1+Inputs!$B$12))*(1-H838)</x:f>
        <x:v>0</x:v>
      </x:c>
      <x:c r="L838" s="50" t="n">
        <x:f>L837*(1+Inputs!$B$13)+Q838</x:f>
        <x:v>58974.758983392974</x:v>
      </x:c>
      <x:c r="M838" s="50" t="n">
        <x:f>I838+J838+L838</x:f>
        <x:v>1814127.0344794013</x:v>
      </x:c>
      <x:c r="N838" s="50" t="n">
        <x:f>F838+P838</x:f>
        <x:v>0</x:v>
      </x:c>
      <x:c r="O838" s="50" t="n">
        <x:f>IF(B838=1,0,O837+F837+P837)</x:f>
        <x:v>0</x:v>
      </x:c>
      <x:c r="P838" s="50" t="n">
        <x:f>MIN(G838,MAX(0,Inputs!$B$20-O838-F838))</x:f>
        <x:v>0</x:v>
      </x:c>
      <x:c r="Q838" s="50" t="n">
        <x:f>(C838-E838-F838)+(G838-P838)</x:f>
        <x:v>0</x:v>
      </x:c>
    </x:row>
    <x:row r="839">
      <x:c r="A839" s="41" t="n">
        <x:f>IF(B839=1,A838+1,A838)</x:f>
        <x:v>2059</x:v>
      </x:c>
      <x:c r="B839" s="41" t="n">
        <x:f>IF(B838=26,1,B838+1)</x:f>
        <x:v>6</x:v>
      </x:c>
      <x:c r="C839" s="48" t="n">
        <x:f>Inputs!$F$35</x:f>
        <x:v>600</x:v>
      </x:c>
      <x:c r="D839" s="50" t="n">
        <x:f>IF(B839=1,0,D838+E838)</x:f>
        <x:v>3000</x:v>
      </x:c>
      <x:c r="E839" s="50" t="n">
        <x:f>MIN(C839,MAX(0,Inputs!$B$7-D839))</x:f>
        <x:v>600</x:v>
      </x:c>
      <x:c r="F839" s="50" t="n">
        <x:f>MIN(C839-E839,MAX(0,Inputs!$B$20-O839))</x:f>
        <x:v>0</x:v>
      </x:c>
      <x:c r="G839" s="50" t="n">
        <x:f>0</x:f>
        <x:v>0</x:v>
      </x:c>
      <x:c r="H839" s="41" t="n">
        <x:f>0</x:f>
        <x:v>0</x:v>
      </x:c>
      <x:c r="I839" s="50" t="n">
        <x:f>(I838*(1+Inputs!$B$12))+E839</x:f>
        <x:v>803752.9355188956</x:v>
      </x:c>
      <x:c r="J839" s="50" t="n">
        <x:f>(J838*(1+Inputs!$B$12))+F839+P839</x:f>
        <x:v>955296.0540587029</x:v>
      </x:c>
      <x:c r="K839" s="50" t="n">
        <x:f>(K838*(1+Inputs!$B$12))*(1-H839)</x:f>
        <x:v>0</x:v>
      </x:c>
      <x:c r="L839" s="50" t="n">
        <x:f>L838*(1+Inputs!$B$13)+Q839</x:f>
        <x:v>59077.94442748569</x:v>
      </x:c>
      <x:c r="M839" s="50" t="n">
        <x:f>I839+J839+L839</x:f>
        <x:v>1818126.934005084</x:v>
      </x:c>
      <x:c r="N839" s="50" t="n">
        <x:f>F839+P839</x:f>
        <x:v>0</x:v>
      </x:c>
      <x:c r="O839" s="50" t="n">
        <x:f>IF(B839=1,0,O838+F838+P838)</x:f>
        <x:v>0</x:v>
      </x:c>
      <x:c r="P839" s="50" t="n">
        <x:f>MIN(G839,MAX(0,Inputs!$B$20-O839-F839))</x:f>
        <x:v>0</x:v>
      </x:c>
      <x:c r="Q839" s="50" t="n">
        <x:f>(C839-E839-F839)+(G839-P839)</x:f>
        <x:v>0</x:v>
      </x:c>
    </x:row>
    <x:row r="840">
      <x:c r="A840" s="41" t="n">
        <x:f>IF(B840=1,A839+1,A839)</x:f>
        <x:v>2059</x:v>
      </x:c>
      <x:c r="B840" s="41" t="n">
        <x:f>IF(B839=26,1,B839+1)</x:f>
        <x:v>7</x:v>
      </x:c>
      <x:c r="C840" s="48" t="n">
        <x:f>Inputs!$F$35</x:f>
        <x:v>600</x:v>
      </x:c>
      <x:c r="D840" s="50" t="n">
        <x:f>IF(B840=1,0,D839+E839)</x:f>
        <x:v>3600</x:v>
      </x:c>
      <x:c r="E840" s="50" t="n">
        <x:f>MIN(C840,MAX(0,Inputs!$B$7-D840))</x:f>
        <x:v>600</x:v>
      </x:c>
      <x:c r="F840" s="50" t="n">
        <x:f>MIN(C840-E840,MAX(0,Inputs!$B$20-O840))</x:f>
        <x:v>0</x:v>
      </x:c>
      <x:c r="G840" s="50" t="n">
        <x:f>0</x:f>
        <x:v>0</x:v>
      </x:c>
      <x:c r="H840" s="41" t="n">
        <x:f>0</x:f>
        <x:v>0</x:v>
      </x:c>
      <x:c r="I840" s="50" t="n">
        <x:f>(I839*(1+Inputs!$B$12))+E840</x:f>
        <x:v>805862.6299526141</x:v>
      </x:c>
      <x:c r="J840" s="50" t="n">
        <x:f>(J839*(1+Inputs!$B$12))+F840+P840</x:f>
        <x:v>957090.3929303047</x:v>
      </x:c>
      <x:c r="K840" s="50" t="n">
        <x:f>(K839*(1+Inputs!$B$12))*(1-H840)</x:f>
        <x:v>0</x:v>
      </x:c>
      <x:c r="L840" s="50" t="n">
        <x:f>L839*(1+Inputs!$B$13)+Q840</x:f>
        <x:v>59181.31041044038</x:v>
      </x:c>
      <x:c r="M840" s="50" t="n">
        <x:f>I840+J840+L840</x:f>
        <x:v>1822134.3332933593</x:v>
      </x:c>
      <x:c r="N840" s="50" t="n">
        <x:f>F840+P840</x:f>
        <x:v>0</x:v>
      </x:c>
      <x:c r="O840" s="50" t="n">
        <x:f>IF(B840=1,0,O839+F839+P839)</x:f>
        <x:v>0</x:v>
      </x:c>
      <x:c r="P840" s="50" t="n">
        <x:f>MIN(G840,MAX(0,Inputs!$B$20-O840-F840))</x:f>
        <x:v>0</x:v>
      </x:c>
      <x:c r="Q840" s="50" t="n">
        <x:f>(C840-E840-F840)+(G840-P840)</x:f>
        <x:v>0</x:v>
      </x:c>
    </x:row>
    <x:row r="841">
      <x:c r="A841" s="41" t="n">
        <x:f>IF(B841=1,A840+1,A840)</x:f>
        <x:v>2059</x:v>
      </x:c>
      <x:c r="B841" s="41" t="n">
        <x:f>IF(B840=26,1,B840+1)</x:f>
        <x:v>8</x:v>
      </x:c>
      <x:c r="C841" s="48" t="n">
        <x:f>Inputs!$F$35</x:f>
        <x:v>600</x:v>
      </x:c>
      <x:c r="D841" s="50" t="n">
        <x:f>IF(B841=1,0,D840+E840)</x:f>
        <x:v>4200</x:v>
      </x:c>
      <x:c r="E841" s="50" t="n">
        <x:f>MIN(C841,MAX(0,Inputs!$B$7-D841))</x:f>
        <x:v>600</x:v>
      </x:c>
      <x:c r="F841" s="50" t="n">
        <x:f>MIN(C841-E841,MAX(0,Inputs!$B$20-O841))</x:f>
        <x:v>0</x:v>
      </x:c>
      <x:c r="G841" s="50" t="n">
        <x:f>0</x:f>
        <x:v>0</x:v>
      </x:c>
      <x:c r="H841" s="41" t="n">
        <x:f>0</x:f>
        <x:v>0</x:v>
      </x:c>
      <x:c r="I841" s="50" t="n">
        <x:f>(I840*(1+Inputs!$B$12))+E841</x:f>
        <x:v>807976.2870392855</x:v>
      </x:c>
      <x:c r="J841" s="50" t="n">
        <x:f>(J840*(1+Inputs!$B$12))+F841+P841</x:f>
        <x:v>958888.1021204297</x:v>
      </x:c>
      <x:c r="K841" s="50" t="n">
        <x:f>(K840*(1+Inputs!$B$12))*(1-H841)</x:f>
        <x:v>0</x:v>
      </x:c>
      <x:c r="L841" s="50" t="n">
        <x:f>L840*(1+Inputs!$B$13)+Q841</x:f>
        <x:v>59284.85724813767</x:v>
      </x:c>
      <x:c r="M841" s="50" t="n">
        <x:f>I841+J841+L841</x:f>
        <x:v>1826149.246407853</x:v>
      </x:c>
      <x:c r="N841" s="50" t="n">
        <x:f>F841+P841</x:f>
        <x:v>0</x:v>
      </x:c>
      <x:c r="O841" s="50" t="n">
        <x:f>IF(B841=1,0,O840+F840+P840)</x:f>
        <x:v>0</x:v>
      </x:c>
      <x:c r="P841" s="50" t="n">
        <x:f>MIN(G841,MAX(0,Inputs!$B$20-O841-F841))</x:f>
        <x:v>0</x:v>
      </x:c>
      <x:c r="Q841" s="50" t="n">
        <x:f>(C841-E841-F841)+(G841-P841)</x:f>
        <x:v>0</x:v>
      </x:c>
    </x:row>
    <x:row r="842">
      <x:c r="A842" s="41" t="n">
        <x:f>IF(B842=1,A841+1,A841)</x:f>
        <x:v>2059</x:v>
      </x:c>
      <x:c r="B842" s="41" t="n">
        <x:f>IF(B841=26,1,B841+1)</x:f>
        <x:v>9</x:v>
      </x:c>
      <x:c r="C842" s="48" t="n">
        <x:f>Inputs!$F$35</x:f>
        <x:v>600</x:v>
      </x:c>
      <x:c r="D842" s="50" t="n">
        <x:f>IF(B842=1,0,D841+E841)</x:f>
        <x:v>4800</x:v>
      </x:c>
      <x:c r="E842" s="50" t="n">
        <x:f>MIN(C842,MAX(0,Inputs!$B$7-D842))</x:f>
        <x:v>600</x:v>
      </x:c>
      <x:c r="F842" s="50" t="n">
        <x:f>MIN(C842-E842,MAX(0,Inputs!$B$20-O842))</x:f>
        <x:v>0</x:v>
      </x:c>
      <x:c r="G842" s="50" t="n">
        <x:f>SUM(N808:N833)*Inputs!$B$6</x:f>
        <x:v>3257.142857142857</x:v>
      </x:c>
      <x:c r="H842" s="41" t="n">
        <x:f>0</x:f>
        <x:v>0</x:v>
      </x:c>
      <x:c r="I842" s="50" t="n">
        <x:f>(I841*(1+Inputs!$B$12))+E842</x:f>
        <x:v>810093.9142219871</x:v>
      </x:c>
      <x:c r="J842" s="50" t="n">
        <x:f>(J841*(1+Inputs!$B$12))+F842+P842</x:f>
        <x:v>963946.3308167123</x:v>
      </x:c>
      <x:c r="K842" s="50" t="n">
        <x:f>(K841*(1+Inputs!$B$12))*(1-H842)</x:f>
        <x:v>0</x:v>
      </x:c>
      <x:c r="L842" s="50" t="n">
        <x:f>L841*(1+Inputs!$B$13)+Q842</x:f>
        <x:v>59388.58525701083</x:v>
      </x:c>
      <x:c r="M842" s="50" t="n">
        <x:f>I842+J842+L842</x:f>
        <x:v>1833428.8302957101</x:v>
      </x:c>
      <x:c r="N842" s="50" t="n">
        <x:f>F842+P842</x:f>
        <x:v>3257.142857142857</x:v>
      </x:c>
      <x:c r="O842" s="50" t="n">
        <x:f>IF(B842=1,0,O841+F841+P841)</x:f>
        <x:v>0</x:v>
      </x:c>
      <x:c r="P842" s="50" t="n">
        <x:f>MIN(G842,MAX(0,Inputs!$B$20-O842-F842))</x:f>
        <x:v>3257.142857142857</x:v>
      </x:c>
      <x:c r="Q842" s="50" t="n">
        <x:f>(C842-E842-F842)+(G842-P842)</x:f>
        <x:v>0</x:v>
      </x:c>
    </x:row>
    <x:row r="843">
      <x:c r="A843" s="41" t="n">
        <x:f>IF(B843=1,A842+1,A842)</x:f>
        <x:v>2059</x:v>
      </x:c>
      <x:c r="B843" s="41" t="n">
        <x:f>IF(B842=26,1,B842+1)</x:f>
        <x:v>10</x:v>
      </x:c>
      <x:c r="C843" s="48" t="n">
        <x:f>Inputs!$F$35</x:f>
        <x:v>600</x:v>
      </x:c>
      <x:c r="D843" s="50" t="n">
        <x:f>IF(B843=1,0,D842+E842)</x:f>
        <x:v>5400</x:v>
      </x:c>
      <x:c r="E843" s="50" t="n">
        <x:f>MIN(C843,MAX(0,Inputs!$B$7-D843))</x:f>
        <x:v>600</x:v>
      </x:c>
      <x:c r="F843" s="50" t="n">
        <x:f>MIN(C843-E843,MAX(0,Inputs!$B$20-O843))</x:f>
        <x:v>0</x:v>
      </x:c>
      <x:c r="G843" s="50" t="n">
        <x:f>0</x:f>
        <x:v>0</x:v>
      </x:c>
      <x:c r="H843" s="41" t="n">
        <x:f>0</x:f>
        <x:v>0</x:v>
      </x:c>
      <x:c r="I843" s="50" t="n">
        <x:f>(I842*(1+Inputs!$B$12))+E843</x:f>
        <x:v>812215.5189577765</x:v>
      </x:c>
      <x:c r="J843" s="50" t="n">
        <x:f>(J842*(1+Inputs!$B$12))+F843+P843</x:f>
        <x:v>965756.9175601347</x:v>
      </x:c>
      <x:c r="K843" s="50" t="n">
        <x:f>(K842*(1+Inputs!$B$12))*(1-H843)</x:f>
        <x:v>0</x:v>
      </x:c>
      <x:c r="L843" s="50" t="n">
        <x:f>L842*(1+Inputs!$B$13)+Q843</x:f>
        <x:v>59492.49475404681</x:v>
      </x:c>
      <x:c r="M843" s="50" t="n">
        <x:f>I843+J843+L843</x:f>
        <x:v>1837464.931271958</x:v>
      </x:c>
      <x:c r="N843" s="50" t="n">
        <x:f>F843+P843</x:f>
        <x:v>0</x:v>
      </x:c>
      <x:c r="O843" s="50" t="n">
        <x:f>IF(B843=1,0,O842+F842+P842)</x:f>
        <x:v>3257.142857142857</x:v>
      </x:c>
      <x:c r="P843" s="50" t="n">
        <x:f>MIN(G843,MAX(0,Inputs!$B$20-O843-F843))</x:f>
        <x:v>0</x:v>
      </x:c>
      <x:c r="Q843" s="50" t="n">
        <x:f>(C843-E843-F843)+(G843-P843)</x:f>
        <x:v>0</x:v>
      </x:c>
    </x:row>
    <x:row r="844">
      <x:c r="A844" s="41" t="n">
        <x:f>IF(B844=1,A843+1,A843)</x:f>
        <x:v>2059</x:v>
      </x:c>
      <x:c r="B844" s="41" t="n">
        <x:f>IF(B843=26,1,B843+1)</x:f>
        <x:v>11</x:v>
      </x:c>
      <x:c r="C844" s="48" t="n">
        <x:f>Inputs!$F$35</x:f>
        <x:v>600</x:v>
      </x:c>
      <x:c r="D844" s="50" t="n">
        <x:f>IF(B844=1,0,D843+E843)</x:f>
        <x:v>6000</x:v>
      </x:c>
      <x:c r="E844" s="50" t="n">
        <x:f>MIN(C844,MAX(0,Inputs!$B$7-D844))</x:f>
        <x:v>600</x:v>
      </x:c>
      <x:c r="F844" s="50" t="n">
        <x:f>MIN(C844-E844,MAX(0,Inputs!$B$20-O844))</x:f>
        <x:v>0</x:v>
      </x:c>
      <x:c r="G844" s="50" t="n">
        <x:f>0</x:f>
        <x:v>0</x:v>
      </x:c>
      <x:c r="H844" s="41" t="n">
        <x:f>0</x:f>
        <x:v>0</x:v>
      </x:c>
      <x:c r="I844" s="50" t="n">
        <x:f>(I843*(1+Inputs!$B$12))+E844</x:f>
        <x:v>814341.1087177177</x:v>
      </x:c>
      <x:c r="J844" s="50" t="n">
        <x:f>(J843*(1+Inputs!$B$12))+F844+P844</x:f>
        <x:v>967570.9051405649</x:v>
      </x:c>
      <x:c r="K844" s="50" t="n">
        <x:f>(K843*(1+Inputs!$B$12))*(1-H844)</x:f>
        <x:v>0</x:v>
      </x:c>
      <x:c r="L844" s="50" t="n">
        <x:f>L843*(1+Inputs!$B$13)+Q844</x:f>
        <x:v>59596.586056787164</x:v>
      </x:c>
      <x:c r="M844" s="50" t="n">
        <x:f>I844+J844+L844</x:f>
        <x:v>1841508.5999150695</x:v>
      </x:c>
      <x:c r="N844" s="50" t="n">
        <x:f>F844+P844</x:f>
        <x:v>0</x:v>
      </x:c>
      <x:c r="O844" s="50" t="n">
        <x:f>IF(B844=1,0,O843+F843+P843)</x:f>
        <x:v>3257.142857142857</x:v>
      </x:c>
      <x:c r="P844" s="50" t="n">
        <x:f>MIN(G844,MAX(0,Inputs!$B$20-O844-F844))</x:f>
        <x:v>0</x:v>
      </x:c>
      <x:c r="Q844" s="50" t="n">
        <x:f>(C844-E844-F844)+(G844-P844)</x:f>
        <x:v>0</x:v>
      </x:c>
    </x:row>
    <x:row r="845">
      <x:c r="A845" s="41" t="n">
        <x:f>IF(B845=1,A844+1,A844)</x:f>
        <x:v>2059</x:v>
      </x:c>
      <x:c r="B845" s="41" t="n">
        <x:f>IF(B844=26,1,B844+1)</x:f>
        <x:v>12</x:v>
      </x:c>
      <x:c r="C845" s="48" t="n">
        <x:f>Inputs!$F$35</x:f>
        <x:v>600</x:v>
      </x:c>
      <x:c r="D845" s="50" t="n">
        <x:f>IF(B845=1,0,D844+E844)</x:f>
        <x:v>6600</x:v>
      </x:c>
      <x:c r="E845" s="50" t="n">
        <x:f>MIN(C845,MAX(0,Inputs!$B$7-D845))</x:f>
        <x:v>600</x:v>
      </x:c>
      <x:c r="F845" s="50" t="n">
        <x:f>MIN(C845-E845,MAX(0,Inputs!$B$20-O845))</x:f>
        <x:v>0</x:v>
      </x:c>
      <x:c r="G845" s="50" t="n">
        <x:f>0</x:f>
        <x:v>0</x:v>
      </x:c>
      <x:c r="H845" s="41" t="n">
        <x:f>0</x:f>
        <x:v>0</x:v>
      </x:c>
      <x:c r="I845" s="50" t="n">
        <x:f>(I844*(1+Inputs!$B$12))+E845</x:f>
        <x:v>816470.6909869079</x:v>
      </x:c>
      <x:c r="J845" s="50" t="n">
        <x:f>(J844*(1+Inputs!$B$12))+F845+P845</x:f>
        <x:v>969388.2999458176</x:v>
      </x:c>
      <x:c r="K845" s="50" t="n">
        <x:f>(K844*(1+Inputs!$B$12))*(1-H845)</x:f>
        <x:v>0</x:v>
      </x:c>
      <x:c r="L845" s="50" t="n">
        <x:f>L844*(1+Inputs!$B$13)+Q845</x:f>
        <x:v>59700.859483329026</x:v>
      </x:c>
      <x:c r="M845" s="50" t="n">
        <x:f>I845+J845+L845</x:f>
        <x:v>1845559.8504160545</x:v>
      </x:c>
      <x:c r="N845" s="50" t="n">
        <x:f>F845+P845</x:f>
        <x:v>0</x:v>
      </x:c>
      <x:c r="O845" s="50" t="n">
        <x:f>IF(B845=1,0,O844+F844+P844)</x:f>
        <x:v>3257.142857142857</x:v>
      </x:c>
      <x:c r="P845" s="50" t="n">
        <x:f>MIN(G845,MAX(0,Inputs!$B$20-O845-F845))</x:f>
        <x:v>0</x:v>
      </x:c>
      <x:c r="Q845" s="50" t="n">
        <x:f>(C845-E845-F845)+(G845-P845)</x:f>
        <x:v>0</x:v>
      </x:c>
    </x:row>
    <x:row r="846">
      <x:c r="A846" s="41" t="n">
        <x:f>IF(B846=1,A845+1,A845)</x:f>
        <x:v>2059</x:v>
      </x:c>
      <x:c r="B846" s="41" t="n">
        <x:f>IF(B845=26,1,B845+1)</x:f>
        <x:v>13</x:v>
      </x:c>
      <x:c r="C846" s="48" t="n">
        <x:f>Inputs!$F$35</x:f>
        <x:v>600</x:v>
      </x:c>
      <x:c r="D846" s="50" t="n">
        <x:f>IF(B846=1,0,D845+E845)</x:f>
        <x:v>7200</x:v>
      </x:c>
      <x:c r="E846" s="50" t="n">
        <x:f>MIN(C846,MAX(0,Inputs!$B$7-D846))</x:f>
        <x:v>600</x:v>
      </x:c>
      <x:c r="F846" s="50" t="n">
        <x:f>MIN(C846-E846,MAX(0,Inputs!$B$20-O846))</x:f>
        <x:v>0</x:v>
      </x:c>
      <x:c r="G846" s="50" t="n">
        <x:f>0</x:f>
        <x:v>0</x:v>
      </x:c>
      <x:c r="H846" s="41" t="n">
        <x:f>0</x:f>
        <x:v>0</x:v>
      </x:c>
      <x:c r="I846" s="50" t="n">
        <x:f>(I845*(1+Inputs!$B$12))+E846</x:f>
        <x:v>818604.2732645035</x:v>
      </x:c>
      <x:c r="J846" s="50" t="n">
        <x:f>(J845*(1+Inputs!$B$12))+F846+P846</x:f>
        <x:v>971209.1083757055</x:v>
      </x:c>
      <x:c r="K846" s="50" t="n">
        <x:f>(K845*(1+Inputs!$B$12))*(1-H846)</x:f>
        <x:v>0</x:v>
      </x:c>
      <x:c r="L846" s="50" t="n">
        <x:f>L845*(1+Inputs!$B$13)+Q846</x:f>
        <x:v>59805.315352326106</x:v>
      </x:c>
      <x:c r="M846" s="50" t="n">
        <x:f>I846+J846+L846</x:f>
        <x:v>1849618.696992535</x:v>
      </x:c>
      <x:c r="N846" s="50" t="n">
        <x:f>F846+P846</x:f>
        <x:v>0</x:v>
      </x:c>
      <x:c r="O846" s="50" t="n">
        <x:f>IF(B846=1,0,O845+F845+P845)</x:f>
        <x:v>3257.142857142857</x:v>
      </x:c>
      <x:c r="P846" s="50" t="n">
        <x:f>MIN(G846,MAX(0,Inputs!$B$20-O846-F846))</x:f>
        <x:v>0</x:v>
      </x:c>
      <x:c r="Q846" s="50" t="n">
        <x:f>(C846-E846-F846)+(G846-P846)</x:f>
        <x:v>0</x:v>
      </x:c>
    </x:row>
    <x:row r="847">
      <x:c r="A847" s="41" t="n">
        <x:f>IF(B847=1,A846+1,A846)</x:f>
        <x:v>2059</x:v>
      </x:c>
      <x:c r="B847" s="41" t="n">
        <x:f>IF(B846=26,1,B846+1)</x:f>
        <x:v>14</x:v>
      </x:c>
      <x:c r="C847" s="48" t="n">
        <x:f>Inputs!$F$35</x:f>
        <x:v>600</x:v>
      </x:c>
      <x:c r="D847" s="50" t="n">
        <x:f>IF(B847=1,0,D846+E846)</x:f>
        <x:v>7800</x:v>
      </x:c>
      <x:c r="E847" s="50" t="n">
        <x:f>MIN(C847,MAX(0,Inputs!$B$7-D847))</x:f>
        <x:v>200</x:v>
      </x:c>
      <x:c r="F847" s="50" t="n">
        <x:f>MIN(C847-E847,MAX(0,Inputs!$B$20-O847))</x:f>
        <x:v>400</x:v>
      </x:c>
      <x:c r="G847" s="50" t="n">
        <x:f>0</x:f>
        <x:v>0</x:v>
      </x:c>
      <x:c r="H847" s="41" t="n">
        <x:f>0</x:f>
        <x:v>0</x:v>
      </x:c>
      <x:c r="I847" s="50" t="n">
        <x:f>(I846*(1+Inputs!$B$12))+E847</x:f>
        <x:v>820341.8630637466</x:v>
      </x:c>
      <x:c r="J847" s="50" t="n">
        <x:f>(J846*(1+Inputs!$B$12))+F847+P847</x:f>
        <x:v>973433.3368420624</x:v>
      </x:c>
      <x:c r="K847" s="50" t="n">
        <x:f>(K846*(1+Inputs!$B$12))*(1-H847)</x:f>
        <x:v>0</x:v>
      </x:c>
      <x:c r="L847" s="50" t="n">
        <x:f>L846*(1+Inputs!$B$13)+Q847</x:f>
        <x:v>59909.953982989646</x:v>
      </x:c>
      <x:c r="M847" s="50" t="n">
        <x:f>I847+J847+L847</x:f>
        <x:v>1853685.1538887986</x:v>
      </x:c>
      <x:c r="N847" s="50" t="n">
        <x:f>F847+P847</x:f>
        <x:v>400</x:v>
      </x:c>
      <x:c r="O847" s="50" t="n">
        <x:f>IF(B847=1,0,O846+F846+P846)</x:f>
        <x:v>3257.142857142857</x:v>
      </x:c>
      <x:c r="P847" s="50" t="n">
        <x:f>MIN(G847,MAX(0,Inputs!$B$20-O847-F847))</x:f>
        <x:v>0</x:v>
      </x:c>
      <x:c r="Q847" s="50" t="n">
        <x:f>(C847-E847-F847)+(G847-P847)</x:f>
        <x:v>0</x:v>
      </x:c>
    </x:row>
    <x:row r="848">
      <x:c r="A848" s="41" t="n">
        <x:f>IF(B848=1,A847+1,A847)</x:f>
        <x:v>2059</x:v>
      </x:c>
      <x:c r="B848" s="41" t="n">
        <x:f>IF(B847=26,1,B847+1)</x:f>
        <x:v>15</x:v>
      </x:c>
      <x:c r="C848" s="48" t="n">
        <x:f>Inputs!$F$35</x:f>
        <x:v>600</x:v>
      </x:c>
      <x:c r="D848" s="50" t="n">
        <x:f>IF(B848=1,0,D847+E847)</x:f>
        <x:v>8000</x:v>
      </x:c>
      <x:c r="E848" s="50" t="n">
        <x:f>MIN(C848,MAX(0,Inputs!$B$7-D848))</x:f>
        <x:v>0</x:v>
      </x:c>
      <x:c r="F848" s="50" t="n">
        <x:f>MIN(C848-E848,MAX(0,Inputs!$B$20-O848))</x:f>
        <x:v>600</x:v>
      </x:c>
      <x:c r="G848" s="50" t="n">
        <x:f>0</x:f>
        <x:v>0</x:v>
      </x:c>
      <x:c r="H848" s="41" t="n">
        <x:f>0</x:f>
        <x:v>0</x:v>
      </x:c>
      <x:c r="I848" s="50" t="n">
        <x:f>(I847*(1+Inputs!$B$12))+E848</x:f>
        <x:v>821882.7165893564</x:v>
      </x:c>
      <x:c r="J848" s="50" t="n">
        <x:f>(J847*(1+Inputs!$B$12))+F848+P848</x:f>
        <x:v>975861.7430914004</x:v>
      </x:c>
      <x:c r="K848" s="50" t="n">
        <x:f>(K847*(1+Inputs!$B$12))*(1-H848)</x:f>
        <x:v>0</x:v>
      </x:c>
      <x:c r="L848" s="50" t="n">
        <x:f>L847*(1+Inputs!$B$13)+Q848</x:f>
        <x:v>60014.77569508938</x:v>
      </x:c>
      <x:c r="M848" s="50" t="n">
        <x:f>I848+J848+L848</x:f>
        <x:v>1857759.2353758463</x:v>
      </x:c>
      <x:c r="N848" s="50" t="n">
        <x:f>F848+P848</x:f>
        <x:v>600</x:v>
      </x:c>
      <x:c r="O848" s="50" t="n">
        <x:f>IF(B848=1,0,O847+F847+P847)</x:f>
        <x:v>3657.142857142857</x:v>
      </x:c>
      <x:c r="P848" s="50" t="n">
        <x:f>MIN(G848,MAX(0,Inputs!$B$20-O848-F848))</x:f>
        <x:v>0</x:v>
      </x:c>
      <x:c r="Q848" s="50" t="n">
        <x:f>(C848-E848-F848)+(G848-P848)</x:f>
        <x:v>0</x:v>
      </x:c>
    </x:row>
    <x:row r="849">
      <x:c r="A849" s="41" t="n">
        <x:f>IF(B849=1,A848+1,A848)</x:f>
        <x:v>2059</x:v>
      </x:c>
      <x:c r="B849" s="41" t="n">
        <x:f>IF(B848=26,1,B848+1)</x:f>
        <x:v>16</x:v>
      </x:c>
      <x:c r="C849" s="48" t="n">
        <x:f>Inputs!$F$35</x:f>
        <x:v>600</x:v>
      </x:c>
      <x:c r="D849" s="50" t="n">
        <x:f>IF(B849=1,0,D848+E848)</x:f>
        <x:v>8000</x:v>
      </x:c>
      <x:c r="E849" s="50" t="n">
        <x:f>MIN(C849,MAX(0,Inputs!$B$7-D849))</x:f>
        <x:v>0</x:v>
      </x:c>
      <x:c r="F849" s="50" t="n">
        <x:f>MIN(C849-E849,MAX(0,Inputs!$B$20-O849))</x:f>
        <x:v>600</x:v>
      </x:c>
      <x:c r="G849" s="50" t="n">
        <x:f>0</x:f>
        <x:v>0</x:v>
      </x:c>
      <x:c r="H849" s="41" t="n">
        <x:f>0</x:f>
        <x:v>0</x:v>
      </x:c>
      <x:c r="I849" s="50" t="n">
        <x:f>(I848*(1+Inputs!$B$12))+E849</x:f>
        <x:v>823426.4643102943</x:v>
      </x:c>
      <x:c r="J849" s="50" t="n">
        <x:f>(J848*(1+Inputs!$B$12))+F849+P849</x:f>
        <x:v>978294.7106321942</x:v>
      </x:c>
      <x:c r="K849" s="50" t="n">
        <x:f>(K848*(1+Inputs!$B$12))*(1-H849)</x:f>
        <x:v>0</x:v>
      </x:c>
      <x:c r="L849" s="50" t="n">
        <x:f>L848*(1+Inputs!$B$13)+Q849</x:f>
        <x:v>60119.78080895455</x:v>
      </x:c>
      <x:c r="M849" s="50" t="n">
        <x:f>I849+J849+L849</x:f>
        <x:v>1861840.9557514428</x:v>
      </x:c>
      <x:c r="N849" s="50" t="n">
        <x:f>F849+P849</x:f>
        <x:v>600</x:v>
      </x:c>
      <x:c r="O849" s="50" t="n">
        <x:f>IF(B849=1,0,O848+F848+P848)</x:f>
        <x:v>4257.142857142857</x:v>
      </x:c>
      <x:c r="P849" s="50" t="n">
        <x:f>MIN(G849,MAX(0,Inputs!$B$20-O849-F849))</x:f>
        <x:v>0</x:v>
      </x:c>
      <x:c r="Q849" s="50" t="n">
        <x:f>(C849-E849-F849)+(G849-P849)</x:f>
        <x:v>0</x:v>
      </x:c>
    </x:row>
    <x:row r="850">
      <x:c r="A850" s="41" t="n">
        <x:f>IF(B850=1,A849+1,A849)</x:f>
        <x:v>2059</x:v>
      </x:c>
      <x:c r="B850" s="41" t="n">
        <x:f>IF(B849=26,1,B849+1)</x:f>
        <x:v>17</x:v>
      </x:c>
      <x:c r="C850" s="48" t="n">
        <x:f>Inputs!$F$35</x:f>
        <x:v>600</x:v>
      </x:c>
      <x:c r="D850" s="50" t="n">
        <x:f>IF(B850=1,0,D849+E849)</x:f>
        <x:v>8000</x:v>
      </x:c>
      <x:c r="E850" s="50" t="n">
        <x:f>MIN(C850,MAX(0,Inputs!$B$7-D850))</x:f>
        <x:v>0</x:v>
      </x:c>
      <x:c r="F850" s="50" t="n">
        <x:f>MIN(C850-E850,MAX(0,Inputs!$B$20-O850))</x:f>
        <x:v>600</x:v>
      </x:c>
      <x:c r="G850" s="50" t="n">
        <x:f>0</x:f>
        <x:v>0</x:v>
      </x:c>
      <x:c r="H850" s="41" t="n">
        <x:f>0</x:f>
        <x:v>0</x:v>
      </x:c>
      <x:c r="I850" s="50" t="n">
        <x:f>(I849*(1+Inputs!$B$12))+E850</x:f>
        <x:v>824973.1116627462</x:v>
      </x:c>
      <x:c r="J850" s="50" t="n">
        <x:f>(J849*(1+Inputs!$B$12))+F850+P850</x:f>
        <x:v>980732.2480319476</x:v>
      </x:c>
      <x:c r="K850" s="50" t="n">
        <x:f>(K849*(1+Inputs!$B$12))*(1-H850)</x:f>
        <x:v>0</x:v>
      </x:c>
      <x:c r="L850" s="50" t="n">
        <x:f>L849*(1+Inputs!$B$13)+Q850</x:f>
        <x:v>60224.969645474855</x:v>
      </x:c>
      <x:c r="M850" s="50" t="n">
        <x:f>I850+J850+L850</x:f>
        <x:v>1865930.3293401685</x:v>
      </x:c>
      <x:c r="N850" s="50" t="n">
        <x:f>F850+P850</x:f>
        <x:v>600</x:v>
      </x:c>
      <x:c r="O850" s="50" t="n">
        <x:f>IF(B850=1,0,O849+F849+P849)</x:f>
        <x:v>4857.142857142857</x:v>
      </x:c>
      <x:c r="P850" s="50" t="n">
        <x:f>MIN(G850,MAX(0,Inputs!$B$20-O850-F850))</x:f>
        <x:v>0</x:v>
      </x:c>
      <x:c r="Q850" s="50" t="n">
        <x:f>(C850-E850-F850)+(G850-P850)</x:f>
        <x:v>0</x:v>
      </x:c>
    </x:row>
    <x:row r="851">
      <x:c r="A851" s="41" t="n">
        <x:f>IF(B851=1,A850+1,A850)</x:f>
        <x:v>2059</x:v>
      </x:c>
      <x:c r="B851" s="41" t="n">
        <x:f>IF(B850=26,1,B850+1)</x:f>
        <x:v>18</x:v>
      </x:c>
      <x:c r="C851" s="48" t="n">
        <x:f>Inputs!$F$35</x:f>
        <x:v>600</x:v>
      </x:c>
      <x:c r="D851" s="50" t="n">
        <x:f>IF(B851=1,0,D850+E850)</x:f>
        <x:v>8000</x:v>
      </x:c>
      <x:c r="E851" s="50" t="n">
        <x:f>MIN(C851,MAX(0,Inputs!$B$7-D851))</x:f>
        <x:v>0</x:v>
      </x:c>
      <x:c r="F851" s="50" t="n">
        <x:f>MIN(C851-E851,MAX(0,Inputs!$B$20-O851))</x:f>
        <x:v>600</x:v>
      </x:c>
      <x:c r="G851" s="50" t="n">
        <x:f>0</x:f>
        <x:v>0</x:v>
      </x:c>
      <x:c r="H851" s="41" t="n">
        <x:f>0</x:f>
        <x:v>0</x:v>
      </x:c>
      <x:c r="I851" s="50" t="n">
        <x:f>(I850*(1+Inputs!$B$12))+E851</x:f>
        <x:v>826522.6640931091</x:v>
      </x:c>
      <x:c r="J851" s="50" t="n">
        <x:f>(J850*(1+Inputs!$B$12))+F851+P851</x:f>
        <x:v>983174.363874257</x:v>
      </x:c>
      <x:c r="K851" s="50" t="n">
        <x:f>(K850*(1+Inputs!$B$12))*(1-H851)</x:f>
        <x:v>0</x:v>
      </x:c>
      <x:c r="L851" s="50" t="n">
        <x:f>L850*(1+Inputs!$B$13)+Q851</x:f>
        <x:v>60330.342526101434</x:v>
      </x:c>
      <x:c r="M851" s="50" t="n">
        <x:f>I851+J851+L851</x:f>
        <x:v>1870027.3704934674</x:v>
      </x:c>
      <x:c r="N851" s="50" t="n">
        <x:f>F851+P851</x:f>
        <x:v>600</x:v>
      </x:c>
      <x:c r="O851" s="50" t="n">
        <x:f>IF(B851=1,0,O850+F850+P850)</x:f>
        <x:v>5457.142857142857</x:v>
      </x:c>
      <x:c r="P851" s="50" t="n">
        <x:f>MIN(G851,MAX(0,Inputs!$B$20-O851-F851))</x:f>
        <x:v>0</x:v>
      </x:c>
      <x:c r="Q851" s="50" t="n">
        <x:f>(C851-E851-F851)+(G851-P851)</x:f>
        <x:v>0</x:v>
      </x:c>
    </x:row>
    <x:row r="852">
      <x:c r="A852" s="41" t="n">
        <x:f>IF(B852=1,A851+1,A851)</x:f>
        <x:v>2059</x:v>
      </x:c>
      <x:c r="B852" s="41" t="n">
        <x:f>IF(B851=26,1,B851+1)</x:f>
        <x:v>19</x:v>
      </x:c>
      <x:c r="C852" s="48" t="n">
        <x:f>Inputs!$F$35</x:f>
        <x:v>600</x:v>
      </x:c>
      <x:c r="D852" s="50" t="n">
        <x:f>IF(B852=1,0,D851+E851)</x:f>
        <x:v>8000</x:v>
      </x:c>
      <x:c r="E852" s="50" t="n">
        <x:f>MIN(C852,MAX(0,Inputs!$B$7-D852))</x:f>
        <x:v>0</x:v>
      </x:c>
      <x:c r="F852" s="50" t="n">
        <x:f>MIN(C852-E852,MAX(0,Inputs!$B$20-O852))</x:f>
        <x:v>600</x:v>
      </x:c>
      <x:c r="G852" s="50" t="n">
        <x:f>0</x:f>
        <x:v>0</x:v>
      </x:c>
      <x:c r="H852" s="41" t="n">
        <x:f>0</x:f>
        <x:v>0</x:v>
      </x:c>
      <x:c r="I852" s="50" t="n">
        <x:f>(I851*(1+Inputs!$B$12))+E852</x:f>
        <x:v>828075.1270580101</x:v>
      </x:c>
      <x:c r="J852" s="50" t="n">
        <x:f>(J851*(1+Inputs!$B$12))+F852+P852</x:f>
        <x:v>985621.066758841</x:v>
      </x:c>
      <x:c r="K852" s="50" t="n">
        <x:f>(K851*(1+Inputs!$B$12))*(1-H852)</x:f>
        <x:v>0</x:v>
      </x:c>
      <x:c r="L852" s="50" t="n">
        <x:f>L851*(1+Inputs!$B$13)+Q852</x:f>
        <x:v>60435.899772847864</x:v>
      </x:c>
      <x:c r="M852" s="50" t="n">
        <x:f>I852+J852+L852</x:f>
        <x:v>1874132.093589699</x:v>
      </x:c>
      <x:c r="N852" s="50" t="n">
        <x:f>F852+P852</x:f>
        <x:v>600</x:v>
      </x:c>
      <x:c r="O852" s="50" t="n">
        <x:f>IF(B852=1,0,O851+F851+P851)</x:f>
        <x:v>6057.142857142857</x:v>
      </x:c>
      <x:c r="P852" s="50" t="n">
        <x:f>MIN(G852,MAX(0,Inputs!$B$20-O852-F852))</x:f>
        <x:v>0</x:v>
      </x:c>
      <x:c r="Q852" s="50" t="n">
        <x:f>(C852-E852-F852)+(G852-P852)</x:f>
        <x:v>0</x:v>
      </x:c>
    </x:row>
    <x:row r="853">
      <x:c r="A853" s="41" t="n">
        <x:f>IF(B853=1,A852+1,A852)</x:f>
        <x:v>2059</x:v>
      </x:c>
      <x:c r="B853" s="41" t="n">
        <x:f>IF(B852=26,1,B852+1)</x:f>
        <x:v>20</x:v>
      </x:c>
      <x:c r="C853" s="48" t="n">
        <x:f>Inputs!$F$35</x:f>
        <x:v>600</x:v>
      </x:c>
      <x:c r="D853" s="50" t="n">
        <x:f>IF(B853=1,0,D852+E852)</x:f>
        <x:v>8000</x:v>
      </x:c>
      <x:c r="E853" s="50" t="n">
        <x:f>MIN(C853,MAX(0,Inputs!$B$7-D853))</x:f>
        <x:v>0</x:v>
      </x:c>
      <x:c r="F853" s="50" t="n">
        <x:f>MIN(C853-E853,MAX(0,Inputs!$B$20-O853))</x:f>
        <x:v>600</x:v>
      </x:c>
      <x:c r="G853" s="50" t="n">
        <x:f>0</x:f>
        <x:v>0</x:v>
      </x:c>
      <x:c r="H853" s="41" t="n">
        <x:f>0</x:f>
        <x:v>0</x:v>
      </x:c>
      <x:c r="I853" s="50" t="n">
        <x:f>(I852*(1+Inputs!$B$12))+E853</x:f>
        <x:v>829630.5060243253</x:v>
      </x:c>
      <x:c r="J853" s="50" t="n">
        <x:f>(J852*(1+Inputs!$B$12))+F853+P853</x:f>
        <x:v>988072.3653015716</x:v>
      </x:c>
      <x:c r="K853" s="50" t="n">
        <x:f>(K852*(1+Inputs!$B$12))*(1-H853)</x:f>
        <x:v>0</x:v>
      </x:c>
      <x:c r="L853" s="50" t="n">
        <x:f>L852*(1+Inputs!$B$13)+Q853</x:f>
        <x:v>60541.64170829113</x:v>
      </x:c>
      <x:c r="M853" s="50" t="n">
        <x:f>I853+J853+L853</x:f>
        <x:v>1878244.513034188</x:v>
      </x:c>
      <x:c r="N853" s="50" t="n">
        <x:f>F853+P853</x:f>
        <x:v>600</x:v>
      </x:c>
      <x:c r="O853" s="50" t="n">
        <x:f>IF(B853=1,0,O852+F852+P852)</x:f>
        <x:v>6657.142857142857</x:v>
      </x:c>
      <x:c r="P853" s="50" t="n">
        <x:f>MIN(G853,MAX(0,Inputs!$B$20-O853-F853))</x:f>
        <x:v>0</x:v>
      </x:c>
      <x:c r="Q853" s="50" t="n">
        <x:f>(C853-E853-F853)+(G853-P853)</x:f>
        <x:v>0</x:v>
      </x:c>
    </x:row>
    <x:row r="854">
      <x:c r="A854" s="41" t="n">
        <x:f>IF(B854=1,A853+1,A853)</x:f>
        <x:v>2059</x:v>
      </x:c>
      <x:c r="B854" s="41" t="n">
        <x:f>IF(B853=26,1,B853+1)</x:f>
        <x:v>21</x:v>
      </x:c>
      <x:c r="C854" s="48" t="n">
        <x:f>Inputs!$F$35</x:f>
        <x:v>600</x:v>
      </x:c>
      <x:c r="D854" s="50" t="n">
        <x:f>IF(B854=1,0,D853+E853)</x:f>
        <x:v>8000</x:v>
      </x:c>
      <x:c r="E854" s="50" t="n">
        <x:f>MIN(C854,MAX(0,Inputs!$B$7-D854))</x:f>
        <x:v>0</x:v>
      </x:c>
      <x:c r="F854" s="50" t="n">
        <x:f>MIN(C854-E854,MAX(0,Inputs!$B$20-O854))</x:f>
        <x:v>600</x:v>
      </x:c>
      <x:c r="G854" s="50" t="n">
        <x:f>0</x:f>
        <x:v>0</x:v>
      </x:c>
      <x:c r="H854" s="41" t="n">
        <x:f>0</x:f>
        <x:v>0</x:v>
      </x:c>
      <x:c r="I854" s="50" t="n">
        <x:f>(I853*(1+Inputs!$B$12))+E854</x:f>
        <x:v>831188.8064691994</x:v>
      </x:c>
      <x:c r="J854" s="50" t="n">
        <x:f>(J853*(1+Inputs!$B$12))+F854+P854</x:f>
        <x:v>990528.2681345034</x:v>
      </x:c>
      <x:c r="K854" s="50" t="n">
        <x:f>(K853*(1+Inputs!$B$12))*(1-H854)</x:f>
        <x:v>0</x:v>
      </x:c>
      <x:c r="L854" s="50" t="n">
        <x:f>L853*(1+Inputs!$B$13)+Q854</x:f>
        <x:v>60647.568655572606</x:v>
      </x:c>
      <x:c r="M854" s="50" t="n">
        <x:f>I854+J854+L854</x:f>
        <x:v>1882364.6432592755</x:v>
      </x:c>
      <x:c r="N854" s="50" t="n">
        <x:f>F854+P854</x:f>
        <x:v>600</x:v>
      </x:c>
      <x:c r="O854" s="50" t="n">
        <x:f>IF(B854=1,0,O853+F853+P853)</x:f>
        <x:v>7257.142857142857</x:v>
      </x:c>
      <x:c r="P854" s="50" t="n">
        <x:f>MIN(G854,MAX(0,Inputs!$B$20-O854-F854))</x:f>
        <x:v>0</x:v>
      </x:c>
      <x:c r="Q854" s="50" t="n">
        <x:f>(C854-E854-F854)+(G854-P854)</x:f>
        <x:v>0</x:v>
      </x:c>
    </x:row>
    <x:row r="855">
      <x:c r="A855" s="41" t="n">
        <x:f>IF(B855=1,A854+1,A854)</x:f>
        <x:v>2059</x:v>
      </x:c>
      <x:c r="B855" s="41" t="n">
        <x:f>IF(B854=26,1,B854+1)</x:f>
        <x:v>22</x:v>
      </x:c>
      <x:c r="C855" s="48" t="n">
        <x:f>Inputs!$F$35</x:f>
        <x:v>600</x:v>
      </x:c>
      <x:c r="D855" s="50" t="n">
        <x:f>IF(B855=1,0,D854+E854)</x:f>
        <x:v>8000</x:v>
      </x:c>
      <x:c r="E855" s="50" t="n">
        <x:f>MIN(C855,MAX(0,Inputs!$B$7-D855))</x:f>
        <x:v>0</x:v>
      </x:c>
      <x:c r="F855" s="50" t="n">
        <x:f>MIN(C855-E855,MAX(0,Inputs!$B$20-O855))</x:f>
        <x:v>600</x:v>
      </x:c>
      <x:c r="G855" s="50" t="n">
        <x:f>0</x:f>
        <x:v>0</x:v>
      </x:c>
      <x:c r="H855" s="41" t="n">
        <x:f>0</x:f>
        <x:v>0</x:v>
      </x:c>
      <x:c r="I855" s="50" t="n">
        <x:f>(I854*(1+Inputs!$B$12))+E855</x:f>
        <x:v>832750.0338800647</x:v>
      </x:c>
      <x:c r="J855" s="50" t="n">
        <x:f>(J854*(1+Inputs!$B$12))+F855+P855</x:f>
        <x:v>992988.7839059052</x:v>
      </x:c>
      <x:c r="K855" s="50" t="n">
        <x:f>(K854*(1+Inputs!$B$12))*(1-H855)</x:f>
        <x:v>0</x:v>
      </x:c>
      <x:c r="L855" s="50" t="n">
        <x:f>L854*(1+Inputs!$B$13)+Q855</x:f>
        <x:v>60753.68093839907</x:v>
      </x:c>
      <x:c r="M855" s="50" t="n">
        <x:f>I855+J855+L855</x:f>
        <x:v>1886492.498724369</x:v>
      </x:c>
      <x:c r="N855" s="50" t="n">
        <x:f>F855+P855</x:f>
        <x:v>600</x:v>
      </x:c>
      <x:c r="O855" s="50" t="n">
        <x:f>IF(B855=1,0,O854+F854+P854)</x:f>
        <x:v>7857.142857142857</x:v>
      </x:c>
      <x:c r="P855" s="50" t="n">
        <x:f>MIN(G855,MAX(0,Inputs!$B$20-O855-F855))</x:f>
        <x:v>0</x:v>
      </x:c>
      <x:c r="Q855" s="50" t="n">
        <x:f>(C855-E855-F855)+(G855-P855)</x:f>
        <x:v>0</x:v>
      </x:c>
    </x:row>
    <x:row r="856">
      <x:c r="A856" s="41" t="n">
        <x:f>IF(B856=1,A855+1,A855)</x:f>
        <x:v>2059</x:v>
      </x:c>
      <x:c r="B856" s="41" t="n">
        <x:f>IF(B855=26,1,B855+1)</x:f>
        <x:v>23</x:v>
      </x:c>
      <x:c r="C856" s="48" t="n">
        <x:f>Inputs!$F$35</x:f>
        <x:v>600</x:v>
      </x:c>
      <x:c r="D856" s="50" t="n">
        <x:f>IF(B856=1,0,D855+E855)</x:f>
        <x:v>8000</x:v>
      </x:c>
      <x:c r="E856" s="50" t="n">
        <x:f>MIN(C856,MAX(0,Inputs!$B$7-D856))</x:f>
        <x:v>0</x:v>
      </x:c>
      <x:c r="F856" s="50" t="n">
        <x:f>MIN(C856-E856,MAX(0,Inputs!$B$20-O856))</x:f>
        <x:v>600</x:v>
      </x:c>
      <x:c r="G856" s="50" t="n">
        <x:f>0</x:f>
        <x:v>0</x:v>
      </x:c>
      <x:c r="H856" s="41" t="n">
        <x:f>0</x:f>
        <x:v>0</x:v>
      </x:c>
      <x:c r="I856" s="50" t="n">
        <x:f>(I855*(1+Inputs!$B$12))+E856</x:f>
        <x:v>834314.193754661</x:v>
      </x:c>
      <x:c r="J856" s="50" t="n">
        <x:f>(J855*(1+Inputs!$B$12))+F856+P856</x:f>
        <x:v>995453.9212802898</x:v>
      </x:c>
      <x:c r="K856" s="50" t="n">
        <x:f>(K855*(1+Inputs!$B$12))*(1-H856)</x:f>
        <x:v>0</x:v>
      </x:c>
      <x:c r="L856" s="50" t="n">
        <x:f>L855*(1+Inputs!$B$13)+Q856</x:f>
        <x:v>60859.978881043666</x:v>
      </x:c>
      <x:c r="M856" s="50" t="n">
        <x:f>I856+J856+L856</x:f>
        <x:v>1890628.0939159945</x:v>
      </x:c>
      <x:c r="N856" s="50" t="n">
        <x:f>F856+P856</x:f>
        <x:v>600</x:v>
      </x:c>
      <x:c r="O856" s="50" t="n">
        <x:f>IF(B856=1,0,O855+F855+P855)</x:f>
        <x:v>8457.142857142857</x:v>
      </x:c>
      <x:c r="P856" s="50" t="n">
        <x:f>MIN(G856,MAX(0,Inputs!$B$20-O856-F856))</x:f>
        <x:v>0</x:v>
      </x:c>
      <x:c r="Q856" s="50" t="n">
        <x:f>(C856-E856-F856)+(G856-P856)</x:f>
        <x:v>0</x:v>
      </x:c>
    </x:row>
    <x:row r="857">
      <x:c r="A857" s="41" t="n">
        <x:f>IF(B857=1,A856+1,A856)</x:f>
        <x:v>2059</x:v>
      </x:c>
      <x:c r="B857" s="41" t="n">
        <x:f>IF(B856=26,1,B856+1)</x:f>
        <x:v>24</x:v>
      </x:c>
      <x:c r="C857" s="48" t="n">
        <x:f>Inputs!$F$35</x:f>
        <x:v>600</x:v>
      </x:c>
      <x:c r="D857" s="50" t="n">
        <x:f>IF(B857=1,0,D856+E856)</x:f>
        <x:v>8000</x:v>
      </x:c>
      <x:c r="E857" s="50" t="n">
        <x:f>MIN(C857,MAX(0,Inputs!$B$7-D857))</x:f>
        <x:v>0</x:v>
      </x:c>
      <x:c r="F857" s="50" t="n">
        <x:f>MIN(C857-E857,MAX(0,Inputs!$B$20-O857))</x:f>
        <x:v>600</x:v>
      </x:c>
      <x:c r="G857" s="50" t="n">
        <x:f>0</x:f>
        <x:v>0</x:v>
      </x:c>
      <x:c r="H857" s="41" t="n">
        <x:f>0</x:f>
        <x:v>0</x:v>
      </x:c>
      <x:c r="I857" s="50" t="n">
        <x:f>(I856*(1+Inputs!$B$12))+E857</x:f>
        <x:v>835881.291601054</x:v>
      </x:c>
      <x:c r="J857" s="50" t="n">
        <x:f>(J856*(1+Inputs!$B$12))+F857+P857</x:f>
        <x:v>997923.6889384444</x:v>
      </x:c>
      <x:c r="K857" s="50" t="n">
        <x:f>(K856*(1+Inputs!$B$12))*(1-H857)</x:f>
        <x:v>0</x:v>
      </x:c>
      <x:c r="L857" s="50" t="n">
        <x:f>L856*(1+Inputs!$B$13)+Q857</x:f>
        <x:v>60966.4628083469</x:v>
      </x:c>
      <x:c r="M857" s="50" t="n">
        <x:f>I857+J857+L857</x:f>
        <x:v>1894771.4433478452</x:v>
      </x:c>
      <x:c r="N857" s="50" t="n">
        <x:f>F857+P857</x:f>
        <x:v>600</x:v>
      </x:c>
      <x:c r="O857" s="50" t="n">
        <x:f>IF(B857=1,0,O856+F856+P856)</x:f>
        <x:v>9057.142857142857</x:v>
      </x:c>
      <x:c r="P857" s="50" t="n">
        <x:f>MIN(G857,MAX(0,Inputs!$B$20-O857-F857))</x:f>
        <x:v>0</x:v>
      </x:c>
      <x:c r="Q857" s="50" t="n">
        <x:f>(C857-E857-F857)+(G857-P857)</x:f>
        <x:v>0</x:v>
      </x:c>
    </x:row>
    <x:row r="858">
      <x:c r="A858" s="41" t="n">
        <x:f>IF(B858=1,A857+1,A857)</x:f>
        <x:v>2059</x:v>
      </x:c>
      <x:c r="B858" s="41" t="n">
        <x:f>IF(B857=26,1,B857+1)</x:f>
        <x:v>25</x:v>
      </x:c>
      <x:c r="C858" s="48" t="n">
        <x:f>Inputs!$F$35</x:f>
        <x:v>600</x:v>
      </x:c>
      <x:c r="D858" s="50" t="n">
        <x:f>IF(B858=1,0,D857+E857)</x:f>
        <x:v>8000</x:v>
      </x:c>
      <x:c r="E858" s="50" t="n">
        <x:f>MIN(C858,MAX(0,Inputs!$B$7-D858))</x:f>
        <x:v>0</x:v>
      </x:c>
      <x:c r="F858" s="50" t="n">
        <x:f>MIN(C858-E858,MAX(0,Inputs!$B$20-O858))</x:f>
        <x:v>600</x:v>
      </x:c>
      <x:c r="G858" s="50" t="n">
        <x:f>0</x:f>
        <x:v>0</x:v>
      </x:c>
      <x:c r="H858" s="41" t="n">
        <x:f>0</x:f>
        <x:v>0</x:v>
      </x:c>
      <x:c r="I858" s="50" t="n">
        <x:f>(I857*(1+Inputs!$B$12))+E858</x:f>
        <x:v>837451.3329376556</x:v>
      </x:c>
      <x:c r="J858" s="50" t="n">
        <x:f>(J857*(1+Inputs!$B$12))+F858+P858</x:f>
        <x:v>1000398.0955774615</x:v>
      </x:c>
      <x:c r="K858" s="50" t="n">
        <x:f>(K857*(1+Inputs!$B$12))*(1-H858)</x:f>
        <x:v>0</x:v>
      </x:c>
      <x:c r="L858" s="50" t="n">
        <x:f>L857*(1+Inputs!$B$13)+Q858</x:f>
        <x:v>61073.133045717645</x:v>
      </x:c>
      <x:c r="M858" s="50" t="n">
        <x:f>I858+J858+L858</x:f>
        <x:v>1898922.5615608348</x:v>
      </x:c>
      <x:c r="N858" s="50" t="n">
        <x:f>F858+P858</x:f>
        <x:v>600</x:v>
      </x:c>
      <x:c r="O858" s="50" t="n">
        <x:f>IF(B858=1,0,O857+F857+P857)</x:f>
        <x:v>9657.142857142857</x:v>
      </x:c>
      <x:c r="P858" s="50" t="n">
        <x:f>MIN(G858,MAX(0,Inputs!$B$20-O858-F858))</x:f>
        <x:v>0</x:v>
      </x:c>
      <x:c r="Q858" s="50" t="n">
        <x:f>(C858-E858-F858)+(G858-P858)</x:f>
        <x:v>0</x:v>
      </x:c>
    </x:row>
    <x:row r="859">
      <x:c r="A859" s="41" t="n">
        <x:f>IF(B859=1,A858+1,A858)</x:f>
        <x:v>2059</x:v>
      </x:c>
      <x:c r="B859" s="41" t="n">
        <x:f>IF(B858=26,1,B858+1)</x:f>
        <x:v>26</x:v>
      </x:c>
      <x:c r="C859" s="48" t="n">
        <x:f>Inputs!$F$35</x:f>
        <x:v>600</x:v>
      </x:c>
      <x:c r="D859" s="50" t="n">
        <x:f>IF(B859=1,0,D858+E858)</x:f>
        <x:v>8000</x:v>
      </x:c>
      <x:c r="E859" s="50" t="n">
        <x:f>MIN(C859,MAX(0,Inputs!$B$7-D859))</x:f>
        <x:v>0</x:v>
      </x:c>
      <x:c r="F859" s="50" t="n">
        <x:f>MIN(C859-E859,MAX(0,Inputs!$B$20-O859))</x:f>
        <x:v>600</x:v>
      </x:c>
      <x:c r="G859" s="50" t="n">
        <x:f>0</x:f>
        <x:v>0</x:v>
      </x:c>
      <x:c r="H859" s="41" t="n">
        <x:f>IF(A859=Inputs!$B$8,1,0)</x:f>
        <x:v>0</x:v>
      </x:c>
      <x:c r="I859" s="50" t="n">
        <x:f>(I858*(1+Inputs!$B$12))+E859</x:f>
        <x:v>839024.3232932427</x:v>
      </x:c>
      <x:c r="J859" s="50" t="n">
        <x:f>(J858*(1+Inputs!$B$12))+F859+P859</x:f>
        <x:v>1002877.1499107695</x:v>
      </x:c>
      <x:c r="K859" s="50" t="n">
        <x:f>(K858*(1+Inputs!$B$12))*(1-H859)</x:f>
        <x:v>0</x:v>
      </x:c>
      <x:c r="L859" s="50" t="n">
        <x:f>L858*(1+Inputs!$B$13)+Q859</x:f>
        <x:v>61179.98991913412</x:v>
      </x:c>
      <x:c r="M859" s="50" t="n">
        <x:f>I859+J859+L859</x:f>
        <x:v>1903081.4631231464</x:v>
      </x:c>
      <x:c r="N859" s="50" t="n">
        <x:f>F859+P859</x:f>
        <x:v>600</x:v>
      </x:c>
      <x:c r="O859" s="50" t="n">
        <x:f>IF(B859=1,0,O858+F858+P858)</x:f>
        <x:v>10257.142857142857</x:v>
      </x:c>
      <x:c r="P859" s="50" t="n">
        <x:f>MIN(G859,MAX(0,Inputs!$B$20-O859-F859))</x:f>
        <x:v>0</x:v>
      </x:c>
      <x:c r="Q859" s="50" t="n">
        <x:f>(C859-E859-F859)+(G859-P859)</x:f>
        <x:v>0</x:v>
      </x:c>
    </x:row>
    <x:row r="860">
      <x:c r="A860" s="41" t="n">
        <x:f>IF(B860=1,A859+1,A859)</x:f>
        <x:v>2060</x:v>
      </x:c>
      <x:c r="B860" s="41" t="n">
        <x:f>IF(B859=26,1,B859+1)</x:f>
        <x:v>1</x:v>
      </x:c>
      <x:c r="C860" s="48" t="n">
        <x:f>Inputs!$F$36</x:f>
        <x:v>600</x:v>
      </x:c>
      <x:c r="D860" s="50" t="n">
        <x:f>IF(B860=1,0,D859+E859)</x:f>
        <x:v>0</x:v>
      </x:c>
      <x:c r="E860" s="50" t="n">
        <x:f>MIN(C860,MAX(0,Inputs!$B$7-D860))</x:f>
        <x:v>600</x:v>
      </x:c>
      <x:c r="F860" s="50" t="n">
        <x:f>MIN(C860-E860,MAX(0,Inputs!$B$20-O860))</x:f>
        <x:v>0</x:v>
      </x:c>
      <x:c r="G860" s="50" t="n">
        <x:f>0</x:f>
        <x:v>0</x:v>
      </x:c>
      <x:c r="H860" s="41" t="n">
        <x:f>0</x:f>
        <x:v>0</x:v>
      </x:c>
      <x:c r="I860" s="50" t="n">
        <x:f>(I859*(1+Inputs!$B$12))+E860</x:f>
        <x:v>841200.2682069773</x:v>
      </x:c>
      <x:c r="J860" s="50" t="n">
        <x:f>(J859*(1+Inputs!$B$12))+F860+P860</x:f>
        <x:v>1004760.8606681633</x:v>
      </x:c>
      <x:c r="K860" s="50" t="n">
        <x:f>(K859*(1+Inputs!$B$12))*(1-H860)</x:f>
        <x:v>0</x:v>
      </x:c>
      <x:c r="L860" s="50" t="n">
        <x:f>L859*(1+Inputs!$B$13)+Q860</x:f>
        <x:v>61287.0337551449</x:v>
      </x:c>
      <x:c r="M860" s="50" t="n">
        <x:f>I860+J860+L860</x:f>
        <x:v>1907248.1626302854</x:v>
      </x:c>
      <x:c r="N860" s="50" t="n">
        <x:f>F860+P860</x:f>
        <x:v>0</x:v>
      </x:c>
      <x:c r="O860" s="50" t="n">
        <x:f>IF(B860=1,0,O859+F859+P859)</x:f>
        <x:v>0</x:v>
      </x:c>
      <x:c r="P860" s="50" t="n">
        <x:f>MIN(G860,MAX(0,Inputs!$B$20-O860-F860))</x:f>
        <x:v>0</x:v>
      </x:c>
      <x:c r="Q860" s="50" t="n">
        <x:f>(C860-E860-F860)+(G860-P860)</x:f>
        <x:v>0</x:v>
      </x:c>
    </x:row>
    <x:row r="861">
      <x:c r="A861" s="41" t="n">
        <x:f>IF(B861=1,A860+1,A860)</x:f>
        <x:v>2060</x:v>
      </x:c>
      <x:c r="B861" s="41" t="n">
        <x:f>IF(B860=26,1,B860+1)</x:f>
        <x:v>2</x:v>
      </x:c>
      <x:c r="C861" s="48" t="n">
        <x:f>Inputs!$F$36</x:f>
        <x:v>600</x:v>
      </x:c>
      <x:c r="D861" s="50" t="n">
        <x:f>IF(B861=1,0,D860+E860)</x:f>
        <x:v>600</x:v>
      </x:c>
      <x:c r="E861" s="50" t="n">
        <x:f>MIN(C861,MAX(0,Inputs!$B$7-D861))</x:f>
        <x:v>600</x:v>
      </x:c>
      <x:c r="F861" s="50" t="n">
        <x:f>MIN(C861-E861,MAX(0,Inputs!$B$20-O861))</x:f>
        <x:v>0</x:v>
      </x:c>
      <x:c r="G861" s="50" t="n">
        <x:f>0</x:f>
        <x:v>0</x:v>
      </x:c>
      <x:c r="H861" s="41" t="n">
        <x:f>0</x:f>
        <x:v>0</x:v>
      </x:c>
      <x:c r="I861" s="50" t="n">
        <x:f>(I860*(1+Inputs!$B$12))+E861</x:f>
        <x:v>843380.3002123779</x:v>
      </x:c>
      <x:c r="J861" s="50" t="n">
        <x:f>(J860*(1+Inputs!$B$12))+F861+P861</x:f>
        <x:v>1006648.109611882</x:v>
      </x:c>
      <x:c r="K861" s="50" t="n">
        <x:f>(K860*(1+Inputs!$B$12))*(1-H861)</x:f>
        <x:v>0</x:v>
      </x:c>
      <x:c r="L861" s="50" t="n">
        <x:f>L860*(1+Inputs!$B$13)+Q861</x:f>
        <x:v>61394.264880869894</x:v>
      </x:c>
      <x:c r="M861" s="50" t="n">
        <x:f>I861+J861+L861</x:f>
        <x:v>1911422.67470513</x:v>
      </x:c>
      <x:c r="N861" s="50" t="n">
        <x:f>F861+P861</x:f>
        <x:v>0</x:v>
      </x:c>
      <x:c r="O861" s="50" t="n">
        <x:f>IF(B861=1,0,O860+F860+P860)</x:f>
        <x:v>0</x:v>
      </x:c>
      <x:c r="P861" s="50" t="n">
        <x:f>MIN(G861,MAX(0,Inputs!$B$20-O861-F861))</x:f>
        <x:v>0</x:v>
      </x:c>
      <x:c r="Q861" s="50" t="n">
        <x:f>(C861-E861-F861)+(G861-P861)</x:f>
        <x:v>0</x:v>
      </x:c>
    </x:row>
    <x:row r="862">
      <x:c r="A862" s="41" t="n">
        <x:f>IF(B862=1,A861+1,A861)</x:f>
        <x:v>2060</x:v>
      </x:c>
      <x:c r="B862" s="41" t="n">
        <x:f>IF(B861=26,1,B861+1)</x:f>
        <x:v>3</x:v>
      </x:c>
      <x:c r="C862" s="48" t="n">
        <x:f>Inputs!$F$36</x:f>
        <x:v>600</x:v>
      </x:c>
      <x:c r="D862" s="50" t="n">
        <x:f>IF(B862=1,0,D861+E861)</x:f>
        <x:v>1200</x:v>
      </x:c>
      <x:c r="E862" s="50" t="n">
        <x:f>MIN(C862,MAX(0,Inputs!$B$7-D862))</x:f>
        <x:v>600</x:v>
      </x:c>
      <x:c r="F862" s="50" t="n">
        <x:f>MIN(C862-E862,MAX(0,Inputs!$B$20-O862))</x:f>
        <x:v>0</x:v>
      </x:c>
      <x:c r="G862" s="50" t="n">
        <x:f>0</x:f>
        <x:v>0</x:v>
      </x:c>
      <x:c r="H862" s="41" t="n">
        <x:f>0</x:f>
        <x:v>0</x:v>
      </x:c>
      <x:c r="I862" s="50" t="n">
        <x:f>(I861*(1+Inputs!$B$12))+E862</x:f>
        <x:v>845564.4269862558</x:v>
      </x:c>
      <x:c r="J862" s="50" t="n">
        <x:f>(J861*(1+Inputs!$B$12))+F862+P862</x:f>
        <x:v>1008538.9033877245</x:v>
      </x:c>
      <x:c r="K862" s="50" t="n">
        <x:f>(K861*(1+Inputs!$B$12))*(1-H862)</x:f>
        <x:v>0</x:v>
      </x:c>
      <x:c r="L862" s="50" t="n">
        <x:f>L861*(1+Inputs!$B$13)+Q862</x:f>
        <x:v>61501.68362400137</x:v>
      </x:c>
      <x:c r="M862" s="50" t="n">
        <x:f>I862+J862+L862</x:f>
        <x:v>1915605.0139979818</x:v>
      </x:c>
      <x:c r="N862" s="50" t="n">
        <x:f>F862+P862</x:f>
        <x:v>0</x:v>
      </x:c>
      <x:c r="O862" s="50" t="n">
        <x:f>IF(B862=1,0,O861+F861+P861)</x:f>
        <x:v>0</x:v>
      </x:c>
      <x:c r="P862" s="50" t="n">
        <x:f>MIN(G862,MAX(0,Inputs!$B$20-O862-F862))</x:f>
        <x:v>0</x:v>
      </x:c>
      <x:c r="Q862" s="50" t="n">
        <x:f>(C862-E862-F862)+(G862-P862)</x:f>
        <x:v>0</x:v>
      </x:c>
    </x:row>
    <x:row r="863">
      <x:c r="A863" s="41" t="n">
        <x:f>IF(B863=1,A862+1,A862)</x:f>
        <x:v>2060</x:v>
      </x:c>
      <x:c r="B863" s="41" t="n">
        <x:f>IF(B862=26,1,B862+1)</x:f>
        <x:v>4</x:v>
      </x:c>
      <x:c r="C863" s="48" t="n">
        <x:f>Inputs!$F$36</x:f>
        <x:v>600</x:v>
      </x:c>
      <x:c r="D863" s="50" t="n">
        <x:f>IF(B863=1,0,D862+E862)</x:f>
        <x:v>1800</x:v>
      </x:c>
      <x:c r="E863" s="50" t="n">
        <x:f>MIN(C863,MAX(0,Inputs!$B$7-D863))</x:f>
        <x:v>600</x:v>
      </x:c>
      <x:c r="F863" s="50" t="n">
        <x:f>MIN(C863-E863,MAX(0,Inputs!$B$20-O863))</x:f>
        <x:v>0</x:v>
      </x:c>
      <x:c r="G863" s="50" t="n">
        <x:f>0</x:f>
        <x:v>0</x:v>
      </x:c>
      <x:c r="H863" s="41" t="n">
        <x:f>0</x:f>
        <x:v>0</x:v>
      </x:c>
      <x:c r="I863" s="50" t="n">
        <x:f>(I862*(1+Inputs!$B$12))+E863</x:f>
        <x:v>847752.6562198416</x:v>
      </x:c>
      <x:c r="J863" s="50" t="n">
        <x:f>(J862*(1+Inputs!$B$12))+F863+P863</x:f>
        <x:v>1010433.2486539723</x:v>
      </x:c>
      <x:c r="K863" s="50" t="n">
        <x:f>(K862*(1+Inputs!$B$12))*(1-H863)</x:f>
        <x:v>0</x:v>
      </x:c>
      <x:c r="L863" s="50" t="n">
        <x:f>L862*(1+Inputs!$B$13)+Q863</x:f>
        <x:v>61609.29031280495</x:v>
      </x:c>
      <x:c r="M863" s="50" t="n">
        <x:f>I863+J863+L863</x:f>
        <x:v>1919795.195186619</x:v>
      </x:c>
      <x:c r="N863" s="50" t="n">
        <x:f>F863+P863</x:f>
        <x:v>0</x:v>
      </x:c>
      <x:c r="O863" s="50" t="n">
        <x:f>IF(B863=1,0,O862+F862+P862)</x:f>
        <x:v>0</x:v>
      </x:c>
      <x:c r="P863" s="50" t="n">
        <x:f>MIN(G863,MAX(0,Inputs!$B$20-O863-F863))</x:f>
        <x:v>0</x:v>
      </x:c>
      <x:c r="Q863" s="50" t="n">
        <x:f>(C863-E863-F863)+(G863-P863)</x:f>
        <x:v>0</x:v>
      </x:c>
    </x:row>
    <x:row r="864">
      <x:c r="A864" s="41" t="n">
        <x:f>IF(B864=1,A863+1,A863)</x:f>
        <x:v>2060</x:v>
      </x:c>
      <x:c r="B864" s="41" t="n">
        <x:f>IF(B863=26,1,B863+1)</x:f>
        <x:v>5</x:v>
      </x:c>
      <x:c r="C864" s="48" t="n">
        <x:f>Inputs!$F$36</x:f>
        <x:v>600</x:v>
      </x:c>
      <x:c r="D864" s="50" t="n">
        <x:f>IF(B864=1,0,D863+E863)</x:f>
        <x:v>2400</x:v>
      </x:c>
      <x:c r="E864" s="50" t="n">
        <x:f>MIN(C864,MAX(0,Inputs!$B$7-D864))</x:f>
        <x:v>600</x:v>
      </x:c>
      <x:c r="F864" s="50" t="n">
        <x:f>MIN(C864-E864,MAX(0,Inputs!$B$20-O864))</x:f>
        <x:v>0</x:v>
      </x:c>
      <x:c r="G864" s="50" t="n">
        <x:f>0</x:f>
        <x:v>0</x:v>
      </x:c>
      <x:c r="H864" s="41" t="n">
        <x:f>0</x:f>
        <x:v>0</x:v>
      </x:c>
      <x:c r="I864" s="50" t="n">
        <x:f>(I863*(1+Inputs!$B$12))+E864</x:f>
        <x:v>849944.9956188123</x:v>
      </x:c>
      <x:c r="J864" s="50" t="n">
        <x:f>(J863*(1+Inputs!$B$12))+F864+P864</x:f>
        <x:v>1012331.1520814132</x:v>
      </x:c>
      <x:c r="K864" s="50" t="n">
        <x:f>(K863*(1+Inputs!$B$12))*(1-H864)</x:f>
        <x:v>0</x:v>
      </x:c>
      <x:c r="L864" s="50" t="n">
        <x:f>L863*(1+Inputs!$B$13)+Q864</x:f>
        <x:v>61717.08527612059</x:v>
      </x:c>
      <x:c r="M864" s="50" t="n">
        <x:f>I864+J864+L864</x:f>
        <x:v>1923993.232976346</x:v>
      </x:c>
      <x:c r="N864" s="50" t="n">
        <x:f>F864+P864</x:f>
        <x:v>0</x:v>
      </x:c>
      <x:c r="O864" s="50" t="n">
        <x:f>IF(B864=1,0,O863+F863+P863)</x:f>
        <x:v>0</x:v>
      </x:c>
      <x:c r="P864" s="50" t="n">
        <x:f>MIN(G864,MAX(0,Inputs!$B$20-O864-F864))</x:f>
        <x:v>0</x:v>
      </x:c>
      <x:c r="Q864" s="50" t="n">
        <x:f>(C864-E864-F864)+(G864-P864)</x:f>
        <x:v>0</x:v>
      </x:c>
    </x:row>
    <x:row r="865">
      <x:c r="A865" s="41" t="n">
        <x:f>IF(B865=1,A864+1,A864)</x:f>
        <x:v>2060</x:v>
      </x:c>
      <x:c r="B865" s="41" t="n">
        <x:f>IF(B864=26,1,B864+1)</x:f>
        <x:v>6</x:v>
      </x:c>
      <x:c r="C865" s="48" t="n">
        <x:f>Inputs!$F$36</x:f>
        <x:v>600</x:v>
      </x:c>
      <x:c r="D865" s="50" t="n">
        <x:f>IF(B865=1,0,D864+E864)</x:f>
        <x:v>3000</x:v>
      </x:c>
      <x:c r="E865" s="50" t="n">
        <x:f>MIN(C865,MAX(0,Inputs!$B$7-D865))</x:f>
        <x:v>600</x:v>
      </x:c>
      <x:c r="F865" s="50" t="n">
        <x:f>MIN(C865-E865,MAX(0,Inputs!$B$20-O865))</x:f>
        <x:v>0</x:v>
      </x:c>
      <x:c r="G865" s="50" t="n">
        <x:f>0</x:f>
        <x:v>0</x:v>
      </x:c>
      <x:c r="H865" s="41" t="n">
        <x:f>0</x:f>
        <x:v>0</x:v>
      </x:c>
      <x:c r="I865" s="50" t="n">
        <x:f>(I864*(1+Inputs!$B$12))+E865</x:f>
        <x:v>852141.4529033187</x:v>
      </x:c>
      <x:c r="J865" s="50" t="n">
        <x:f>(J864*(1+Inputs!$B$12))+F865+P865</x:f>
        <x:v>1014232.6203533647</x:v>
      </x:c>
      <x:c r="K865" s="50" t="n">
        <x:f>(K864*(1+Inputs!$B$12))*(1-H865)</x:f>
        <x:v>0</x:v>
      </x:c>
      <x:c r="L865" s="50" t="n">
        <x:f>L864*(1+Inputs!$B$13)+Q865</x:f>
        <x:v>61825.06884336361</x:v>
      </x:c>
      <x:c r="M865" s="50" t="n">
        <x:f>I865+J865+L865</x:f>
        <x:v>1928199.142100047</x:v>
      </x:c>
      <x:c r="N865" s="50" t="n">
        <x:f>F865+P865</x:f>
        <x:v>0</x:v>
      </x:c>
      <x:c r="O865" s="50" t="n">
        <x:f>IF(B865=1,0,O864+F864+P864)</x:f>
        <x:v>0</x:v>
      </x:c>
      <x:c r="P865" s="50" t="n">
        <x:f>MIN(G865,MAX(0,Inputs!$B$20-O865-F865))</x:f>
        <x:v>0</x:v>
      </x:c>
      <x:c r="Q865" s="50" t="n">
        <x:f>(C865-E865-F865)+(G865-P865)</x:f>
        <x:v>0</x:v>
      </x:c>
    </x:row>
    <x:row r="866">
      <x:c r="A866" s="41" t="n">
        <x:f>IF(B866=1,A865+1,A865)</x:f>
        <x:v>2060</x:v>
      </x:c>
      <x:c r="B866" s="41" t="n">
        <x:f>IF(B865=26,1,B865+1)</x:f>
        <x:v>7</x:v>
      </x:c>
      <x:c r="C866" s="48" t="n">
        <x:f>Inputs!$F$36</x:f>
        <x:v>600</x:v>
      </x:c>
      <x:c r="D866" s="50" t="n">
        <x:f>IF(B866=1,0,D865+E865)</x:f>
        <x:v>3600</x:v>
      </x:c>
      <x:c r="E866" s="50" t="n">
        <x:f>MIN(C866,MAX(0,Inputs!$B$7-D866))</x:f>
        <x:v>600</x:v>
      </x:c>
      <x:c r="F866" s="50" t="n">
        <x:f>MIN(C866-E866,MAX(0,Inputs!$B$20-O866))</x:f>
        <x:v>0</x:v>
      </x:c>
      <x:c r="G866" s="50" t="n">
        <x:f>0</x:f>
        <x:v>0</x:v>
      </x:c>
      <x:c r="H866" s="41" t="n">
        <x:f>0</x:f>
        <x:v>0</x:v>
      </x:c>
      <x:c r="I866" s="50" t="n">
        <x:f>(I865*(1+Inputs!$B$12))+E866</x:f>
        <x:v>854342.0358080124</x:v>
      </x:c>
      <x:c r="J866" s="50" t="n">
        <x:f>(J865*(1+Inputs!$B$12))+F866+P866</x:f>
        <x:v>1016137.6601656979</x:v>
      </x:c>
      <x:c r="K866" s="50" t="n">
        <x:f>(K865*(1+Inputs!$B$12))*(1-H866)</x:f>
        <x:v>0</x:v>
      </x:c>
      <x:c r="L866" s="50" t="n">
        <x:f>L865*(1+Inputs!$B$13)+Q866</x:f>
        <x:v>61933.2413445257</x:v>
      </x:c>
      <x:c r="M866" s="50" t="n">
        <x:f>I866+J866+L866</x:f>
        <x:v>1932412.9373182359</x:v>
      </x:c>
      <x:c r="N866" s="50" t="n">
        <x:f>F866+P866</x:f>
        <x:v>0</x:v>
      </x:c>
      <x:c r="O866" s="50" t="n">
        <x:f>IF(B866=1,0,O865+F865+P865)</x:f>
        <x:v>0</x:v>
      </x:c>
      <x:c r="P866" s="50" t="n">
        <x:f>MIN(G866,MAX(0,Inputs!$B$20-O866-F866))</x:f>
        <x:v>0</x:v>
      </x:c>
      <x:c r="Q866" s="50" t="n">
        <x:f>(C866-E866-F866)+(G866-P866)</x:f>
        <x:v>0</x:v>
      </x:c>
    </x:row>
    <x:row r="867">
      <x:c r="A867" s="41" t="n">
        <x:f>IF(B867=1,A866+1,A866)</x:f>
        <x:v>2060</x:v>
      </x:c>
      <x:c r="B867" s="41" t="n">
        <x:f>IF(B866=26,1,B866+1)</x:f>
        <x:v>8</x:v>
      </x:c>
      <x:c r="C867" s="48" t="n">
        <x:f>Inputs!$F$36</x:f>
        <x:v>600</x:v>
      </x:c>
      <x:c r="D867" s="50" t="n">
        <x:f>IF(B867=1,0,D866+E866)</x:f>
        <x:v>4200</x:v>
      </x:c>
      <x:c r="E867" s="50" t="n">
        <x:f>MIN(C867,MAX(0,Inputs!$B$7-D867))</x:f>
        <x:v>600</x:v>
      </x:c>
      <x:c r="F867" s="50" t="n">
        <x:f>MIN(C867-E867,MAX(0,Inputs!$B$20-O867))</x:f>
        <x:v>0</x:v>
      </x:c>
      <x:c r="G867" s="50" t="n">
        <x:f>0</x:f>
        <x:v>0</x:v>
      </x:c>
      <x:c r="H867" s="41" t="n">
        <x:f>0</x:f>
        <x:v>0</x:v>
      </x:c>
      <x:c r="I867" s="50" t="n">
        <x:f>(I866*(1+Inputs!$B$12))+E867</x:f>
        <x:v>856546.7520820728</x:v>
      </x:c>
      <x:c r="J867" s="50" t="n">
        <x:f>(J866*(1+Inputs!$B$12))+F867+P867</x:f>
        <x:v>1018046.2782268606</x:v>
      </x:c>
      <x:c r="K867" s="50" t="n">
        <x:f>(K866*(1+Inputs!$B$12))*(1-H867)</x:f>
        <x:v>0</x:v>
      </x:c>
      <x:c r="L867" s="50" t="n">
        <x:f>L866*(1+Inputs!$B$13)+Q867</x:f>
        <x:v>62041.60311017591</x:v>
      </x:c>
      <x:c r="M867" s="50" t="n">
        <x:f>I867+J867+L867</x:f>
        <x:v>1936634.6334191093</x:v>
      </x:c>
      <x:c r="N867" s="50" t="n">
        <x:f>F867+P867</x:f>
        <x:v>0</x:v>
      </x:c>
      <x:c r="O867" s="50" t="n">
        <x:f>IF(B867=1,0,O866+F866+P866)</x:f>
        <x:v>0</x:v>
      </x:c>
      <x:c r="P867" s="50" t="n">
        <x:f>MIN(G867,MAX(0,Inputs!$B$20-O867-F867))</x:f>
        <x:v>0</x:v>
      </x:c>
      <x:c r="Q867" s="50" t="n">
        <x:f>(C867-E867-F867)+(G867-P867)</x:f>
        <x:v>0</x:v>
      </x:c>
    </x:row>
    <x:row r="868">
      <x:c r="A868" s="41" t="n">
        <x:f>IF(B868=1,A867+1,A867)</x:f>
        <x:v>2060</x:v>
      </x:c>
      <x:c r="B868" s="41" t="n">
        <x:f>IF(B867=26,1,B867+1)</x:f>
        <x:v>9</x:v>
      </x:c>
      <x:c r="C868" s="48" t="n">
        <x:f>Inputs!$F$36</x:f>
        <x:v>600</x:v>
      </x:c>
      <x:c r="D868" s="50" t="n">
        <x:f>IF(B868=1,0,D867+E867)</x:f>
        <x:v>4800</x:v>
      </x:c>
      <x:c r="E868" s="50" t="n">
        <x:f>MIN(C868,MAX(0,Inputs!$B$7-D868))</x:f>
        <x:v>600</x:v>
      </x:c>
      <x:c r="F868" s="50" t="n">
        <x:f>MIN(C868-E868,MAX(0,Inputs!$B$20-O868))</x:f>
        <x:v>0</x:v>
      </x:c>
      <x:c r="G868" s="50" t="n">
        <x:f>SUM(N834:N859)*Inputs!$B$6</x:f>
        <x:v>3257.142857142857</x:v>
      </x:c>
      <x:c r="H868" s="41" t="n">
        <x:f>0</x:f>
        <x:v>0</x:v>
      </x:c>
      <x:c r="I868" s="50" t="n">
        <x:f>(I867*(1+Inputs!$B$12))+E868</x:f>
        <x:v>858755.609489235</x:v>
      </x:c>
      <x:c r="J868" s="50" t="n">
        <x:f>(J867*(1+Inputs!$B$12))+F868+P868</x:f>
        <x:v>1023215.6241150439</x:v>
      </x:c>
      <x:c r="K868" s="50" t="n">
        <x:f>(K867*(1+Inputs!$B$12))*(1-H868)</x:f>
        <x:v>0</x:v>
      </x:c>
      <x:c r="L868" s="50" t="n">
        <x:f>L867*(1+Inputs!$B$13)+Q868</x:f>
        <x:v>62150.154471461676</x:v>
      </x:c>
      <x:c r="M868" s="50" t="n">
        <x:f>I868+J868+L868</x:f>
        <x:v>1944121.3880757405</x:v>
      </x:c>
      <x:c r="N868" s="50" t="n">
        <x:f>F868+P868</x:f>
        <x:v>3257.142857142857</x:v>
      </x:c>
      <x:c r="O868" s="50" t="n">
        <x:f>IF(B868=1,0,O867+F867+P867)</x:f>
        <x:v>0</x:v>
      </x:c>
      <x:c r="P868" s="50" t="n">
        <x:f>MIN(G868,MAX(0,Inputs!$B$20-O868-F868))</x:f>
        <x:v>3257.142857142857</x:v>
      </x:c>
      <x:c r="Q868" s="50" t="n">
        <x:f>(C868-E868-F868)+(G868-P868)</x:f>
        <x:v>0</x:v>
      </x:c>
    </x:row>
    <x:row r="869">
      <x:c r="A869" s="41" t="n">
        <x:f>IF(B869=1,A868+1,A868)</x:f>
        <x:v>2060</x:v>
      </x:c>
      <x:c r="B869" s="41" t="n">
        <x:f>IF(B868=26,1,B868+1)</x:f>
        <x:v>10</x:v>
      </x:c>
      <x:c r="C869" s="48" t="n">
        <x:f>Inputs!$F$36</x:f>
        <x:v>600</x:v>
      </x:c>
      <x:c r="D869" s="50" t="n">
        <x:f>IF(B869=1,0,D868+E868)</x:f>
        <x:v>5400</x:v>
      </x:c>
      <x:c r="E869" s="50" t="n">
        <x:f>MIN(C869,MAX(0,Inputs!$B$7-D869))</x:f>
        <x:v>600</x:v>
      </x:c>
      <x:c r="F869" s="50" t="n">
        <x:f>MIN(C869-E869,MAX(0,Inputs!$B$20-O869))</x:f>
        <x:v>0</x:v>
      </x:c>
      <x:c r="G869" s="50" t="n">
        <x:f>0</x:f>
        <x:v>0</x:v>
      </x:c>
      <x:c r="H869" s="41" t="n">
        <x:f>0</x:f>
        <x:v>0</x:v>
      </x:c>
      <x:c r="I869" s="50" t="n">
        <x:f>(I868*(1+Inputs!$B$12))+E869</x:f>
        <x:v>860968.6158078165</x:v>
      </x:c>
      <x:c r="J869" s="50" t="n">
        <x:f>(J868*(1+Inputs!$B$12))+F869+P869</x:f>
        <x:v>1025137.5367625206</x:v>
      </x:c>
      <x:c r="K869" s="50" t="n">
        <x:f>(K868*(1+Inputs!$B$12))*(1-H869)</x:f>
        <x:v>0</x:v>
      </x:c>
      <x:c r="L869" s="50" t="n">
        <x:f>L868*(1+Inputs!$B$13)+Q869</x:f>
        <x:v>62258.89576010983</x:v>
      </x:c>
      <x:c r="M869" s="50" t="n">
        <x:f>I869+J869+L869</x:f>
        <x:v>1948365.048330447</x:v>
      </x:c>
      <x:c r="N869" s="50" t="n">
        <x:f>F869+P869</x:f>
        <x:v>0</x:v>
      </x:c>
      <x:c r="O869" s="50" t="n">
        <x:f>IF(B869=1,0,O868+F868+P868)</x:f>
        <x:v>3257.142857142857</x:v>
      </x:c>
      <x:c r="P869" s="50" t="n">
        <x:f>MIN(G869,MAX(0,Inputs!$B$20-O869-F869))</x:f>
        <x:v>0</x:v>
      </x:c>
      <x:c r="Q869" s="50" t="n">
        <x:f>(C869-E869-F869)+(G869-P869)</x:f>
        <x:v>0</x:v>
      </x:c>
    </x:row>
    <x:row r="870">
      <x:c r="A870" s="41" t="n">
        <x:f>IF(B870=1,A869+1,A869)</x:f>
        <x:v>2060</x:v>
      </x:c>
      <x:c r="B870" s="41" t="n">
        <x:f>IF(B869=26,1,B869+1)</x:f>
        <x:v>11</x:v>
      </x:c>
      <x:c r="C870" s="48" t="n">
        <x:f>Inputs!$F$36</x:f>
        <x:v>600</x:v>
      </x:c>
      <x:c r="D870" s="50" t="n">
        <x:f>IF(B870=1,0,D869+E869)</x:f>
        <x:v>6000</x:v>
      </x:c>
      <x:c r="E870" s="50" t="n">
        <x:f>MIN(C870,MAX(0,Inputs!$B$7-D870))</x:f>
        <x:v>600</x:v>
      </x:c>
      <x:c r="F870" s="50" t="n">
        <x:f>MIN(C870-E870,MAX(0,Inputs!$B$20-O870))</x:f>
        <x:v>0</x:v>
      </x:c>
      <x:c r="G870" s="50" t="n">
        <x:f>0</x:f>
        <x:v>0</x:v>
      </x:c>
      <x:c r="H870" s="41" t="n">
        <x:f>0</x:f>
        <x:v>0</x:v>
      </x:c>
      <x:c r="I870" s="50" t="n">
        <x:f>(I869*(1+Inputs!$B$12))+E870</x:f>
        <x:v>863185.7788307449</x:v>
      </x:c>
      <x:c r="J870" s="50" t="n">
        <x:f>(J869*(1+Inputs!$B$12))+F870+P870</x:f>
        <x:v>1027063.059351184</x:v>
      </x:c>
      <x:c r="K870" s="50" t="n">
        <x:f>(K869*(1+Inputs!$B$12))*(1-H870)</x:f>
        <x:v>0</x:v>
      </x:c>
      <x:c r="L870" s="50" t="n">
        <x:f>L869*(1+Inputs!$B$13)+Q870</x:f>
        <x:v>62367.82730842761</x:v>
      </x:c>
      <x:c r="M870" s="50" t="n">
        <x:f>I870+J870+L870</x:f>
        <x:v>1952616.6654903565</x:v>
      </x:c>
      <x:c r="N870" s="50" t="n">
        <x:f>F870+P870</x:f>
        <x:v>0</x:v>
      </x:c>
      <x:c r="O870" s="50" t="n">
        <x:f>IF(B870=1,0,O869+F869+P869)</x:f>
        <x:v>3257.142857142857</x:v>
      </x:c>
      <x:c r="P870" s="50" t="n">
        <x:f>MIN(G870,MAX(0,Inputs!$B$20-O870-F870))</x:f>
        <x:v>0</x:v>
      </x:c>
      <x:c r="Q870" s="50" t="n">
        <x:f>(C870-E870-F870)+(G870-P870)</x:f>
        <x:v>0</x:v>
      </x:c>
    </x:row>
    <x:row r="871">
      <x:c r="A871" s="41" t="n">
        <x:f>IF(B871=1,A870+1,A870)</x:f>
        <x:v>2060</x:v>
      </x:c>
      <x:c r="B871" s="41" t="n">
        <x:f>IF(B870=26,1,B870+1)</x:f>
        <x:v>12</x:v>
      </x:c>
      <x:c r="C871" s="48" t="n">
        <x:f>Inputs!$F$36</x:f>
        <x:v>600</x:v>
      </x:c>
      <x:c r="D871" s="50" t="n">
        <x:f>IF(B871=1,0,D870+E870)</x:f>
        <x:v>6600</x:v>
      </x:c>
      <x:c r="E871" s="50" t="n">
        <x:f>MIN(C871,MAX(0,Inputs!$B$7-D871))</x:f>
        <x:v>600</x:v>
      </x:c>
      <x:c r="F871" s="50" t="n">
        <x:f>MIN(C871-E871,MAX(0,Inputs!$B$20-O871))</x:f>
        <x:v>0</x:v>
      </x:c>
      <x:c r="G871" s="50" t="n">
        <x:f>0</x:f>
        <x:v>0</x:v>
      </x:c>
      <x:c r="H871" s="41" t="n">
        <x:f>0</x:f>
        <x:v>0</x:v>
      </x:c>
      <x:c r="I871" s="50" t="n">
        <x:f>(I870*(1+Inputs!$B$12))+E871</x:f>
        <x:v>865407.1063655855</x:v>
      </x:c>
      <x:c r="J871" s="50" t="n">
        <x:f>(J870*(1+Inputs!$B$12))+F871+P871</x:f>
        <x:v>1028992.1986616107</x:v>
      </x:c>
      <x:c r="K871" s="50" t="n">
        <x:f>(K870*(1+Inputs!$B$12))*(1-H871)</x:f>
        <x:v>0</x:v>
      </x:c>
      <x:c r="L871" s="50" t="n">
        <x:f>L870*(1+Inputs!$B$13)+Q871</x:f>
        <x:v>62476.94944930367</x:v>
      </x:c>
      <x:c r="M871" s="50" t="n">
        <x:f>I871+J871+L871</x:f>
        <x:v>1956876.2544764997</x:v>
      </x:c>
      <x:c r="N871" s="50" t="n">
        <x:f>F871+P871</x:f>
        <x:v>0</x:v>
      </x:c>
      <x:c r="O871" s="50" t="n">
        <x:f>IF(B871=1,0,O870+F870+P870)</x:f>
        <x:v>3257.142857142857</x:v>
      </x:c>
      <x:c r="P871" s="50" t="n">
        <x:f>MIN(G871,MAX(0,Inputs!$B$20-O871-F871))</x:f>
        <x:v>0</x:v>
      </x:c>
      <x:c r="Q871" s="50" t="n">
        <x:f>(C871-E871-F871)+(G871-P871)</x:f>
        <x:v>0</x:v>
      </x:c>
    </x:row>
    <x:row r="872">
      <x:c r="A872" s="41" t="n">
        <x:f>IF(B872=1,A871+1,A871)</x:f>
        <x:v>2060</x:v>
      </x:c>
      <x:c r="B872" s="41" t="n">
        <x:f>IF(B871=26,1,B871+1)</x:f>
        <x:v>13</x:v>
      </x:c>
      <x:c r="C872" s="48" t="n">
        <x:f>Inputs!$F$36</x:f>
        <x:v>600</x:v>
      </x:c>
      <x:c r="D872" s="50" t="n">
        <x:f>IF(B872=1,0,D871+E871)</x:f>
        <x:v>7200</x:v>
      </x:c>
      <x:c r="E872" s="50" t="n">
        <x:f>MIN(C872,MAX(0,Inputs!$B$7-D872))</x:f>
        <x:v>600</x:v>
      </x:c>
      <x:c r="F872" s="50" t="n">
        <x:f>MIN(C872-E872,MAX(0,Inputs!$B$20-O872))</x:f>
        <x:v>0</x:v>
      </x:c>
      <x:c r="G872" s="50" t="n">
        <x:f>0</x:f>
        <x:v>0</x:v>
      </x:c>
      <x:c r="H872" s="41" t="n">
        <x:f>0</x:f>
        <x:v>0</x:v>
      </x:c>
      <x:c r="I872" s="50" t="n">
        <x:f>(I871*(1+Inputs!$B$12))+E872</x:f>
        <x:v>867632.6062345683</x:v>
      </x:c>
      <x:c r="J872" s="50" t="n">
        <x:f>(J871*(1+Inputs!$B$12))+F872+P872</x:f>
        <x:v>1030924.9614871129</x:v>
      </x:c>
      <x:c r="K872" s="50" t="n">
        <x:f>(K871*(1+Inputs!$B$12))*(1-H872)</x:f>
        <x:v>0</x:v>
      </x:c>
      <x:c r="L872" s="50" t="n">
        <x:f>L871*(1+Inputs!$B$13)+Q872</x:f>
        <x:v>62586.26251620911</x:v>
      </x:c>
      <x:c r="M872" s="50" t="n">
        <x:f>I872+J872+L872</x:f>
        <x:v>1961143.8302378904</x:v>
      </x:c>
      <x:c r="N872" s="50" t="n">
        <x:f>F872+P872</x:f>
        <x:v>0</x:v>
      </x:c>
      <x:c r="O872" s="50" t="n">
        <x:f>IF(B872=1,0,O871+F871+P871)</x:f>
        <x:v>3257.142857142857</x:v>
      </x:c>
      <x:c r="P872" s="50" t="n">
        <x:f>MIN(G872,MAX(0,Inputs!$B$20-O872-F872))</x:f>
        <x:v>0</x:v>
      </x:c>
      <x:c r="Q872" s="50" t="n">
        <x:f>(C872-E872-F872)+(G872-P872)</x:f>
        <x:v>0</x:v>
      </x:c>
    </x:row>
    <x:row r="873">
      <x:c r="A873" s="41" t="n">
        <x:f>IF(B873=1,A872+1,A872)</x:f>
        <x:v>2060</x:v>
      </x:c>
      <x:c r="B873" s="41" t="n">
        <x:f>IF(B872=26,1,B872+1)</x:f>
        <x:v>14</x:v>
      </x:c>
      <x:c r="C873" s="48" t="n">
        <x:f>Inputs!$F$36</x:f>
        <x:v>600</x:v>
      </x:c>
      <x:c r="D873" s="50" t="n">
        <x:f>IF(B873=1,0,D872+E872)</x:f>
        <x:v>7800</x:v>
      </x:c>
      <x:c r="E873" s="50" t="n">
        <x:f>MIN(C873,MAX(0,Inputs!$B$7-D873))</x:f>
        <x:v>200</x:v>
      </x:c>
      <x:c r="F873" s="50" t="n">
        <x:f>MIN(C873-E873,MAX(0,Inputs!$B$20-O873))</x:f>
        <x:v>400</x:v>
      </x:c>
      <x:c r="G873" s="50" t="n">
        <x:f>0</x:f>
        <x:v>0</x:v>
      </x:c>
      <x:c r="H873" s="41" t="n">
        <x:f>0</x:f>
        <x:v>0</x:v>
      </x:c>
      <x:c r="I873" s="50" t="n">
        <x:f>(I872*(1+Inputs!$B$12))+E873</x:f>
        <x:v>869462.286274616</x:v>
      </x:c>
      <x:c r="J873" s="50" t="n">
        <x:f>(J872*(1+Inputs!$B$12))+F873+P873</x:f>
        <x:v>1033261.3546337627</x:v>
      </x:c>
      <x:c r="K873" s="50" t="n">
        <x:f>(K872*(1+Inputs!$B$12))*(1-H873)</x:f>
        <x:v>0</x:v>
      </x:c>
      <x:c r="L873" s="50" t="n">
        <x:f>L872*(1+Inputs!$B$13)+Q873</x:f>
        <x:v>62695.76684319851</x:v>
      </x:c>
      <x:c r="M873" s="50" t="n">
        <x:f>I873+J873+L873</x:f>
        <x:v>1965419.4077515772</x:v>
      </x:c>
      <x:c r="N873" s="50" t="n">
        <x:f>F873+P873</x:f>
        <x:v>400</x:v>
      </x:c>
      <x:c r="O873" s="50" t="n">
        <x:f>IF(B873=1,0,O872+F872+P872)</x:f>
        <x:v>3257.142857142857</x:v>
      </x:c>
      <x:c r="P873" s="50" t="n">
        <x:f>MIN(G873,MAX(0,Inputs!$B$20-O873-F873))</x:f>
        <x:v>0</x:v>
      </x:c>
      <x:c r="Q873" s="50" t="n">
        <x:f>(C873-E873-F873)+(G873-P873)</x:f>
        <x:v>0</x:v>
      </x:c>
    </x:row>
    <x:row r="874">
      <x:c r="A874" s="41" t="n">
        <x:f>IF(B874=1,A873+1,A873)</x:f>
        <x:v>2060</x:v>
      </x:c>
      <x:c r="B874" s="41" t="n">
        <x:f>IF(B873=26,1,B873+1)</x:f>
        <x:v>15</x:v>
      </x:c>
      <x:c r="C874" s="48" t="n">
        <x:f>Inputs!$F$36</x:f>
        <x:v>600</x:v>
      </x:c>
      <x:c r="D874" s="50" t="n">
        <x:f>IF(B874=1,0,D873+E873)</x:f>
        <x:v>8000</x:v>
      </x:c>
      <x:c r="E874" s="50" t="n">
        <x:f>MIN(C874,MAX(0,Inputs!$B$7-D874))</x:f>
        <x:v>0</x:v>
      </x:c>
      <x:c r="F874" s="50" t="n">
        <x:f>MIN(C874-E874,MAX(0,Inputs!$B$20-O874))</x:f>
        <x:v>600</x:v>
      </x:c>
      <x:c r="G874" s="50" t="n">
        <x:f>0</x:f>
        <x:v>0</x:v>
      </x:c>
      <x:c r="H874" s="41" t="n">
        <x:f>0</x:f>
        <x:v>0</x:v>
      </x:c>
      <x:c r="I874" s="50" t="n">
        <x:f>(I873*(1+Inputs!$B$12))+E874</x:f>
        <x:v>871095.4030147365</x:v>
      </x:c>
      <x:c r="J874" s="50" t="n">
        <x:f>(J873*(1+Inputs!$B$12))+F874+P874</x:f>
        <x:v>1035802.1362430516</x:v>
      </x:c>
      <x:c r="K874" s="50" t="n">
        <x:f>(K873*(1+Inputs!$B$12))*(1-H874)</x:f>
        <x:v>0</x:v>
      </x:c>
      <x:c r="L874" s="50" t="n">
        <x:f>L873*(1+Inputs!$B$13)+Q874</x:f>
        <x:v>62805.46276491088</x:v>
      </x:c>
      <x:c r="M874" s="50" t="n">
        <x:f>I874+J874+L874</x:f>
        <x:v>1969703.002022699</x:v>
      </x:c>
      <x:c r="N874" s="50" t="n">
        <x:f>F874+P874</x:f>
        <x:v>600</x:v>
      </x:c>
      <x:c r="O874" s="50" t="n">
        <x:f>IF(B874=1,0,O873+F873+P873)</x:f>
        <x:v>3657.142857142857</x:v>
      </x:c>
      <x:c r="P874" s="50" t="n">
        <x:f>MIN(G874,MAX(0,Inputs!$B$20-O874-F874))</x:f>
        <x:v>0</x:v>
      </x:c>
      <x:c r="Q874" s="50" t="n">
        <x:f>(C874-E874-F874)+(G874-P874)</x:f>
        <x:v>0</x:v>
      </x:c>
    </x:row>
    <x:row r="875">
      <x:c r="A875" s="41" t="n">
        <x:f>IF(B875=1,A874+1,A874)</x:f>
        <x:v>2060</x:v>
      </x:c>
      <x:c r="B875" s="41" t="n">
        <x:f>IF(B874=26,1,B874+1)</x:f>
        <x:v>16</x:v>
      </x:c>
      <x:c r="C875" s="48" t="n">
        <x:f>Inputs!$F$36</x:f>
        <x:v>600</x:v>
      </x:c>
      <x:c r="D875" s="50" t="n">
        <x:f>IF(B875=1,0,D874+E874)</x:f>
        <x:v>8000</x:v>
      </x:c>
      <x:c r="E875" s="50" t="n">
        <x:f>MIN(C875,MAX(0,Inputs!$B$7-D875))</x:f>
        <x:v>0</x:v>
      </x:c>
      <x:c r="F875" s="50" t="n">
        <x:f>MIN(C875-E875,MAX(0,Inputs!$B$20-O875))</x:f>
        <x:v>600</x:v>
      </x:c>
      <x:c r="G875" s="50" t="n">
        <x:f>0</x:f>
        <x:v>0</x:v>
      </x:c>
      <x:c r="H875" s="41" t="n">
        <x:f>0</x:f>
        <x:v>0</x:v>
      </x:c>
      <x:c r="I875" s="50" t="n">
        <x:f>(I874*(1+Inputs!$B$12))+E875</x:f>
        <x:v>872731.5872487886</x:v>
      </x:c>
      <x:c r="J875" s="50" t="n">
        <x:f>(J874*(1+Inputs!$B$12))+F875+P875</x:f>
        <x:v>1038347.6902191752</x:v>
      </x:c>
      <x:c r="K875" s="50" t="n">
        <x:f>(K874*(1+Inputs!$B$12))*(1-H875)</x:f>
        <x:v>0</x:v>
      </x:c>
      <x:c r="L875" s="50" t="n">
        <x:f>L874*(1+Inputs!$B$13)+Q875</x:f>
        <x:v>62915.35061657078</x:v>
      </x:c>
      <x:c r="M875" s="50" t="n">
        <x:f>I875+J875+L875</x:f>
        <x:v>1973994.6280845345</x:v>
      </x:c>
      <x:c r="N875" s="50" t="n">
        <x:f>F875+P875</x:f>
        <x:v>600</x:v>
      </x:c>
      <x:c r="O875" s="50" t="n">
        <x:f>IF(B875=1,0,O874+F874+P874)</x:f>
        <x:v>4257.142857142857</x:v>
      </x:c>
      <x:c r="P875" s="50" t="n">
        <x:f>MIN(G875,MAX(0,Inputs!$B$20-O875-F875))</x:f>
        <x:v>0</x:v>
      </x:c>
      <x:c r="Q875" s="50" t="n">
        <x:f>(C875-E875-F875)+(G875-P875)</x:f>
        <x:v>0</x:v>
      </x:c>
    </x:row>
    <x:row r="876">
      <x:c r="A876" s="41" t="n">
        <x:f>IF(B876=1,A875+1,A875)</x:f>
        <x:v>2060</x:v>
      </x:c>
      <x:c r="B876" s="41" t="n">
        <x:f>IF(B875=26,1,B875+1)</x:f>
        <x:v>17</x:v>
      </x:c>
      <x:c r="C876" s="48" t="n">
        <x:f>Inputs!$F$36</x:f>
        <x:v>600</x:v>
      </x:c>
      <x:c r="D876" s="50" t="n">
        <x:f>IF(B876=1,0,D875+E875)</x:f>
        <x:v>8000</x:v>
      </x:c>
      <x:c r="E876" s="50" t="n">
        <x:f>MIN(C876,MAX(0,Inputs!$B$7-D876))</x:f>
        <x:v>0</x:v>
      </x:c>
      <x:c r="F876" s="50" t="n">
        <x:f>MIN(C876-E876,MAX(0,Inputs!$B$20-O876))</x:f>
        <x:v>600</x:v>
      </x:c>
      <x:c r="G876" s="50" t="n">
        <x:f>0</x:f>
        <x:v>0</x:v>
      </x:c>
      <x:c r="H876" s="41" t="n">
        <x:f>0</x:f>
        <x:v>0</x:v>
      </x:c>
      <x:c r="I876" s="50" t="n">
        <x:f>(I875*(1+Inputs!$B$12))+E876</x:f>
        <x:v>874370.8447384662</x:v>
      </x:c>
      <x:c r="J876" s="50" t="n">
        <x:f>(J875*(1+Inputs!$B$12))+F876+P876</x:f>
        <x:v>1040898.0255261017</x:v>
      </x:c>
      <x:c r="K876" s="50" t="n">
        <x:f>(K875*(1+Inputs!$B$12))*(1-H876)</x:f>
        <x:v>0</x:v>
      </x:c>
      <x:c r="L876" s="50" t="n">
        <x:f>L875*(1+Inputs!$B$13)+Q876</x:f>
        <x:v>63025.43073398928</x:v>
      </x:c>
      <x:c r="M876" s="50" t="n">
        <x:f>I876+J876+L876</x:f>
        <x:v>1978294.3009985571</x:v>
      </x:c>
      <x:c r="N876" s="50" t="n">
        <x:f>F876+P876</x:f>
        <x:v>600</x:v>
      </x:c>
      <x:c r="O876" s="50" t="n">
        <x:f>IF(B876=1,0,O875+F875+P875)</x:f>
        <x:v>4857.142857142857</x:v>
      </x:c>
      <x:c r="P876" s="50" t="n">
        <x:f>MIN(G876,MAX(0,Inputs!$B$20-O876-F876))</x:f>
        <x:v>0</x:v>
      </x:c>
      <x:c r="Q876" s="50" t="n">
        <x:f>(C876-E876-F876)+(G876-P876)</x:f>
        <x:v>0</x:v>
      </x:c>
    </x:row>
    <x:row r="877">
      <x:c r="A877" s="41" t="n">
        <x:f>IF(B877=1,A876+1,A876)</x:f>
        <x:v>2060</x:v>
      </x:c>
      <x:c r="B877" s="41" t="n">
        <x:f>IF(B876=26,1,B876+1)</x:f>
        <x:v>18</x:v>
      </x:c>
      <x:c r="C877" s="48" t="n">
        <x:f>Inputs!$F$36</x:f>
        <x:v>600</x:v>
      </x:c>
      <x:c r="D877" s="50" t="n">
        <x:f>IF(B877=1,0,D876+E876)</x:f>
        <x:v>8000</x:v>
      </x:c>
      <x:c r="E877" s="50" t="n">
        <x:f>MIN(C877,MAX(0,Inputs!$B$7-D877))</x:f>
        <x:v>0</x:v>
      </x:c>
      <x:c r="F877" s="50" t="n">
        <x:f>MIN(C877-E877,MAX(0,Inputs!$B$20-O877))</x:f>
        <x:v>600</x:v>
      </x:c>
      <x:c r="G877" s="50" t="n">
        <x:f>0</x:f>
        <x:v>0</x:v>
      </x:c>
      <x:c r="H877" s="41" t="n">
        <x:f>0</x:f>
        <x:v>0</x:v>
      </x:c>
      <x:c r="I877" s="50" t="n">
        <x:f>(I876*(1+Inputs!$B$12))+E877</x:f>
        <x:v>876013.1812562858</x:v>
      </x:c>
      <x:c r="J877" s="50" t="n">
        <x:f>(J876*(1+Inputs!$B$12))+F877+P877</x:f>
        <x:v>1043453.1511446362</x:v>
      </x:c>
      <x:c r="K877" s="50" t="n">
        <x:f>(K876*(1+Inputs!$B$12))*(1-H877)</x:f>
        <x:v>0</x:v>
      </x:c>
      <x:c r="L877" s="50" t="n">
        <x:f>L876*(1+Inputs!$B$13)+Q877</x:f>
        <x:v>63135.703453564995</x:v>
      </x:c>
      <x:c r="M877" s="50" t="n">
        <x:f>I877+J877+L877</x:f>
        <x:v>1982602.035854487</x:v>
      </x:c>
      <x:c r="N877" s="50" t="n">
        <x:f>F877+P877</x:f>
        <x:v>600</x:v>
      </x:c>
      <x:c r="O877" s="50" t="n">
        <x:f>IF(B877=1,0,O876+F876+P876)</x:f>
        <x:v>5457.142857142857</x:v>
      </x:c>
      <x:c r="P877" s="50" t="n">
        <x:f>MIN(G877,MAX(0,Inputs!$B$20-O877-F877))</x:f>
        <x:v>0</x:v>
      </x:c>
      <x:c r="Q877" s="50" t="n">
        <x:f>(C877-E877-F877)+(G877-P877)</x:f>
        <x:v>0</x:v>
      </x:c>
    </x:row>
    <x:row r="878">
      <x:c r="A878" s="41" t="n">
        <x:f>IF(B878=1,A877+1,A877)</x:f>
        <x:v>2060</x:v>
      </x:c>
      <x:c r="B878" s="41" t="n">
        <x:f>IF(B877=26,1,B877+1)</x:f>
        <x:v>19</x:v>
      </x:c>
      <x:c r="C878" s="48" t="n">
        <x:f>Inputs!$F$36</x:f>
        <x:v>600</x:v>
      </x:c>
      <x:c r="D878" s="50" t="n">
        <x:f>IF(B878=1,0,D877+E877)</x:f>
        <x:v>8000</x:v>
      </x:c>
      <x:c r="E878" s="50" t="n">
        <x:f>MIN(C878,MAX(0,Inputs!$B$7-D878))</x:f>
        <x:v>0</x:v>
      </x:c>
      <x:c r="F878" s="50" t="n">
        <x:f>MIN(C878-E878,MAX(0,Inputs!$B$20-O878))</x:f>
        <x:v>600</x:v>
      </x:c>
      <x:c r="G878" s="50" t="n">
        <x:f>0</x:f>
        <x:v>0</x:v>
      </x:c>
      <x:c r="H878" s="41" t="n">
        <x:f>0</x:f>
        <x:v>0</x:v>
      </x:c>
      <x:c r="I878" s="50" t="n">
        <x:f>(I877*(1+Inputs!$B$12))+E878</x:f>
        <x:v>877658.602585606</x:v>
      </x:c>
      <x:c r="J878" s="50" t="n">
        <x:f>(J877*(1+Inputs!$B$12))+F878+P878</x:f>
        <x:v>1046013.0760724526</x:v>
      </x:c>
      <x:c r="K878" s="50" t="n">
        <x:f>(K877*(1+Inputs!$B$12))*(1-H878)</x:f>
        <x:v>0</x:v>
      </x:c>
      <x:c r="L878" s="50" t="n">
        <x:f>L877*(1+Inputs!$B$13)+Q878</x:f>
        <x:v>63246.16911228513</x:v>
      </x:c>
      <x:c r="M878" s="50" t="n">
        <x:f>I878+J878+L878</x:f>
        <x:v>1986917.8477703438</x:v>
      </x:c>
      <x:c r="N878" s="50" t="n">
        <x:f>F878+P878</x:f>
        <x:v>600</x:v>
      </x:c>
      <x:c r="O878" s="50" t="n">
        <x:f>IF(B878=1,0,O877+F877+P877)</x:f>
        <x:v>6057.142857142857</x:v>
      </x:c>
      <x:c r="P878" s="50" t="n">
        <x:f>MIN(G878,MAX(0,Inputs!$B$20-O878-F878))</x:f>
        <x:v>0</x:v>
      </x:c>
      <x:c r="Q878" s="50" t="n">
        <x:f>(C878-E878-F878)+(G878-P878)</x:f>
        <x:v>0</x:v>
      </x:c>
    </x:row>
    <x:row r="879">
      <x:c r="A879" s="41" t="n">
        <x:f>IF(B879=1,A878+1,A878)</x:f>
        <x:v>2060</x:v>
      </x:c>
      <x:c r="B879" s="41" t="n">
        <x:f>IF(B878=26,1,B878+1)</x:f>
        <x:v>20</x:v>
      </x:c>
      <x:c r="C879" s="48" t="n">
        <x:f>Inputs!$F$36</x:f>
        <x:v>600</x:v>
      </x:c>
      <x:c r="D879" s="50" t="n">
        <x:f>IF(B879=1,0,D878+E878)</x:f>
        <x:v>8000</x:v>
      </x:c>
      <x:c r="E879" s="50" t="n">
        <x:f>MIN(C879,MAX(0,Inputs!$B$7-D879))</x:f>
        <x:v>0</x:v>
      </x:c>
      <x:c r="F879" s="50" t="n">
        <x:f>MIN(C879-E879,MAX(0,Inputs!$B$20-O879))</x:f>
        <x:v>600</x:v>
      </x:c>
      <x:c r="G879" s="50" t="n">
        <x:f>0</x:f>
        <x:v>0</x:v>
      </x:c>
      <x:c r="H879" s="41" t="n">
        <x:f>0</x:f>
        <x:v>0</x:v>
      </x:c>
      <x:c r="I879" s="50" t="n">
        <x:f>(I878*(1+Inputs!$B$12))+E879</x:f>
        <x:v>879307.1145206488</x:v>
      </x:c>
      <x:c r="J879" s="50" t="n">
        <x:f>(J878*(1+Inputs!$B$12))+F879+P879</x:f>
        <x:v>1048577.809324125</x:v>
      </x:c>
      <x:c r="K879" s="50" t="n">
        <x:f>(K878*(1+Inputs!$B$12))*(1-H879)</x:f>
        <x:v>0</x:v>
      </x:c>
      <x:c r="L879" s="50" t="n">
        <x:f>L878*(1+Inputs!$B$13)+Q879</x:f>
        <x:v>63356.82804772651</x:v>
      </x:c>
      <x:c r="M879" s="50" t="n">
        <x:f>I879+J879+L879</x:f>
        <x:v>1991241.7518925003</x:v>
      </x:c>
      <x:c r="N879" s="50" t="n">
        <x:f>F879+P879</x:f>
        <x:v>600</x:v>
      </x:c>
      <x:c r="O879" s="50" t="n">
        <x:f>IF(B879=1,0,O878+F878+P878)</x:f>
        <x:v>6657.142857142857</x:v>
      </x:c>
      <x:c r="P879" s="50" t="n">
        <x:f>MIN(G879,MAX(0,Inputs!$B$20-O879-F879))</x:f>
        <x:v>0</x:v>
      </x:c>
      <x:c r="Q879" s="50" t="n">
        <x:f>(C879-E879-F879)+(G879-P879)</x:f>
        <x:v>0</x:v>
      </x:c>
    </x:row>
    <x:row r="880">
      <x:c r="A880" s="41" t="n">
        <x:f>IF(B880=1,A879+1,A879)</x:f>
        <x:v>2060</x:v>
      </x:c>
      <x:c r="B880" s="41" t="n">
        <x:f>IF(B879=26,1,B879+1)</x:f>
        <x:v>21</x:v>
      </x:c>
      <x:c r="C880" s="48" t="n">
        <x:f>Inputs!$F$36</x:f>
        <x:v>600</x:v>
      </x:c>
      <x:c r="D880" s="50" t="n">
        <x:f>IF(B880=1,0,D879+E879)</x:f>
        <x:v>8000</x:v>
      </x:c>
      <x:c r="E880" s="50" t="n">
        <x:f>MIN(C880,MAX(0,Inputs!$B$7-D880))</x:f>
        <x:v>0</x:v>
      </x:c>
      <x:c r="F880" s="50" t="n">
        <x:f>MIN(C880-E880,MAX(0,Inputs!$B$20-O880))</x:f>
        <x:v>600</x:v>
      </x:c>
      <x:c r="G880" s="50" t="n">
        <x:f>0</x:f>
        <x:v>0</x:v>
      </x:c>
      <x:c r="H880" s="41" t="n">
        <x:f>0</x:f>
        <x:v>0</x:v>
      </x:c>
      <x:c r="I880" s="50" t="n">
        <x:f>(I879*(1+Inputs!$B$12))+E880</x:f>
        <x:v>880958.7228665192</x:v>
      </x:c>
      <x:c r="J880" s="50" t="n">
        <x:f>(J879*(1+Inputs!$B$12))+F880+P880</x:f>
        <x:v>1051147.35993116</x:v>
      </x:c>
      <x:c r="K880" s="50" t="n">
        <x:f>(K879*(1+Inputs!$B$12))*(1-H880)</x:f>
        <x:v>0</x:v>
      </x:c>
      <x:c r="L880" s="50" t="n">
        <x:f>L879*(1+Inputs!$B$13)+Q880</x:f>
        <x:v>63467.68059805658</x:v>
      </x:c>
      <x:c r="M880" s="50" t="n">
        <x:f>I880+J880+L880</x:f>
        <x:v>1995573.7633957358</x:v>
      </x:c>
      <x:c r="N880" s="50" t="n">
        <x:f>F880+P880</x:f>
        <x:v>600</x:v>
      </x:c>
      <x:c r="O880" s="50" t="n">
        <x:f>IF(B880=1,0,O879+F879+P879)</x:f>
        <x:v>7257.142857142857</x:v>
      </x:c>
      <x:c r="P880" s="50" t="n">
        <x:f>MIN(G880,MAX(0,Inputs!$B$20-O880-F880))</x:f>
        <x:v>0</x:v>
      </x:c>
      <x:c r="Q880" s="50" t="n">
        <x:f>(C880-E880-F880)+(G880-P880)</x:f>
        <x:v>0</x:v>
      </x:c>
    </x:row>
    <x:row r="881">
      <x:c r="A881" s="41" t="n">
        <x:f>IF(B881=1,A880+1,A880)</x:f>
        <x:v>2060</x:v>
      </x:c>
      <x:c r="B881" s="41" t="n">
        <x:f>IF(B880=26,1,B880+1)</x:f>
        <x:v>22</x:v>
      </x:c>
      <x:c r="C881" s="48" t="n">
        <x:f>Inputs!$F$36</x:f>
        <x:v>600</x:v>
      </x:c>
      <x:c r="D881" s="50" t="n">
        <x:f>IF(B881=1,0,D880+E880)</x:f>
        <x:v>8000</x:v>
      </x:c>
      <x:c r="E881" s="50" t="n">
        <x:f>MIN(C881,MAX(0,Inputs!$B$7-D881))</x:f>
        <x:v>0</x:v>
      </x:c>
      <x:c r="F881" s="50" t="n">
        <x:f>MIN(C881-E881,MAX(0,Inputs!$B$20-O881))</x:f>
        <x:v>600</x:v>
      </x:c>
      <x:c r="G881" s="50" t="n">
        <x:f>0</x:f>
        <x:v>0</x:v>
      </x:c>
      <x:c r="H881" s="41" t="n">
        <x:f>0</x:f>
        <x:v>0</x:v>
      </x:c>
      <x:c r="I881" s="50" t="n">
        <x:f>(I880*(1+Inputs!$B$12))+E881</x:f>
        <x:v>882613.4334392261</x:v>
      </x:c>
      <x:c r="J881" s="50" t="n">
        <x:f>(J880*(1+Inputs!$B$12))+F881+P881</x:f>
        <x:v>1053721.7369420277</x:v>
      </x:c>
      <x:c r="K881" s="50" t="n">
        <x:f>(K880*(1+Inputs!$B$12))*(1-H881)</x:f>
        <x:v>0</x:v>
      </x:c>
      <x:c r="L881" s="50" t="n">
        <x:f>L880*(1+Inputs!$B$13)+Q881</x:f>
        <x:v>63578.72710203447</x:v>
      </x:c>
      <x:c r="M881" s="50" t="n">
        <x:f>I881+J881+L881</x:f>
        <x:v>1999913.8974832883</x:v>
      </x:c>
      <x:c r="N881" s="50" t="n">
        <x:f>F881+P881</x:f>
        <x:v>600</x:v>
      </x:c>
      <x:c r="O881" s="50" t="n">
        <x:f>IF(B881=1,0,O880+F880+P880)</x:f>
        <x:v>7857.142857142857</x:v>
      </x:c>
      <x:c r="P881" s="50" t="n">
        <x:f>MIN(G881,MAX(0,Inputs!$B$20-O881-F881))</x:f>
        <x:v>0</x:v>
      </x:c>
      <x:c r="Q881" s="50" t="n">
        <x:f>(C881-E881-F881)+(G881-P881)</x:f>
        <x:v>0</x:v>
      </x:c>
    </x:row>
    <x:row r="882">
      <x:c r="A882" s="41" t="n">
        <x:f>IF(B882=1,A881+1,A881)</x:f>
        <x:v>2060</x:v>
      </x:c>
      <x:c r="B882" s="41" t="n">
        <x:f>IF(B881=26,1,B881+1)</x:f>
        <x:v>23</x:v>
      </x:c>
      <x:c r="C882" s="48" t="n">
        <x:f>Inputs!$F$36</x:f>
        <x:v>600</x:v>
      </x:c>
      <x:c r="D882" s="50" t="n">
        <x:f>IF(B882=1,0,D881+E881)</x:f>
        <x:v>8000</x:v>
      </x:c>
      <x:c r="E882" s="50" t="n">
        <x:f>MIN(C882,MAX(0,Inputs!$B$7-D882))</x:f>
        <x:v>0</x:v>
      </x:c>
      <x:c r="F882" s="50" t="n">
        <x:f>MIN(C882-E882,MAX(0,Inputs!$B$20-O882))</x:f>
        <x:v>600</x:v>
      </x:c>
      <x:c r="G882" s="50" t="n">
        <x:f>0</x:f>
        <x:v>0</x:v>
      </x:c>
      <x:c r="H882" s="41" t="n">
        <x:f>0</x:f>
        <x:v>0</x:v>
      </x:c>
      <x:c r="I882" s="50" t="n">
        <x:f>(I881*(1+Inputs!$B$12))+E882</x:f>
        <x:v>884271.2520657026</x:v>
      </x:c>
      <x:c r="J882" s="50" t="n">
        <x:f>(J881*(1+Inputs!$B$12))+F882+P882</x:f>
        <x:v>1056300.9494221944</x:v>
      </x:c>
      <x:c r="K882" s="50" t="n">
        <x:f>(K881*(1+Inputs!$B$12))*(1-H882)</x:f>
        <x:v>0</x:v>
      </x:c>
      <x:c r="L882" s="50" t="n">
        <x:f>L881*(1+Inputs!$B$13)+Q882</x:f>
        <x:v>63689.96789901204</x:v>
      </x:c>
      <x:c r="M882" s="50" t="n">
        <x:f>I882+J882+L882</x:f>
        <x:v>2004262.169386909</x:v>
      </x:c>
      <x:c r="N882" s="50" t="n">
        <x:f>F882+P882</x:f>
        <x:v>600</x:v>
      </x:c>
      <x:c r="O882" s="50" t="n">
        <x:f>IF(B882=1,0,O881+F881+P881)</x:f>
        <x:v>8457.142857142857</x:v>
      </x:c>
      <x:c r="P882" s="50" t="n">
        <x:f>MIN(G882,MAX(0,Inputs!$B$20-O882-F882))</x:f>
        <x:v>0</x:v>
      </x:c>
      <x:c r="Q882" s="50" t="n">
        <x:f>(C882-E882-F882)+(G882-P882)</x:f>
        <x:v>0</x:v>
      </x:c>
    </x:row>
    <x:row r="883">
      <x:c r="A883" s="41" t="n">
        <x:f>IF(B883=1,A882+1,A882)</x:f>
        <x:v>2060</x:v>
      </x:c>
      <x:c r="B883" s="41" t="n">
        <x:f>IF(B882=26,1,B882+1)</x:f>
        <x:v>24</x:v>
      </x:c>
      <x:c r="C883" s="48" t="n">
        <x:f>Inputs!$F$36</x:f>
        <x:v>600</x:v>
      </x:c>
      <x:c r="D883" s="50" t="n">
        <x:f>IF(B883=1,0,D882+E882)</x:f>
        <x:v>8000</x:v>
      </x:c>
      <x:c r="E883" s="50" t="n">
        <x:f>MIN(C883,MAX(0,Inputs!$B$7-D883))</x:f>
        <x:v>0</x:v>
      </x:c>
      <x:c r="F883" s="50" t="n">
        <x:f>MIN(C883-E883,MAX(0,Inputs!$B$20-O883))</x:f>
        <x:v>600</x:v>
      </x:c>
      <x:c r="G883" s="50" t="n">
        <x:f>0</x:f>
        <x:v>0</x:v>
      </x:c>
      <x:c r="H883" s="41" t="n">
        <x:f>0</x:f>
        <x:v>0</x:v>
      </x:c>
      <x:c r="I883" s="50" t="n">
        <x:f>(I882*(1+Inputs!$B$12))+E883</x:f>
        <x:v>885932.1845838265</x:v>
      </x:c>
      <x:c r="J883" s="50" t="n">
        <x:f>(J882*(1+Inputs!$B$12))+F883+P883</x:f>
        <x:v>1058885.0064541537</x:v>
      </x:c>
      <x:c r="K883" s="50" t="n">
        <x:f>(K882*(1+Inputs!$B$12))*(1-H883)</x:f>
        <x:v>0</x:v>
      </x:c>
      <x:c r="L883" s="50" t="n">
        <x:f>L882*(1+Inputs!$B$13)+Q883</x:f>
        <x:v>63801.40332893487</x:v>
      </x:c>
      <x:c r="M883" s="50" t="n">
        <x:f>I883+J883+L883</x:f>
        <x:v>2008618.594366915</x:v>
      </x:c>
      <x:c r="N883" s="50" t="n">
        <x:f>F883+P883</x:f>
        <x:v>600</x:v>
      </x:c>
      <x:c r="O883" s="50" t="n">
        <x:f>IF(B883=1,0,O882+F882+P882)</x:f>
        <x:v>9057.142857142857</x:v>
      </x:c>
      <x:c r="P883" s="50" t="n">
        <x:f>MIN(G883,MAX(0,Inputs!$B$20-O883-F883))</x:f>
        <x:v>0</x:v>
      </x:c>
      <x:c r="Q883" s="50" t="n">
        <x:f>(C883-E883-F883)+(G883-P883)</x:f>
        <x:v>0</x:v>
      </x:c>
    </x:row>
    <x:row r="884">
      <x:c r="A884" s="41" t="n">
        <x:f>IF(B884=1,A883+1,A883)</x:f>
        <x:v>2060</x:v>
      </x:c>
      <x:c r="B884" s="41" t="n">
        <x:f>IF(B883=26,1,B883+1)</x:f>
        <x:v>25</x:v>
      </x:c>
      <x:c r="C884" s="48" t="n">
        <x:f>Inputs!$F$36</x:f>
        <x:v>600</x:v>
      </x:c>
      <x:c r="D884" s="50" t="n">
        <x:f>IF(B884=1,0,D883+E883)</x:f>
        <x:v>8000</x:v>
      </x:c>
      <x:c r="E884" s="50" t="n">
        <x:f>MIN(C884,MAX(0,Inputs!$B$7-D884))</x:f>
        <x:v>0</x:v>
      </x:c>
      <x:c r="F884" s="50" t="n">
        <x:f>MIN(C884-E884,MAX(0,Inputs!$B$20-O884))</x:f>
        <x:v>600</x:v>
      </x:c>
      <x:c r="G884" s="50" t="n">
        <x:f>0</x:f>
        <x:v>0</x:v>
      </x:c>
      <x:c r="H884" s="41" t="n">
        <x:f>0</x:f>
        <x:v>0</x:v>
      </x:c>
      <x:c r="I884" s="50" t="n">
        <x:f>(I883*(1+Inputs!$B$12))+E884</x:f>
        <x:v>887596.2368424409</x:v>
      </x:c>
      <x:c r="J884" s="50" t="n">
        <x:f>(J883*(1+Inputs!$B$12))+F884+P884</x:f>
        <x:v>1061473.9171374594</x:v>
      </x:c>
      <x:c r="K884" s="50" t="n">
        <x:f>(K883*(1+Inputs!$B$12))*(1-H884)</x:f>
        <x:v>0</x:v>
      </x:c>
      <x:c r="L884" s="50" t="n">
        <x:f>L883*(1+Inputs!$B$13)+Q884</x:f>
        <x:v>63913.033732343356</x:v>
      </x:c>
      <x:c r="M884" s="50" t="n">
        <x:f>I884+J884+L884</x:f>
        <x:v>2012983.1877122438</x:v>
      </x:c>
      <x:c r="N884" s="50" t="n">
        <x:f>F884+P884</x:f>
        <x:v>600</x:v>
      </x:c>
      <x:c r="O884" s="50" t="n">
        <x:f>IF(B884=1,0,O883+F883+P883)</x:f>
        <x:v>9657.142857142857</x:v>
      </x:c>
      <x:c r="P884" s="50" t="n">
        <x:f>MIN(G884,MAX(0,Inputs!$B$20-O884-F884))</x:f>
        <x:v>0</x:v>
      </x:c>
      <x:c r="Q884" s="50" t="n">
        <x:f>(C884-E884-F884)+(G884-P884)</x:f>
        <x:v>0</x:v>
      </x:c>
    </x:row>
    <x:row r="885">
      <x:c r="A885" s="41" t="n">
        <x:f>IF(B885=1,A884+1,A884)</x:f>
        <x:v>2060</x:v>
      </x:c>
      <x:c r="B885" s="41" t="n">
        <x:f>IF(B884=26,1,B884+1)</x:f>
        <x:v>26</x:v>
      </x:c>
      <x:c r="C885" s="48" t="n">
        <x:f>Inputs!$F$36</x:f>
        <x:v>600</x:v>
      </x:c>
      <x:c r="D885" s="50" t="n">
        <x:f>IF(B885=1,0,D884+E884)</x:f>
        <x:v>8000</x:v>
      </x:c>
      <x:c r="E885" s="50" t="n">
        <x:f>MIN(C885,MAX(0,Inputs!$B$7-D885))</x:f>
        <x:v>0</x:v>
      </x:c>
      <x:c r="F885" s="50" t="n">
        <x:f>MIN(C885-E885,MAX(0,Inputs!$B$20-O885))</x:f>
        <x:v>600</x:v>
      </x:c>
      <x:c r="G885" s="50" t="n">
        <x:f>0</x:f>
        <x:v>0</x:v>
      </x:c>
      <x:c r="H885" s="41" t="n">
        <x:f>IF(A885=Inputs!$B$8,1,0)</x:f>
        <x:v>0</x:v>
      </x:c>
      <x:c r="I885" s="50" t="n">
        <x:f>(I884*(1+Inputs!$B$12))+E885</x:f>
        <x:v>889263.4147013752</x:v>
      </x:c>
      <x:c r="J885" s="50" t="n">
        <x:f>(J884*(1+Inputs!$B$12))+F885+P885</x:f>
        <x:v>1064067.6905887565</x:v>
      </x:c>
      <x:c r="K885" s="50" t="n">
        <x:f>(K884*(1+Inputs!$B$12))*(1-H885)</x:f>
        <x:v>0</x:v>
      </x:c>
      <x:c r="L885" s="50" t="n">
        <x:f>L884*(1+Inputs!$B$13)+Q885</x:f>
        <x:v>64024.8594503737</x:v>
      </x:c>
      <x:c r="M885" s="50" t="n">
        <x:f>I885+J885+L885</x:f>
        <x:v>2017355.9647405054</x:v>
      </x:c>
      <x:c r="N885" s="50" t="n">
        <x:f>F885+P885</x:f>
        <x:v>600</x:v>
      </x:c>
      <x:c r="O885" s="50" t="n">
        <x:f>IF(B885=1,0,O884+F884+P884)</x:f>
        <x:v>10257.142857142857</x:v>
      </x:c>
      <x:c r="P885" s="50" t="n">
        <x:f>MIN(G885,MAX(0,Inputs!$B$20-O885-F885))</x:f>
        <x:v>0</x:v>
      </x:c>
      <x:c r="Q885" s="50" t="n">
        <x:f>(C885-E885-F885)+(G885-P885)</x:f>
        <x:v>0</x:v>
      </x:c>
    </x:row>
    <x:row r="886">
      <x:c r="A886" s="41" t="n">
        <x:f>IF(B886=1,A885+1,A885)</x:f>
        <x:v>2061</x:v>
      </x:c>
      <x:c r="B886" s="41" t="n">
        <x:f>IF(B885=26,1,B885+1)</x:f>
        <x:v>1</x:v>
      </x:c>
      <x:c r="C886" s="48" t="n">
        <x:f>Inputs!$F$37</x:f>
        <x:v>600</x:v>
      </x:c>
      <x:c r="D886" s="50" t="n">
        <x:f>IF(B886=1,0,D885+E885)</x:f>
        <x:v>0</x:v>
      </x:c>
      <x:c r="E886" s="50" t="n">
        <x:f>MIN(C886,MAX(0,Inputs!$B$7-D886))</x:f>
        <x:v>600</x:v>
      </x:c>
      <x:c r="F886" s="50" t="n">
        <x:f>MIN(C886-E886,MAX(0,Inputs!$B$20-O886))</x:f>
        <x:v>0</x:v>
      </x:c>
      <x:c r="G886" s="50" t="n">
        <x:f>0</x:f>
        <x:v>0</x:v>
      </x:c>
      <x:c r="H886" s="41" t="n">
        <x:f>0</x:f>
        <x:v>0</x:v>
      </x:c>
      <x:c r="I886" s="50" t="n">
        <x:f>(I885*(1+Inputs!$B$12))+E886</x:f>
        <x:v>891533.7240314648</x:v>
      </x:c>
      <x:c r="J886" s="50" t="n">
        <x:f>(J885*(1+Inputs!$B$12))+F886+P886</x:f>
        <x:v>1066066.3359418144</x:v>
      </x:c>
      <x:c r="K886" s="50" t="n">
        <x:f>(K885*(1+Inputs!$B$12))*(1-H886)</x:f>
        <x:v>0</x:v>
      </x:c>
      <x:c r="L886" s="50" t="n">
        <x:f>L885*(1+Inputs!$B$13)+Q886</x:f>
        <x:v>64136.88082475898</x:v>
      </x:c>
      <x:c r="M886" s="50" t="n">
        <x:f>I886+J886+L886</x:f>
        <x:v>2021736.940798038</x:v>
      </x:c>
      <x:c r="N886" s="50" t="n">
        <x:f>F886+P886</x:f>
        <x:v>0</x:v>
      </x:c>
      <x:c r="O886" s="50" t="n">
        <x:f>IF(B886=1,0,O885+F885+P885)</x:f>
        <x:v>0</x:v>
      </x:c>
      <x:c r="P886" s="50" t="n">
        <x:f>MIN(G886,MAX(0,Inputs!$B$20-O886-F886))</x:f>
        <x:v>0</x:v>
      </x:c>
      <x:c r="Q886" s="50" t="n">
        <x:f>(C886-E886-F886)+(G886-P886)</x:f>
        <x:v>0</x:v>
      </x:c>
    </x:row>
    <x:row r="887">
      <x:c r="A887" s="41" t="n">
        <x:f>IF(B887=1,A886+1,A886)</x:f>
        <x:v>2061</x:v>
      </x:c>
      <x:c r="B887" s="41" t="n">
        <x:f>IF(B886=26,1,B886+1)</x:f>
        <x:v>2</x:v>
      </x:c>
      <x:c r="C887" s="48" t="n">
        <x:f>Inputs!$F$37</x:f>
        <x:v>600</x:v>
      </x:c>
      <x:c r="D887" s="50" t="n">
        <x:f>IF(B887=1,0,D886+E886)</x:f>
        <x:v>600</x:v>
      </x:c>
      <x:c r="E887" s="50" t="n">
        <x:f>MIN(C887,MAX(0,Inputs!$B$7-D887))</x:f>
        <x:v>600</x:v>
      </x:c>
      <x:c r="F887" s="50" t="n">
        <x:f>MIN(C887-E887,MAX(0,Inputs!$B$20-O887))</x:f>
        <x:v>0</x:v>
      </x:c>
      <x:c r="G887" s="50" t="n">
        <x:f>0</x:f>
        <x:v>0</x:v>
      </x:c>
      <x:c r="H887" s="41" t="n">
        <x:f>0</x:f>
        <x:v>0</x:v>
      </x:c>
      <x:c r="I887" s="50" t="n">
        <x:f>(I886*(1+Inputs!$B$12))+E887</x:f>
        <x:v>893808.2976985254</x:v>
      </x:c>
      <x:c r="J887" s="50" t="n">
        <x:f>(J886*(1+Inputs!$B$12))+F887+P887</x:f>
        <x:v>1068068.7353636054</x:v>
      </x:c>
      <x:c r="K887" s="50" t="n">
        <x:f>(K886*(1+Inputs!$B$12))*(1-H887)</x:f>
        <x:v>0</x:v>
      </x:c>
      <x:c r="L887" s="50" t="n">
        <x:f>L886*(1+Inputs!$B$13)+Q887</x:f>
        <x:v>64249.098197830186</x:v>
      </x:c>
      <x:c r="M887" s="50" t="n">
        <x:f>I887+J887+L887</x:f>
        <x:v>2026126.1312599608</x:v>
      </x:c>
      <x:c r="N887" s="50" t="n">
        <x:f>F887+P887</x:f>
        <x:v>0</x:v>
      </x:c>
      <x:c r="O887" s="50" t="n">
        <x:f>IF(B887=1,0,O886+F886+P886)</x:f>
        <x:v>0</x:v>
      </x:c>
      <x:c r="P887" s="50" t="n">
        <x:f>MIN(G887,MAX(0,Inputs!$B$20-O887-F887))</x:f>
        <x:v>0</x:v>
      </x:c>
      <x:c r="Q887" s="50" t="n">
        <x:f>(C887-E887-F887)+(G887-P887)</x:f>
        <x:v>0</x:v>
      </x:c>
    </x:row>
    <x:row r="888">
      <x:c r="A888" s="41" t="n">
        <x:f>IF(B888=1,A887+1,A887)</x:f>
        <x:v>2061</x:v>
      </x:c>
      <x:c r="B888" s="41" t="n">
        <x:f>IF(B887=26,1,B887+1)</x:f>
        <x:v>3</x:v>
      </x:c>
      <x:c r="C888" s="48" t="n">
        <x:f>Inputs!$F$37</x:f>
        <x:v>600</x:v>
      </x:c>
      <x:c r="D888" s="50" t="n">
        <x:f>IF(B888=1,0,D887+E887)</x:f>
        <x:v>1200</x:v>
      </x:c>
      <x:c r="E888" s="50" t="n">
        <x:f>MIN(C888,MAX(0,Inputs!$B$7-D888))</x:f>
        <x:v>600</x:v>
      </x:c>
      <x:c r="F888" s="50" t="n">
        <x:f>MIN(C888-E888,MAX(0,Inputs!$B$20-O888))</x:f>
        <x:v>0</x:v>
      </x:c>
      <x:c r="G888" s="50" t="n">
        <x:f>0</x:f>
        <x:v>0</x:v>
      </x:c>
      <x:c r="H888" s="41" t="n">
        <x:f>0</x:f>
        <x:v>0</x:v>
      </x:c>
      <x:c r="I888" s="50" t="n">
        <x:f>(I887*(1+Inputs!$B$12))+E888</x:f>
        <x:v>896087.1437122892</x:v>
      </x:c>
      <x:c r="J888" s="50" t="n">
        <x:f>(J887*(1+Inputs!$B$12))+F888+P888</x:f>
        <x:v>1070074.8959054218</x:v>
      </x:c>
      <x:c r="K888" s="50" t="n">
        <x:f>(K887*(1+Inputs!$B$12))*(1-H888)</x:f>
        <x:v>0</x:v>
      </x:c>
      <x:c r="L888" s="50" t="n">
        <x:f>L887*(1+Inputs!$B$13)+Q888</x:f>
        <x:v>64361.51191251728</x:v>
      </x:c>
      <x:c r="M888" s="50" t="n">
        <x:f>I888+J888+L888</x:f>
        <x:v>2030523.5515302282</x:v>
      </x:c>
      <x:c r="N888" s="50" t="n">
        <x:f>F888+P888</x:f>
        <x:v>0</x:v>
      </x:c>
      <x:c r="O888" s="50" t="n">
        <x:f>IF(B888=1,0,O887+F887+P887)</x:f>
        <x:v>0</x:v>
      </x:c>
      <x:c r="P888" s="50" t="n">
        <x:f>MIN(G888,MAX(0,Inputs!$B$20-O888-F888))</x:f>
        <x:v>0</x:v>
      </x:c>
      <x:c r="Q888" s="50" t="n">
        <x:f>(C888-E888-F888)+(G888-P888)</x:f>
        <x:v>0</x:v>
      </x:c>
    </x:row>
    <x:row r="889">
      <x:c r="A889" s="41" t="n">
        <x:f>IF(B889=1,A888+1,A888)</x:f>
        <x:v>2061</x:v>
      </x:c>
      <x:c r="B889" s="41" t="n">
        <x:f>IF(B888=26,1,B888+1)</x:f>
        <x:v>4</x:v>
      </x:c>
      <x:c r="C889" s="48" t="n">
        <x:f>Inputs!$F$37</x:f>
        <x:v>600</x:v>
      </x:c>
      <x:c r="D889" s="50" t="n">
        <x:f>IF(B889=1,0,D888+E888)</x:f>
        <x:v>1800</x:v>
      </x:c>
      <x:c r="E889" s="50" t="n">
        <x:f>MIN(C889,MAX(0,Inputs!$B$7-D889))</x:f>
        <x:v>600</x:v>
      </x:c>
      <x:c r="F889" s="50" t="n">
        <x:f>MIN(C889-E889,MAX(0,Inputs!$B$20-O889))</x:f>
        <x:v>0</x:v>
      </x:c>
      <x:c r="G889" s="50" t="n">
        <x:f>0</x:f>
        <x:v>0</x:v>
      </x:c>
      <x:c r="H889" s="41" t="n">
        <x:f>0</x:f>
        <x:v>0</x:v>
      </x:c>
      <x:c r="I889" s="50" t="n">
        <x:f>(I888*(1+Inputs!$B$12))+E889</x:f>
        <x:v>898370.2700975331</x:v>
      </x:c>
      <x:c r="J889" s="50" t="n">
        <x:f>(J888*(1+Inputs!$B$12))+F889+P889</x:f>
        <x:v>1072084.8246318002</x:v>
      </x:c>
      <x:c r="K889" s="50" t="n">
        <x:f>(K888*(1+Inputs!$B$12))*(1-H889)</x:f>
        <x:v>0</x:v>
      </x:c>
      <x:c r="L889" s="50" t="n">
        <x:f>L888*(1+Inputs!$B$13)+Q889</x:f>
        <x:v>64474.12231235022</x:v>
      </x:c>
      <x:c r="M889" s="50" t="n">
        <x:f>I889+J889+L889</x:f>
        <x:v>2034929.2170416834</x:v>
      </x:c>
      <x:c r="N889" s="50" t="n">
        <x:f>F889+P889</x:f>
        <x:v>0</x:v>
      </x:c>
      <x:c r="O889" s="50" t="n">
        <x:f>IF(B889=1,0,O888+F888+P888)</x:f>
        <x:v>0</x:v>
      </x:c>
      <x:c r="P889" s="50" t="n">
        <x:f>MIN(G889,MAX(0,Inputs!$B$20-O889-F889))</x:f>
        <x:v>0</x:v>
      </x:c>
      <x:c r="Q889" s="50" t="n">
        <x:f>(C889-E889-F889)+(G889-P889)</x:f>
        <x:v>0</x:v>
      </x:c>
    </x:row>
    <x:row r="890">
      <x:c r="A890" s="41" t="n">
        <x:f>IF(B890=1,A889+1,A889)</x:f>
        <x:v>2061</x:v>
      </x:c>
      <x:c r="B890" s="41" t="n">
        <x:f>IF(B889=26,1,B889+1)</x:f>
        <x:v>5</x:v>
      </x:c>
      <x:c r="C890" s="48" t="n">
        <x:f>Inputs!$F$37</x:f>
        <x:v>600</x:v>
      </x:c>
      <x:c r="D890" s="50" t="n">
        <x:f>IF(B890=1,0,D889+E889)</x:f>
        <x:v>2400</x:v>
      </x:c>
      <x:c r="E890" s="50" t="n">
        <x:f>MIN(C890,MAX(0,Inputs!$B$7-D890))</x:f>
        <x:v>600</x:v>
      </x:c>
      <x:c r="F890" s="50" t="n">
        <x:f>MIN(C890-E890,MAX(0,Inputs!$B$20-O890))</x:f>
        <x:v>0</x:v>
      </x:c>
      <x:c r="G890" s="50" t="n">
        <x:f>0</x:f>
        <x:v>0</x:v>
      </x:c>
      <x:c r="H890" s="41" t="n">
        <x:f>0</x:f>
        <x:v>0</x:v>
      </x:c>
      <x:c r="I890" s="50" t="n">
        <x:f>(I889*(1+Inputs!$B$12))+E890</x:f>
        <x:v>900657.6848941072</x:v>
      </x:c>
      <x:c r="J890" s="50" t="n">
        <x:f>(J889*(1+Inputs!$B$12))+F890+P890</x:f>
        <x:v>1074098.5286205462</x:v>
      </x:c>
      <x:c r="K890" s="50" t="n">
        <x:f>(K889*(1+Inputs!$B$12))*(1-H890)</x:f>
        <x:v>0</x:v>
      </x:c>
      <x:c r="L890" s="50" t="n">
        <x:f>L889*(1+Inputs!$B$13)+Q890</x:f>
        <x:v>64586.92974146004</x:v>
      </x:c>
      <x:c r="M890" s="50" t="n">
        <x:f>I890+J890+L890</x:f>
        <x:v>2039343.1432561136</x:v>
      </x:c>
      <x:c r="N890" s="50" t="n">
        <x:f>F890+P890</x:f>
        <x:v>0</x:v>
      </x:c>
      <x:c r="O890" s="50" t="n">
        <x:f>IF(B890=1,0,O889+F889+P889)</x:f>
        <x:v>0</x:v>
      </x:c>
      <x:c r="P890" s="50" t="n">
        <x:f>MIN(G890,MAX(0,Inputs!$B$20-O890-F890))</x:f>
        <x:v>0</x:v>
      </x:c>
      <x:c r="Q890" s="50" t="n">
        <x:f>(C890-E890-F890)+(G890-P890)</x:f>
        <x:v>0</x:v>
      </x:c>
    </x:row>
    <x:row r="891">
      <x:c r="A891" s="41" t="n">
        <x:f>IF(B891=1,A890+1,A890)</x:f>
        <x:v>2061</x:v>
      </x:c>
      <x:c r="B891" s="41" t="n">
        <x:f>IF(B890=26,1,B890+1)</x:f>
        <x:v>6</x:v>
      </x:c>
      <x:c r="C891" s="48" t="n">
        <x:f>Inputs!$F$37</x:f>
        <x:v>600</x:v>
      </x:c>
      <x:c r="D891" s="50" t="n">
        <x:f>IF(B891=1,0,D890+E890)</x:f>
        <x:v>3000</x:v>
      </x:c>
      <x:c r="E891" s="50" t="n">
        <x:f>MIN(C891,MAX(0,Inputs!$B$7-D891))</x:f>
        <x:v>600</x:v>
      </x:c>
      <x:c r="F891" s="50" t="n">
        <x:f>MIN(C891-E891,MAX(0,Inputs!$B$20-O891))</x:f>
        <x:v>0</x:v>
      </x:c>
      <x:c r="G891" s="50" t="n">
        <x:f>0</x:f>
        <x:v>0</x:v>
      </x:c>
      <x:c r="H891" s="41" t="n">
        <x:f>0</x:f>
        <x:v>0</x:v>
      </x:c>
      <x:c r="I891" s="50" t="n">
        <x:f>(I890*(1+Inputs!$B$12))+E891</x:f>
        <x:v>902949.3961569625</x:v>
      </x:c>
      <x:c r="J891" s="50" t="n">
        <x:f>(J890*(1+Inputs!$B$12))+F891+P891</x:f>
        <x:v>1076116.01496276</x:v>
      </x:c>
      <x:c r="K891" s="50" t="n">
        <x:f>(K890*(1+Inputs!$B$12))*(1-H891)</x:f>
        <x:v>0</x:v>
      </x:c>
      <x:c r="L891" s="50" t="n">
        <x:f>L890*(1+Inputs!$B$13)+Q891</x:f>
        <x:v>64699.93454457986</x:v>
      </x:c>
      <x:c r="M891" s="50" t="n">
        <x:f>I891+J891+L891</x:f>
        <x:v>2043765.3456643024</x:v>
      </x:c>
      <x:c r="N891" s="50" t="n">
        <x:f>F891+P891</x:f>
        <x:v>0</x:v>
      </x:c>
      <x:c r="O891" s="50" t="n">
        <x:f>IF(B891=1,0,O890+F890+P890)</x:f>
        <x:v>0</x:v>
      </x:c>
      <x:c r="P891" s="50" t="n">
        <x:f>MIN(G891,MAX(0,Inputs!$B$20-O891-F891))</x:f>
        <x:v>0</x:v>
      </x:c>
      <x:c r="Q891" s="50" t="n">
        <x:f>(C891-E891-F891)+(G891-P891)</x:f>
        <x:v>0</x:v>
      </x:c>
    </x:row>
    <x:row r="892">
      <x:c r="A892" s="41" t="n">
        <x:f>IF(B892=1,A891+1,A891)</x:f>
        <x:v>2061</x:v>
      </x:c>
      <x:c r="B892" s="41" t="n">
        <x:f>IF(B891=26,1,B891+1)</x:f>
        <x:v>7</x:v>
      </x:c>
      <x:c r="C892" s="48" t="n">
        <x:f>Inputs!$F$37</x:f>
        <x:v>600</x:v>
      </x:c>
      <x:c r="D892" s="50" t="n">
        <x:f>IF(B892=1,0,D891+E891)</x:f>
        <x:v>3600</x:v>
      </x:c>
      <x:c r="E892" s="50" t="n">
        <x:f>MIN(C892,MAX(0,Inputs!$B$7-D892))</x:f>
        <x:v>600</x:v>
      </x:c>
      <x:c r="F892" s="50" t="n">
        <x:f>MIN(C892-E892,MAX(0,Inputs!$B$20-O892))</x:f>
        <x:v>0</x:v>
      </x:c>
      <x:c r="G892" s="50" t="n">
        <x:f>0</x:f>
        <x:v>0</x:v>
      </x:c>
      <x:c r="H892" s="41" t="n">
        <x:f>0</x:f>
        <x:v>0</x:v>
      </x:c>
      <x:c r="I892" s="50" t="n">
        <x:f>(I891*(1+Inputs!$B$12))+E892</x:f>
        <x:v>905245.4119561801</x:v>
      </x:c>
      <x:c r="J892" s="50" t="n">
        <x:f>(J891*(1+Inputs!$B$12))+F892+P892</x:f>
        <x:v>1078137.290762861</x:v>
      </x:c>
      <x:c r="K892" s="50" t="n">
        <x:f>(K891*(1+Inputs!$B$12))*(1-H892)</x:f>
        <x:v>0</x:v>
      </x:c>
      <x:c r="L892" s="50" t="n">
        <x:f>L891*(1+Inputs!$B$13)+Q892</x:f>
        <x:v>64813.13706704599</x:v>
      </x:c>
      <x:c r="M892" s="50" t="n">
        <x:f>I892+J892+L892</x:f>
        <x:v>2048195.8397860872</x:v>
      </x:c>
      <x:c r="N892" s="50" t="n">
        <x:f>F892+P892</x:f>
        <x:v>0</x:v>
      </x:c>
      <x:c r="O892" s="50" t="n">
        <x:f>IF(B892=1,0,O891+F891+P891)</x:f>
        <x:v>0</x:v>
      </x:c>
      <x:c r="P892" s="50" t="n">
        <x:f>MIN(G892,MAX(0,Inputs!$B$20-O892-F892))</x:f>
        <x:v>0</x:v>
      </x:c>
      <x:c r="Q892" s="50" t="n">
        <x:f>(C892-E892-F892)+(G892-P892)</x:f>
        <x:v>0</x:v>
      </x:c>
    </x:row>
    <x:row r="893">
      <x:c r="A893" s="41" t="n">
        <x:f>IF(B893=1,A892+1,A892)</x:f>
        <x:v>2061</x:v>
      </x:c>
      <x:c r="B893" s="41" t="n">
        <x:f>IF(B892=26,1,B892+1)</x:f>
        <x:v>8</x:v>
      </x:c>
      <x:c r="C893" s="48" t="n">
        <x:f>Inputs!$F$37</x:f>
        <x:v>600</x:v>
      </x:c>
      <x:c r="D893" s="50" t="n">
        <x:f>IF(B893=1,0,D892+E892)</x:f>
        <x:v>4200</x:v>
      </x:c>
      <x:c r="E893" s="50" t="n">
        <x:f>MIN(C893,MAX(0,Inputs!$B$7-D893))</x:f>
        <x:v>600</x:v>
      </x:c>
      <x:c r="F893" s="50" t="n">
        <x:f>MIN(C893-E893,MAX(0,Inputs!$B$20-O893))</x:f>
        <x:v>0</x:v>
      </x:c>
      <x:c r="G893" s="50" t="n">
        <x:f>0</x:f>
        <x:v>0</x:v>
      </x:c>
      <x:c r="H893" s="41" t="n">
        <x:f>0</x:f>
        <x:v>0</x:v>
      </x:c>
      <x:c r="I893" s="50" t="n">
        <x:f>(I892*(1+Inputs!$B$12))+E893</x:f>
        <x:v>907545.740376999</x:v>
      </x:c>
      <x:c r="J893" s="50" t="n">
        <x:f>(J892*(1+Inputs!$B$12))+F893+P893</x:f>
        <x:v>1080162.363138613</x:v>
      </x:c>
      <x:c r="K893" s="50" t="n">
        <x:f>(K892*(1+Inputs!$B$12))*(1-H893)</x:f>
        <x:v>0</x:v>
      </x:c>
      <x:c r="L893" s="50" t="n">
        <x:f>L892*(1+Inputs!$B$13)+Q893</x:f>
        <x:v>64926.53765479893</x:v>
      </x:c>
      <x:c r="M893" s="50" t="n">
        <x:f>I893+J893+L893</x:f>
        <x:v>2052634.641170411</x:v>
      </x:c>
      <x:c r="N893" s="50" t="n">
        <x:f>F893+P893</x:f>
        <x:v>0</x:v>
      </x:c>
      <x:c r="O893" s="50" t="n">
        <x:f>IF(B893=1,0,O892+F892+P892)</x:f>
        <x:v>0</x:v>
      </x:c>
      <x:c r="P893" s="50" t="n">
        <x:f>MIN(G893,MAX(0,Inputs!$B$20-O893-F893))</x:f>
        <x:v>0</x:v>
      </x:c>
      <x:c r="Q893" s="50" t="n">
        <x:f>(C893-E893-F893)+(G893-P893)</x:f>
        <x:v>0</x:v>
      </x:c>
    </x:row>
    <x:row r="894">
      <x:c r="A894" s="41" t="n">
        <x:f>IF(B894=1,A893+1,A893)</x:f>
        <x:v>2061</x:v>
      </x:c>
      <x:c r="B894" s="41" t="n">
        <x:f>IF(B893=26,1,B893+1)</x:f>
        <x:v>9</x:v>
      </x:c>
      <x:c r="C894" s="48" t="n">
        <x:f>Inputs!$F$37</x:f>
        <x:v>600</x:v>
      </x:c>
      <x:c r="D894" s="50" t="n">
        <x:f>IF(B894=1,0,D893+E893)</x:f>
        <x:v>4800</x:v>
      </x:c>
      <x:c r="E894" s="50" t="n">
        <x:f>MIN(C894,MAX(0,Inputs!$B$7-D894))</x:f>
        <x:v>600</x:v>
      </x:c>
      <x:c r="F894" s="50" t="n">
        <x:f>MIN(C894-E894,MAX(0,Inputs!$B$20-O894))</x:f>
        <x:v>0</x:v>
      </x:c>
      <x:c r="G894" s="50" t="n">
        <x:f>SUM(N860:N885)*Inputs!$B$6</x:f>
        <x:v>3257.142857142857</x:v>
      </x:c>
      <x:c r="H894" s="41" t="n">
        <x:f>0</x:f>
        <x:v>0</x:v>
      </x:c>
      <x:c r="I894" s="50" t="n">
        <x:f>(I893*(1+Inputs!$B$12))+E894</x:f>
        <x:v>909850.3895198448</x:v>
      </x:c>
      <x:c r="J894" s="50" t="n">
        <x:f>(J893*(1+Inputs!$B$12))+F894+P894</x:f>
        <x:v>1085448.3820782923</x:v>
      </x:c>
      <x:c r="K894" s="50" t="n">
        <x:f>(K893*(1+Inputs!$B$12))*(1-H894)</x:f>
        <x:v>0</x:v>
      </x:c>
      <x:c r="L894" s="50" t="n">
        <x:f>L893*(1+Inputs!$B$13)+Q894</x:f>
        <x:v>65040.136654384485</x:v>
      </x:c>
      <x:c r="M894" s="50" t="n">
        <x:f>I894+J894+L894</x:f>
        <x:v>2060338.9082525214</x:v>
      </x:c>
      <x:c r="N894" s="50" t="n">
        <x:f>F894+P894</x:f>
        <x:v>3257.142857142857</x:v>
      </x:c>
      <x:c r="O894" s="50" t="n">
        <x:f>IF(B894=1,0,O893+F893+P893)</x:f>
        <x:v>0</x:v>
      </x:c>
      <x:c r="P894" s="50" t="n">
        <x:f>MIN(G894,MAX(0,Inputs!$B$20-O894-F894))</x:f>
        <x:v>3257.142857142857</x:v>
      </x:c>
      <x:c r="Q894" s="50" t="n">
        <x:f>(C894-E894-F894)+(G894-P894)</x:f>
        <x:v>0</x:v>
      </x:c>
    </x:row>
    <x:row r="895">
      <x:c r="A895" s="41" t="n">
        <x:f>IF(B895=1,A894+1,A894)</x:f>
        <x:v>2061</x:v>
      </x:c>
      <x:c r="B895" s="41" t="n">
        <x:f>IF(B894=26,1,B894+1)</x:f>
        <x:v>10</x:v>
      </x:c>
      <x:c r="C895" s="48" t="n">
        <x:f>Inputs!$F$37</x:f>
        <x:v>600</x:v>
      </x:c>
      <x:c r="D895" s="50" t="n">
        <x:f>IF(B895=1,0,D894+E894)</x:f>
        <x:v>5400</x:v>
      </x:c>
      <x:c r="E895" s="50" t="n">
        <x:f>MIN(C895,MAX(0,Inputs!$B$7-D895))</x:f>
        <x:v>600</x:v>
      </x:c>
      <x:c r="F895" s="50" t="n">
        <x:f>MIN(C895-E895,MAX(0,Inputs!$B$20-O895))</x:f>
        <x:v>0</x:v>
      </x:c>
      <x:c r="G895" s="50" t="n">
        <x:f>0</x:f>
        <x:v>0</x:v>
      </x:c>
      <x:c r="H895" s="41" t="n">
        <x:f>0</x:f>
        <x:v>0</x:v>
      </x:c>
      <x:c r="I895" s="50" t="n">
        <x:f>(I894*(1+Inputs!$B$12))+E895</x:f>
        <x:v>912159.367500358</x:v>
      </x:c>
      <x:c r="J895" s="50" t="n">
        <x:f>(J894*(1+Inputs!$B$12))+F895+P895</x:f>
        <x:v>1087487.186925026</x:v>
      </x:c>
      <x:c r="K895" s="50" t="n">
        <x:f>(K894*(1+Inputs!$B$12))*(1-H895)</x:f>
        <x:v>0</x:v>
      </x:c>
      <x:c r="L895" s="50" t="n">
        <x:f>L894*(1+Inputs!$B$13)+Q895</x:f>
        <x:v>65153.934412954775</x:v>
      </x:c>
      <x:c r="M895" s="50" t="n">
        <x:f>I895+J895+L895</x:f>
        <x:v>2064800.4888383388</x:v>
      </x:c>
      <x:c r="N895" s="50" t="n">
        <x:f>F895+P895</x:f>
        <x:v>0</x:v>
      </x:c>
      <x:c r="O895" s="50" t="n">
        <x:f>IF(B895=1,0,O894+F894+P894)</x:f>
        <x:v>3257.142857142857</x:v>
      </x:c>
      <x:c r="P895" s="50" t="n">
        <x:f>MIN(G895,MAX(0,Inputs!$B$20-O895-F895))</x:f>
        <x:v>0</x:v>
      </x:c>
      <x:c r="Q895" s="50" t="n">
        <x:f>(C895-E895-F895)+(G895-P895)</x:f>
        <x:v>0</x:v>
      </x:c>
    </x:row>
    <x:row r="896">
      <x:c r="A896" s="41" t="n">
        <x:f>IF(B896=1,A895+1,A895)</x:f>
        <x:v>2061</x:v>
      </x:c>
      <x:c r="B896" s="41" t="n">
        <x:f>IF(B895=26,1,B895+1)</x:f>
        <x:v>11</x:v>
      </x:c>
      <x:c r="C896" s="48" t="n">
        <x:f>Inputs!$F$37</x:f>
        <x:v>600</x:v>
      </x:c>
      <x:c r="D896" s="50" t="n">
        <x:f>IF(B896=1,0,D895+E895)</x:f>
        <x:v>6000</x:v>
      </x:c>
      <x:c r="E896" s="50" t="n">
        <x:f>MIN(C896,MAX(0,Inputs!$B$7-D896))</x:f>
        <x:v>600</x:v>
      </x:c>
      <x:c r="F896" s="50" t="n">
        <x:f>MIN(C896-E896,MAX(0,Inputs!$B$20-O896))</x:f>
        <x:v>0</x:v>
      </x:c>
      <x:c r="G896" s="50" t="n">
        <x:f>0</x:f>
        <x:v>0</x:v>
      </x:c>
      <x:c r="H896" s="41" t="n">
        <x:f>0</x:f>
        <x:v>0</x:v>
      </x:c>
      <x:c r="I896" s="50" t="n">
        <x:f>(I895*(1+Inputs!$B$12))+E896</x:f>
        <x:v>914472.6824494231</x:v>
      </x:c>
      <x:c r="J896" s="50" t="n">
        <x:f>(J895*(1+Inputs!$B$12))+F896+P896</x:f>
        <x:v>1089529.8212723343</x:v>
      </x:c>
      <x:c r="K896" s="50" t="n">
        <x:f>(K895*(1+Inputs!$B$12))*(1-H896)</x:f>
        <x:v>0</x:v>
      </x:c>
      <x:c r="L896" s="50" t="n">
        <x:f>L895*(1+Inputs!$B$13)+Q896</x:f>
        <x:v>65267.93127826933</x:v>
      </x:c>
      <x:c r="M896" s="50" t="n">
        <x:f>I896+J896+L896</x:f>
        <x:v>2069270.4350000266</x:v>
      </x:c>
      <x:c r="N896" s="50" t="n">
        <x:f>F896+P896</x:f>
        <x:v>0</x:v>
      </x:c>
      <x:c r="O896" s="50" t="n">
        <x:f>IF(B896=1,0,O895+F895+P895)</x:f>
        <x:v>3257.142857142857</x:v>
      </x:c>
      <x:c r="P896" s="50" t="n">
        <x:f>MIN(G896,MAX(0,Inputs!$B$20-O896-F896))</x:f>
        <x:v>0</x:v>
      </x:c>
      <x:c r="Q896" s="50" t="n">
        <x:f>(C896-E896-F896)+(G896-P896)</x:f>
        <x:v>0</x:v>
      </x:c>
    </x:row>
    <x:row r="897">
      <x:c r="A897" s="41" t="n">
        <x:f>IF(B897=1,A896+1,A896)</x:f>
        <x:v>2061</x:v>
      </x:c>
      <x:c r="B897" s="41" t="n">
        <x:f>IF(B896=26,1,B896+1)</x:f>
        <x:v>12</x:v>
      </x:c>
      <x:c r="C897" s="48" t="n">
        <x:f>Inputs!$F$37</x:f>
        <x:v>600</x:v>
      </x:c>
      <x:c r="D897" s="50" t="n">
        <x:f>IF(B897=1,0,D896+E896)</x:f>
        <x:v>6600</x:v>
      </x:c>
      <x:c r="E897" s="50" t="n">
        <x:f>MIN(C897,MAX(0,Inputs!$B$7-D897))</x:f>
        <x:v>600</x:v>
      </x:c>
      <x:c r="F897" s="50" t="n">
        <x:f>MIN(C897-E897,MAX(0,Inputs!$B$20-O897))</x:f>
        <x:v>0</x:v>
      </x:c>
      <x:c r="G897" s="50" t="n">
        <x:f>0</x:f>
        <x:v>0</x:v>
      </x:c>
      <x:c r="H897" s="41" t="n">
        <x:f>0</x:f>
        <x:v>0</x:v>
      </x:c>
      <x:c r="I897" s="50" t="n">
        <x:f>(I896*(1+Inputs!$B$12))+E897</x:f>
        <x:v>916790.3425131965</x:v>
      </x:c>
      <x:c r="J897" s="50" t="n">
        <x:f>(J896*(1+Inputs!$B$12))+F897+P897</x:f>
        <x:v>1091576.2923131937</x:v>
      </x:c>
      <x:c r="K897" s="50" t="n">
        <x:f>(K896*(1+Inputs!$B$12))*(1-H897)</x:f>
        <x:v>0</x:v>
      </x:c>
      <x:c r="L897" s="50" t="n">
        <x:f>L896*(1+Inputs!$B$13)+Q897</x:f>
        <x:v>65382.12759869613</x:v>
      </x:c>
      <x:c r="M897" s="50" t="n">
        <x:f>I897+J897+L897</x:f>
        <x:v>2073748.7624250862</x:v>
      </x:c>
      <x:c r="N897" s="50" t="n">
        <x:f>F897+P897</x:f>
        <x:v>0</x:v>
      </x:c>
      <x:c r="O897" s="50" t="n">
        <x:f>IF(B897=1,0,O896+F896+P896)</x:f>
        <x:v>3257.142857142857</x:v>
      </x:c>
      <x:c r="P897" s="50" t="n">
        <x:f>MIN(G897,MAX(0,Inputs!$B$20-O897-F897))</x:f>
        <x:v>0</x:v>
      </x:c>
      <x:c r="Q897" s="50" t="n">
        <x:f>(C897-E897-F897)+(G897-P897)</x:f>
        <x:v>0</x:v>
      </x:c>
    </x:row>
    <x:row r="898">
      <x:c r="A898" s="41" t="n">
        <x:f>IF(B898=1,A897+1,A897)</x:f>
        <x:v>2061</x:v>
      </x:c>
      <x:c r="B898" s="41" t="n">
        <x:f>IF(B897=26,1,B897+1)</x:f>
        <x:v>13</x:v>
      </x:c>
      <x:c r="C898" s="48" t="n">
        <x:f>Inputs!$F$37</x:f>
        <x:v>600</x:v>
      </x:c>
      <x:c r="D898" s="50" t="n">
        <x:f>IF(B898=1,0,D897+E897)</x:f>
        <x:v>7200</x:v>
      </x:c>
      <x:c r="E898" s="50" t="n">
        <x:f>MIN(C898,MAX(0,Inputs!$B$7-D898))</x:f>
        <x:v>600</x:v>
      </x:c>
      <x:c r="F898" s="50" t="n">
        <x:f>MIN(C898-E898,MAX(0,Inputs!$B$20-O898))</x:f>
        <x:v>0</x:v>
      </x:c>
      <x:c r="G898" s="50" t="n">
        <x:f>0</x:f>
        <x:v>0</x:v>
      </x:c>
      <x:c r="H898" s="41" t="n">
        <x:f>0</x:f>
        <x:v>0</x:v>
      </x:c>
      <x:c r="I898" s="50" t="n">
        <x:f>(I897*(1+Inputs!$B$12))+E898</x:f>
        <x:v>919112.3558531359</x:v>
      </x:c>
      <x:c r="J898" s="50" t="n">
        <x:f>(J897*(1+Inputs!$B$12))+F898+P898</x:f>
        <x:v>1093626.6072540907</x:v>
      </x:c>
      <x:c r="K898" s="50" t="n">
        <x:f>(K897*(1+Inputs!$B$12))*(1-H898)</x:f>
        <x:v>0</x:v>
      </x:c>
      <x:c r="L898" s="50" t="n">
        <x:f>L897*(1+Inputs!$B$13)+Q898</x:f>
        <x:v>65496.523723212675</x:v>
      </x:c>
      <x:c r="M898" s="50" t="n">
        <x:f>I898+J898+L898</x:f>
        <x:v>2078235.4868304394</x:v>
      </x:c>
      <x:c r="N898" s="50" t="n">
        <x:f>F898+P898</x:f>
        <x:v>0</x:v>
      </x:c>
      <x:c r="O898" s="50" t="n">
        <x:f>IF(B898=1,0,O897+F897+P897)</x:f>
        <x:v>3257.142857142857</x:v>
      </x:c>
      <x:c r="P898" s="50" t="n">
        <x:f>MIN(G898,MAX(0,Inputs!$B$20-O898-F898))</x:f>
        <x:v>0</x:v>
      </x:c>
      <x:c r="Q898" s="50" t="n">
        <x:f>(C898-E898-F898)+(G898-P898)</x:f>
        <x:v>0</x:v>
      </x:c>
    </x:row>
    <x:row r="899">
      <x:c r="A899" s="41" t="n">
        <x:f>IF(B899=1,A898+1,A898)</x:f>
        <x:v>2061</x:v>
      </x:c>
      <x:c r="B899" s="41" t="n">
        <x:f>IF(B898=26,1,B898+1)</x:f>
        <x:v>14</x:v>
      </x:c>
      <x:c r="C899" s="48" t="n">
        <x:f>Inputs!$F$37</x:f>
        <x:v>600</x:v>
      </x:c>
      <x:c r="D899" s="50" t="n">
        <x:f>IF(B899=1,0,D898+E898)</x:f>
        <x:v>7800</x:v>
      </x:c>
      <x:c r="E899" s="50" t="n">
        <x:f>MIN(C899,MAX(0,Inputs!$B$7-D899))</x:f>
        <x:v>200</x:v>
      </x:c>
      <x:c r="F899" s="50" t="n">
        <x:f>MIN(C899-E899,MAX(0,Inputs!$B$20-O899))</x:f>
        <x:v>400</x:v>
      </x:c>
      <x:c r="G899" s="50" t="n">
        <x:f>0</x:f>
        <x:v>0</x:v>
      </x:c>
      <x:c r="H899" s="41" t="n">
        <x:f>0</x:f>
        <x:v>0</x:v>
      </x:c>
      <x:c r="I899" s="50" t="n">
        <x:f>(I898*(1+Inputs!$B$12))+E899</x:f>
        <x:v>921038.7306460286</x:v>
      </x:c>
      <x:c r="J899" s="50" t="n">
        <x:f>(J898*(1+Inputs!$B$12))+F899+P899</x:f>
        <x:v>1096080.7733150483</x:v>
      </x:c>
      <x:c r="K899" s="50" t="n">
        <x:f>(K898*(1+Inputs!$B$12))*(1-H899)</x:f>
        <x:v>0</x:v>
      </x:c>
      <x:c r="L899" s="50" t="n">
        <x:f>L898*(1+Inputs!$B$13)+Q899</x:f>
        <x:v>65611.12000140708</x:v>
      </x:c>
      <x:c r="M899" s="50" t="n">
        <x:f>I899+J899+L899</x:f>
        <x:v>2082730.623962484</x:v>
      </x:c>
      <x:c r="N899" s="50" t="n">
        <x:f>F899+P899</x:f>
        <x:v>400</x:v>
      </x:c>
      <x:c r="O899" s="50" t="n">
        <x:f>IF(B899=1,0,O898+F898+P898)</x:f>
        <x:v>3257.142857142857</x:v>
      </x:c>
      <x:c r="P899" s="50" t="n">
        <x:f>MIN(G899,MAX(0,Inputs!$B$20-O899-F899))</x:f>
        <x:v>0</x:v>
      </x:c>
      <x:c r="Q899" s="50" t="n">
        <x:f>(C899-E899-F899)+(G899-P899)</x:f>
        <x:v>0</x:v>
      </x:c>
    </x:row>
    <x:row r="900">
      <x:c r="A900" s="41" t="n">
        <x:f>IF(B900=1,A899+1,A899)</x:f>
        <x:v>2061</x:v>
      </x:c>
      <x:c r="B900" s="41" t="n">
        <x:f>IF(B899=26,1,B899+1)</x:f>
        <x:v>15</x:v>
      </x:c>
      <x:c r="C900" s="48" t="n">
        <x:f>Inputs!$F$37</x:f>
        <x:v>600</x:v>
      </x:c>
      <x:c r="D900" s="50" t="n">
        <x:f>IF(B900=1,0,D899+E899)</x:f>
        <x:v>8000</x:v>
      </x:c>
      <x:c r="E900" s="50" t="n">
        <x:f>MIN(C900,MAX(0,Inputs!$B$7-D900))</x:f>
        <x:v>0</x:v>
      </x:c>
      <x:c r="F900" s="50" t="n">
        <x:f>MIN(C900-E900,MAX(0,Inputs!$B$20-O900))</x:f>
        <x:v>600</x:v>
      </x:c>
      <x:c r="G900" s="50" t="n">
        <x:f>0</x:f>
        <x:v>0</x:v>
      </x:c>
      <x:c r="H900" s="41" t="n">
        <x:f>0</x:f>
        <x:v>0</x:v>
      </x:c>
      <x:c r="I900" s="50" t="n">
        <x:f>(I899*(1+Inputs!$B$12))+E900</x:f>
        <x:v>922768.7237613853</x:v>
      </x:c>
      <x:c r="J900" s="50" t="n">
        <x:f>(J899*(1+Inputs!$B$12))+F900+P900</x:f>
        <x:v>1098739.5490522855</x:v>
      </x:c>
      <x:c r="K900" s="50" t="n">
        <x:f>(K899*(1+Inputs!$B$12))*(1-H900)</x:f>
        <x:v>0</x:v>
      </x:c>
      <x:c r="L900" s="50" t="n">
        <x:f>L899*(1+Inputs!$B$13)+Q900</x:f>
        <x:v>65725.91678347909</x:v>
      </x:c>
      <x:c r="M900" s="50" t="n">
        <x:f>I900+J900+L900</x:f>
        <x:v>2087234.1895971498</x:v>
      </x:c>
      <x:c r="N900" s="50" t="n">
        <x:f>F900+P900</x:f>
        <x:v>600</x:v>
      </x:c>
      <x:c r="O900" s="50" t="n">
        <x:f>IF(B900=1,0,O899+F899+P899)</x:f>
        <x:v>3657.142857142857</x:v>
      </x:c>
      <x:c r="P900" s="50" t="n">
        <x:f>MIN(G900,MAX(0,Inputs!$B$20-O900-F900))</x:f>
        <x:v>0</x:v>
      </x:c>
      <x:c r="Q900" s="50" t="n">
        <x:f>(C900-E900-F900)+(G900-P900)</x:f>
        <x:v>0</x:v>
      </x:c>
    </x:row>
    <x:row r="901">
      <x:c r="A901" s="41" t="n">
        <x:f>IF(B901=1,A900+1,A900)</x:f>
        <x:v>2061</x:v>
      </x:c>
      <x:c r="B901" s="41" t="n">
        <x:f>IF(B900=26,1,B900+1)</x:f>
        <x:v>16</x:v>
      </x:c>
      <x:c r="C901" s="48" t="n">
        <x:f>Inputs!$F$37</x:f>
        <x:v>600</x:v>
      </x:c>
      <x:c r="D901" s="50" t="n">
        <x:f>IF(B901=1,0,D900+E900)</x:f>
        <x:v>8000</x:v>
      </x:c>
      <x:c r="E901" s="50" t="n">
        <x:f>MIN(C901,MAX(0,Inputs!$B$7-D901))</x:f>
        <x:v>0</x:v>
      </x:c>
      <x:c r="F901" s="50" t="n">
        <x:f>MIN(C901-E901,MAX(0,Inputs!$B$20-O901))</x:f>
        <x:v>600</x:v>
      </x:c>
      <x:c r="G901" s="50" t="n">
        <x:f>0</x:f>
        <x:v>0</x:v>
      </x:c>
      <x:c r="H901" s="41" t="n">
        <x:f>0</x:f>
        <x:v>0</x:v>
      </x:c>
      <x:c r="I901" s="50" t="n">
        <x:f>(I900*(1+Inputs!$B$12))+E901</x:f>
        <x:v>924501.9663342073</x:v>
      </x:c>
      <x:c r="J901" s="50" t="n">
        <x:f>(J900*(1+Inputs!$B$12))+F901+P901</x:f>
        <x:v>1101403.3187855054</x:v>
      </x:c>
      <x:c r="K901" s="50" t="n">
        <x:f>(K900*(1+Inputs!$B$12))*(1-H901)</x:f>
        <x:v>0</x:v>
      </x:c>
      <x:c r="L901" s="50" t="n">
        <x:f>L900*(1+Inputs!$B$13)+Q901</x:f>
        <x:v>65840.91442024117</x:v>
      </x:c>
      <x:c r="M901" s="50" t="n">
        <x:f>I901+J901+L901</x:f>
        <x:v>2091746.199539954</x:v>
      </x:c>
      <x:c r="N901" s="50" t="n">
        <x:f>F901+P901</x:f>
        <x:v>600</x:v>
      </x:c>
      <x:c r="O901" s="50" t="n">
        <x:f>IF(B901=1,0,O900+F900+P900)</x:f>
        <x:v>4257.142857142857</x:v>
      </x:c>
      <x:c r="P901" s="50" t="n">
        <x:f>MIN(G901,MAX(0,Inputs!$B$20-O901-F901))</x:f>
        <x:v>0</x:v>
      </x:c>
      <x:c r="Q901" s="50" t="n">
        <x:f>(C901-E901-F901)+(G901-P901)</x:f>
        <x:v>0</x:v>
      </x:c>
    </x:row>
    <x:row r="902">
      <x:c r="A902" s="41" t="n">
        <x:f>IF(B902=1,A901+1,A901)</x:f>
        <x:v>2061</x:v>
      </x:c>
      <x:c r="B902" s="41" t="n">
        <x:f>IF(B901=26,1,B901+1)</x:f>
        <x:v>17</x:v>
      </x:c>
      <x:c r="C902" s="48" t="n">
        <x:f>Inputs!$F$37</x:f>
        <x:v>600</x:v>
      </x:c>
      <x:c r="D902" s="50" t="n">
        <x:f>IF(B902=1,0,D901+E901)</x:f>
        <x:v>8000</x:v>
      </x:c>
      <x:c r="E902" s="50" t="n">
        <x:f>MIN(C902,MAX(0,Inputs!$B$7-D902))</x:f>
        <x:v>0</x:v>
      </x:c>
      <x:c r="F902" s="50" t="n">
        <x:f>MIN(C902-E902,MAX(0,Inputs!$B$20-O902))</x:f>
        <x:v>600</x:v>
      </x:c>
      <x:c r="G902" s="50" t="n">
        <x:f>0</x:f>
        <x:v>0</x:v>
      </x:c>
      <x:c r="H902" s="41" t="n">
        <x:f>0</x:f>
        <x:v>0</x:v>
      </x:c>
      <x:c r="I902" s="50" t="n">
        <x:f>(I901*(1+Inputs!$B$12))+E902</x:f>
        <x:v>926238.464467972</x:v>
      </x:c>
      <x:c r="J902" s="50" t="n">
        <x:f>(J901*(1+Inputs!$B$12))+F902+P902</x:f>
        <x:v>1104072.0918949635</x:v>
      </x:c>
      <x:c r="K902" s="50" t="n">
        <x:f>(K901*(1+Inputs!$B$12))*(1-H902)</x:f>
        <x:v>0</x:v>
      </x:c>
      <x:c r="L902" s="50" t="n">
        <x:f>L901*(1+Inputs!$B$13)+Q902</x:f>
        <x:v>65956.11326311962</x:v>
      </x:c>
      <x:c r="M902" s="50" t="n">
        <x:f>I902+J902+L902</x:f>
        <x:v>2096266.6696260553</x:v>
      </x:c>
      <x:c r="N902" s="50" t="n">
        <x:f>F902+P902</x:f>
        <x:v>600</x:v>
      </x:c>
      <x:c r="O902" s="50" t="n">
        <x:f>IF(B902=1,0,O901+F901+P901)</x:f>
        <x:v>4857.142857142857</x:v>
      </x:c>
      <x:c r="P902" s="50" t="n">
        <x:f>MIN(G902,MAX(0,Inputs!$B$20-O902-F902))</x:f>
        <x:v>0</x:v>
      </x:c>
      <x:c r="Q902" s="50" t="n">
        <x:f>(C902-E902-F902)+(G902-P902)</x:f>
        <x:v>0</x:v>
      </x:c>
    </x:row>
    <x:row r="903">
      <x:c r="A903" s="41" t="n">
        <x:f>IF(B903=1,A902+1,A902)</x:f>
        <x:v>2061</x:v>
      </x:c>
      <x:c r="B903" s="41" t="n">
        <x:f>IF(B902=26,1,B902+1)</x:f>
        <x:v>18</x:v>
      </x:c>
      <x:c r="C903" s="48" t="n">
        <x:f>Inputs!$F$37</x:f>
        <x:v>600</x:v>
      </x:c>
      <x:c r="D903" s="50" t="n">
        <x:f>IF(B903=1,0,D902+E902)</x:f>
        <x:v>8000</x:v>
      </x:c>
      <x:c r="E903" s="50" t="n">
        <x:f>MIN(C903,MAX(0,Inputs!$B$7-D903))</x:f>
        <x:v>0</x:v>
      </x:c>
      <x:c r="F903" s="50" t="n">
        <x:f>MIN(C903-E903,MAX(0,Inputs!$B$20-O903))</x:f>
        <x:v>600</x:v>
      </x:c>
      <x:c r="G903" s="50" t="n">
        <x:f>0</x:f>
        <x:v>0</x:v>
      </x:c>
      <x:c r="H903" s="41" t="n">
        <x:f>0</x:f>
        <x:v>0</x:v>
      </x:c>
      <x:c r="I903" s="50" t="n">
        <x:f>(I902*(1+Inputs!$B$12))+E903</x:f>
        <x:v>927978.2242776211</x:v>
      </x:c>
      <x:c r="J903" s="50" t="n">
        <x:f>(J902*(1+Inputs!$B$12))+F903+P903</x:f>
        <x:v>1106745.8777785343</x:v>
      </x:c>
      <x:c r="K903" s="50" t="n">
        <x:f>(K902*(1+Inputs!$B$12))*(1-H903)</x:f>
        <x:v>0</x:v>
      </x:c>
      <x:c r="L903" s="50" t="n">
        <x:f>L902*(1+Inputs!$B$13)+Q903</x:f>
        <x:v>66071.5136641556</x:v>
      </x:c>
      <x:c r="M903" s="50" t="n">
        <x:f>I903+J903+L903</x:f>
        <x:v>2100795.615720311</x:v>
      </x:c>
      <x:c r="N903" s="50" t="n">
        <x:f>F903+P903</x:f>
        <x:v>600</x:v>
      </x:c>
      <x:c r="O903" s="50" t="n">
        <x:f>IF(B903=1,0,O902+F902+P902)</x:f>
        <x:v>5457.142857142857</x:v>
      </x:c>
      <x:c r="P903" s="50" t="n">
        <x:f>MIN(G903,MAX(0,Inputs!$B$20-O903-F903))</x:f>
        <x:v>0</x:v>
      </x:c>
      <x:c r="Q903" s="50" t="n">
        <x:f>(C903-E903-F903)+(G903-P903)</x:f>
        <x:v>0</x:v>
      </x:c>
    </x:row>
    <x:row r="904">
      <x:c r="A904" s="41" t="n">
        <x:f>IF(B904=1,A903+1,A903)</x:f>
        <x:v>2061</x:v>
      </x:c>
      <x:c r="B904" s="41" t="n">
        <x:f>IF(B903=26,1,B903+1)</x:f>
        <x:v>19</x:v>
      </x:c>
      <x:c r="C904" s="48" t="n">
        <x:f>Inputs!$F$37</x:f>
        <x:v>600</x:v>
      </x:c>
      <x:c r="D904" s="50" t="n">
        <x:f>IF(B904=1,0,D903+E903)</x:f>
        <x:v>8000</x:v>
      </x:c>
      <x:c r="E904" s="50" t="n">
        <x:f>MIN(C904,MAX(0,Inputs!$B$7-D904))</x:f>
        <x:v>0</x:v>
      </x:c>
      <x:c r="F904" s="50" t="n">
        <x:f>MIN(C904-E904,MAX(0,Inputs!$B$20-O904))</x:f>
        <x:v>600</x:v>
      </x:c>
      <x:c r="G904" s="50" t="n">
        <x:f>0</x:f>
        <x:v>0</x:v>
      </x:c>
      <x:c r="H904" s="41" t="n">
        <x:f>0</x:f>
        <x:v>0</x:v>
      </x:c>
      <x:c r="I904" s="50" t="n">
        <x:f>(I903*(1+Inputs!$B$12))+E904</x:f>
        <x:v>929721.2518895818</x:v>
      </x:c>
      <x:c r="J904" s="50" t="n">
        <x:f>(J903*(1+Inputs!$B$12))+F904+P904</x:f>
        <x:v>1109424.6858517446</x:v>
      </x:c>
      <x:c r="K904" s="50" t="n">
        <x:f>(K903*(1+Inputs!$B$12))*(1-H904)</x:f>
        <x:v>0</x:v>
      </x:c>
      <x:c r="L904" s="50" t="n">
        <x:f>L903*(1+Inputs!$B$13)+Q904</x:f>
        <x:v>66187.11597600623</x:v>
      </x:c>
      <x:c r="M904" s="50" t="n">
        <x:f>I904+J904+L904</x:f>
        <x:v>2105333.0537173324</x:v>
      </x:c>
      <x:c r="N904" s="50" t="n">
        <x:f>F904+P904</x:f>
        <x:v>600</x:v>
      </x:c>
      <x:c r="O904" s="50" t="n">
        <x:f>IF(B904=1,0,O903+F903+P903)</x:f>
        <x:v>6057.142857142857</x:v>
      </x:c>
      <x:c r="P904" s="50" t="n">
        <x:f>MIN(G904,MAX(0,Inputs!$B$20-O904-F904))</x:f>
        <x:v>0</x:v>
      </x:c>
      <x:c r="Q904" s="50" t="n">
        <x:f>(C904-E904-F904)+(G904-P904)</x:f>
        <x:v>0</x:v>
      </x:c>
    </x:row>
    <x:row r="905">
      <x:c r="A905" s="41" t="n">
        <x:f>IF(B905=1,A904+1,A904)</x:f>
        <x:v>2061</x:v>
      </x:c>
      <x:c r="B905" s="41" t="n">
        <x:f>IF(B904=26,1,B904+1)</x:f>
        <x:v>20</x:v>
      </x:c>
      <x:c r="C905" s="48" t="n">
        <x:f>Inputs!$F$37</x:f>
        <x:v>600</x:v>
      </x:c>
      <x:c r="D905" s="50" t="n">
        <x:f>IF(B905=1,0,D904+E904)</x:f>
        <x:v>8000</x:v>
      </x:c>
      <x:c r="E905" s="50" t="n">
        <x:f>MIN(C905,MAX(0,Inputs!$B$7-D905))</x:f>
        <x:v>0</x:v>
      </x:c>
      <x:c r="F905" s="50" t="n">
        <x:f>MIN(C905-E905,MAX(0,Inputs!$B$20-O905))</x:f>
        <x:v>600</x:v>
      </x:c>
      <x:c r="G905" s="50" t="n">
        <x:f>0</x:f>
        <x:v>0</x:v>
      </x:c>
      <x:c r="H905" s="41" t="n">
        <x:f>0</x:f>
        <x:v>0</x:v>
      </x:c>
      <x:c r="I905" s="50" t="n">
        <x:f>(I904*(1+Inputs!$B$12))+E905</x:f>
        <x:v>931467.5534417887</x:v>
      </x:c>
      <x:c r="J905" s="50" t="n">
        <x:f>(J904*(1+Inputs!$B$12))+F905+P905</x:f>
        <x:v>1112108.5255478062</x:v>
      </x:c>
      <x:c r="K905" s="50" t="n">
        <x:f>(K904*(1+Inputs!$B$12))*(1-H905)</x:f>
        <x:v>0</x:v>
      </x:c>
      <x:c r="L905" s="50" t="n">
        <x:f>L904*(1+Inputs!$B$13)+Q905</x:f>
        <x:v>66302.92055194563</x:v>
      </x:c>
      <x:c r="M905" s="50" t="n">
        <x:f>I905+J905+L905</x:f>
        <x:v>2109878.99954154</x:v>
      </x:c>
      <x:c r="N905" s="50" t="n">
        <x:f>F905+P905</x:f>
        <x:v>600</x:v>
      </x:c>
      <x:c r="O905" s="50" t="n">
        <x:f>IF(B905=1,0,O904+F904+P904)</x:f>
        <x:v>6657.142857142857</x:v>
      </x:c>
      <x:c r="P905" s="50" t="n">
        <x:f>MIN(G905,MAX(0,Inputs!$B$20-O905-F905))</x:f>
        <x:v>0</x:v>
      </x:c>
      <x:c r="Q905" s="50" t="n">
        <x:f>(C905-E905-F905)+(G905-P905)</x:f>
        <x:v>0</x:v>
      </x:c>
    </x:row>
    <x:row r="906">
      <x:c r="A906" s="41" t="n">
        <x:f>IF(B906=1,A905+1,A905)</x:f>
        <x:v>2061</x:v>
      </x:c>
      <x:c r="B906" s="41" t="n">
        <x:f>IF(B905=26,1,B905+1)</x:f>
        <x:v>21</x:v>
      </x:c>
      <x:c r="C906" s="48" t="n">
        <x:f>Inputs!$F$37</x:f>
        <x:v>600</x:v>
      </x:c>
      <x:c r="D906" s="50" t="n">
        <x:f>IF(B906=1,0,D905+E905)</x:f>
        <x:v>8000</x:v>
      </x:c>
      <x:c r="E906" s="50" t="n">
        <x:f>MIN(C906,MAX(0,Inputs!$B$7-D906))</x:f>
        <x:v>0</x:v>
      </x:c>
      <x:c r="F906" s="50" t="n">
        <x:f>MIN(C906-E906,MAX(0,Inputs!$B$20-O906))</x:f>
        <x:v>600</x:v>
      </x:c>
      <x:c r="G906" s="50" t="n">
        <x:f>0</x:f>
        <x:v>0</x:v>
      </x:c>
      <x:c r="H906" s="41" t="n">
        <x:f>0</x:f>
        <x:v>0</x:v>
      </x:c>
      <x:c r="I906" s="50" t="n">
        <x:f>(I905*(1+Inputs!$B$12))+E906</x:f>
        <x:v>933217.1350837052</x:v>
      </x:c>
      <x:c r="J906" s="50" t="n">
        <x:f>(J905*(1+Inputs!$B$12))+F906+P906</x:f>
        <x:v>1114797.4063176492</x:v>
      </x:c>
      <x:c r="K906" s="50" t="n">
        <x:f>(K905*(1+Inputs!$B$12))*(1-H906)</x:f>
        <x:v>0</x:v>
      </x:c>
      <x:c r="L906" s="50" t="n">
        <x:f>L905*(1+Inputs!$B$13)+Q906</x:f>
        <x:v>66418.92774586605</x:v>
      </x:c>
      <x:c r="M906" s="50" t="n">
        <x:f>I906+J906+L906</x:f>
        <x:v>2114433.4691472203</x:v>
      </x:c>
      <x:c r="N906" s="50" t="n">
        <x:f>F906+P906</x:f>
        <x:v>600</x:v>
      </x:c>
      <x:c r="O906" s="50" t="n">
        <x:f>IF(B906=1,0,O905+F905+P905)</x:f>
        <x:v>7257.142857142857</x:v>
      </x:c>
      <x:c r="P906" s="50" t="n">
        <x:f>MIN(G906,MAX(0,Inputs!$B$20-O906-F906))</x:f>
        <x:v>0</x:v>
      </x:c>
      <x:c r="Q906" s="50" t="n">
        <x:f>(C906-E906-F906)+(G906-P906)</x:f>
        <x:v>0</x:v>
      </x:c>
    </x:row>
    <x:row r="907">
      <x:c r="A907" s="41" t="n">
        <x:f>IF(B907=1,A906+1,A906)</x:f>
        <x:v>2061</x:v>
      </x:c>
      <x:c r="B907" s="41" t="n">
        <x:f>IF(B906=26,1,B906+1)</x:f>
        <x:v>22</x:v>
      </x:c>
      <x:c r="C907" s="48" t="n">
        <x:f>Inputs!$F$37</x:f>
        <x:v>600</x:v>
      </x:c>
      <x:c r="D907" s="50" t="n">
        <x:f>IF(B907=1,0,D906+E906)</x:f>
        <x:v>8000</x:v>
      </x:c>
      <x:c r="E907" s="50" t="n">
        <x:f>MIN(C907,MAX(0,Inputs!$B$7-D907))</x:f>
        <x:v>0</x:v>
      </x:c>
      <x:c r="F907" s="50" t="n">
        <x:f>MIN(C907-E907,MAX(0,Inputs!$B$20-O907))</x:f>
        <x:v>600</x:v>
      </x:c>
      <x:c r="G907" s="50" t="n">
        <x:f>0</x:f>
        <x:v>0</x:v>
      </x:c>
      <x:c r="H907" s="41" t="n">
        <x:f>0</x:f>
        <x:v>0</x:v>
      </x:c>
      <x:c r="I907" s="50" t="n">
        <x:f>(I906*(1+Inputs!$B$12))+E907</x:f>
        <x:v>934970.0029763456</x:v>
      </x:c>
      <x:c r="J907" s="50" t="n">
        <x:f>(J906*(1+Inputs!$B$12))+F907+P907</x:f>
        <x:v>1117491.337629956</x:v>
      </x:c>
      <x:c r="K907" s="50" t="n">
        <x:f>(K906*(1+Inputs!$B$12))*(1-H907)</x:f>
        <x:v>0</x:v>
      </x:c>
      <x:c r="L907" s="50" t="n">
        <x:f>L906*(1+Inputs!$B$13)+Q907</x:f>
        <x:v>66535.13791227892</x:v>
      </x:c>
      <x:c r="M907" s="50" t="n">
        <x:f>I907+J907+L907</x:f>
        <x:v>2118996.4785185806</x:v>
      </x:c>
      <x:c r="N907" s="50" t="n">
        <x:f>F907+P907</x:f>
        <x:v>600</x:v>
      </x:c>
      <x:c r="O907" s="50" t="n">
        <x:f>IF(B907=1,0,O906+F906+P906)</x:f>
        <x:v>7857.142857142857</x:v>
      </x:c>
      <x:c r="P907" s="50" t="n">
        <x:f>MIN(G907,MAX(0,Inputs!$B$20-O907-F907))</x:f>
        <x:v>0</x:v>
      </x:c>
      <x:c r="Q907" s="50" t="n">
        <x:f>(C907-E907-F907)+(G907-P907)</x:f>
        <x:v>0</x:v>
      </x:c>
    </x:row>
    <x:row r="908">
      <x:c r="A908" s="41" t="n">
        <x:f>IF(B908=1,A907+1,A907)</x:f>
        <x:v>2061</x:v>
      </x:c>
      <x:c r="B908" s="41" t="n">
        <x:f>IF(B907=26,1,B907+1)</x:f>
        <x:v>23</x:v>
      </x:c>
      <x:c r="C908" s="48" t="n">
        <x:f>Inputs!$F$37</x:f>
        <x:v>600</x:v>
      </x:c>
      <x:c r="D908" s="50" t="n">
        <x:f>IF(B908=1,0,D907+E907)</x:f>
        <x:v>8000</x:v>
      </x:c>
      <x:c r="E908" s="50" t="n">
        <x:f>MIN(C908,MAX(0,Inputs!$B$7-D908))</x:f>
        <x:v>0</x:v>
      </x:c>
      <x:c r="F908" s="50" t="n">
        <x:f>MIN(C908-E908,MAX(0,Inputs!$B$20-O908))</x:f>
        <x:v>600</x:v>
      </x:c>
      <x:c r="G908" s="50" t="n">
        <x:f>0</x:f>
        <x:v>0</x:v>
      </x:c>
      <x:c r="H908" s="41" t="n">
        <x:f>0</x:f>
        <x:v>0</x:v>
      </x:c>
      <x:c r="I908" s="50" t="n">
        <x:f>(I907*(1+Inputs!$B$12))+E908</x:f>
        <x:v>936726.1632922962</x:v>
      </x:c>
      <x:c r="J908" s="50" t="n">
        <x:f>(J907*(1+Inputs!$B$12))+F908+P908</x:f>
        <x:v>1120190.3289711936</x:v>
      </x:c>
      <x:c r="K908" s="50" t="n">
        <x:f>(K907*(1+Inputs!$B$12))*(1-H908)</x:f>
        <x:v>0</x:v>
      </x:c>
      <x:c r="L908" s="50" t="n">
        <x:f>L907*(1+Inputs!$B$13)+Q908</x:f>
        <x:v>66651.55140631595</x:v>
      </x:c>
      <x:c r="M908" s="50" t="n">
        <x:f>I908+J908+L908</x:f>
        <x:v>2123568.043669806</x:v>
      </x:c>
      <x:c r="N908" s="50" t="n">
        <x:f>F908+P908</x:f>
        <x:v>600</x:v>
      </x:c>
      <x:c r="O908" s="50" t="n">
        <x:f>IF(B908=1,0,O907+F907+P907)</x:f>
        <x:v>8457.142857142857</x:v>
      </x:c>
      <x:c r="P908" s="50" t="n">
        <x:f>MIN(G908,MAX(0,Inputs!$B$20-O908-F908))</x:f>
        <x:v>0</x:v>
      </x:c>
      <x:c r="Q908" s="50" t="n">
        <x:f>(C908-E908-F908)+(G908-P908)</x:f>
        <x:v>0</x:v>
      </x:c>
    </x:row>
    <x:row r="909">
      <x:c r="A909" s="41" t="n">
        <x:f>IF(B909=1,A908+1,A908)</x:f>
        <x:v>2061</x:v>
      </x:c>
      <x:c r="B909" s="41" t="n">
        <x:f>IF(B908=26,1,B908+1)</x:f>
        <x:v>24</x:v>
      </x:c>
      <x:c r="C909" s="48" t="n">
        <x:f>Inputs!$F$37</x:f>
        <x:v>600</x:v>
      </x:c>
      <x:c r="D909" s="50" t="n">
        <x:f>IF(B909=1,0,D908+E908)</x:f>
        <x:v>8000</x:v>
      </x:c>
      <x:c r="E909" s="50" t="n">
        <x:f>MIN(C909,MAX(0,Inputs!$B$7-D909))</x:f>
        <x:v>0</x:v>
      </x:c>
      <x:c r="F909" s="50" t="n">
        <x:f>MIN(C909-E909,MAX(0,Inputs!$B$20-O909))</x:f>
        <x:v>600</x:v>
      </x:c>
      <x:c r="G909" s="50" t="n">
        <x:f>0</x:f>
        <x:v>0</x:v>
      </x:c>
      <x:c r="H909" s="41" t="n">
        <x:f>0</x:f>
        <x:v>0</x:v>
      </x:c>
      <x:c r="I909" s="50" t="n">
        <x:f>(I908*(1+Inputs!$B$12))+E909</x:f>
        <x:v>938485.6222157375</x:v>
      </x:c>
      <x:c r="J909" s="50" t="n">
        <x:f>(J908*(1+Inputs!$B$12))+F909+P909</x:f>
        <x:v>1122894.3898456478</x:v>
      </x:c>
      <x:c r="K909" s="50" t="n">
        <x:f>(K908*(1+Inputs!$B$12))*(1-H909)</x:f>
        <x:v>0</x:v>
      </x:c>
      <x:c r="L909" s="50" t="n">
        <x:f>L908*(1+Inputs!$B$13)+Q909</x:f>
        <x:v>66768.16858373019</x:v>
      </x:c>
      <x:c r="M909" s="50" t="n">
        <x:f>I909+J909+L909</x:f>
        <x:v>2128148.1806451157</x:v>
      </x:c>
      <x:c r="N909" s="50" t="n">
        <x:f>F909+P909</x:f>
        <x:v>600</x:v>
      </x:c>
      <x:c r="O909" s="50" t="n">
        <x:f>IF(B909=1,0,O908+F908+P908)</x:f>
        <x:v>9057.142857142857</x:v>
      </x:c>
      <x:c r="P909" s="50" t="n">
        <x:f>MIN(G909,MAX(0,Inputs!$B$20-O909-F909))</x:f>
        <x:v>0</x:v>
      </x:c>
      <x:c r="Q909" s="50" t="n">
        <x:f>(C909-E909-F909)+(G909-P909)</x:f>
        <x:v>0</x:v>
      </x:c>
    </x:row>
    <x:row r="910">
      <x:c r="A910" s="41" t="n">
        <x:f>IF(B910=1,A909+1,A909)</x:f>
        <x:v>2061</x:v>
      </x:c>
      <x:c r="B910" s="41" t="n">
        <x:f>IF(B909=26,1,B909+1)</x:f>
        <x:v>25</x:v>
      </x:c>
      <x:c r="C910" s="48" t="n">
        <x:f>Inputs!$F$37</x:f>
        <x:v>600</x:v>
      </x:c>
      <x:c r="D910" s="50" t="n">
        <x:f>IF(B910=1,0,D909+E909)</x:f>
        <x:v>8000</x:v>
      </x:c>
      <x:c r="E910" s="50" t="n">
        <x:f>MIN(C910,MAX(0,Inputs!$B$7-D910))</x:f>
        <x:v>0</x:v>
      </x:c>
      <x:c r="F910" s="50" t="n">
        <x:f>MIN(C910-E910,MAX(0,Inputs!$B$20-O910))</x:f>
        <x:v>600</x:v>
      </x:c>
      <x:c r="G910" s="50" t="n">
        <x:f>0</x:f>
        <x:v>0</x:v>
      </x:c>
      <x:c r="H910" s="41" t="n">
        <x:f>0</x:f>
        <x:v>0</x:v>
      </x:c>
      <x:c r="I910" s="50" t="n">
        <x:f>(I909*(1+Inputs!$B$12))+E910</x:f>
        <x:v>940248.3859424655</x:v>
      </x:c>
      <x:c r="J910" s="50" t="n">
        <x:f>(J909*(1+Inputs!$B$12))+F910+P910</x:f>
        <x:v>1125603.5297754563</x:v>
      </x:c>
      <x:c r="K910" s="50" t="n">
        <x:f>(K909*(1+Inputs!$B$12))*(1-H910)</x:f>
        <x:v>0</x:v>
      </x:c>
      <x:c r="L910" s="50" t="n">
        <x:f>L909*(1+Inputs!$B$13)+Q910</x:f>
        <x:v>66884.98980089716</x:v>
      </x:c>
      <x:c r="M910" s="50" t="n">
        <x:f>I910+J910+L910</x:f>
        <x:v>2132736.9055188186</x:v>
      </x:c>
      <x:c r="N910" s="50" t="n">
        <x:f>F910+P910</x:f>
        <x:v>600</x:v>
      </x:c>
      <x:c r="O910" s="50" t="n">
        <x:f>IF(B910=1,0,O909+F909+P909)</x:f>
        <x:v>9657.142857142857</x:v>
      </x:c>
      <x:c r="P910" s="50" t="n">
        <x:f>MIN(G910,MAX(0,Inputs!$B$20-O910-F910))</x:f>
        <x:v>0</x:v>
      </x:c>
      <x:c r="Q910" s="50" t="n">
        <x:f>(C910-E910-F910)+(G910-P910)</x:f>
        <x:v>0</x:v>
      </x:c>
    </x:row>
    <x:row r="911">
      <x:c r="A911" s="41" t="n">
        <x:f>IF(B911=1,A910+1,A910)</x:f>
        <x:v>2061</x:v>
      </x:c>
      <x:c r="B911" s="41" t="n">
        <x:f>IF(B910=26,1,B910+1)</x:f>
        <x:v>26</x:v>
      </x:c>
      <x:c r="C911" s="48" t="n">
        <x:f>Inputs!$F$37</x:f>
        <x:v>600</x:v>
      </x:c>
      <x:c r="D911" s="50" t="n">
        <x:f>IF(B911=1,0,D910+E910)</x:f>
        <x:v>8000</x:v>
      </x:c>
      <x:c r="E911" s="50" t="n">
        <x:f>MIN(C911,MAX(0,Inputs!$B$7-D911))</x:f>
        <x:v>0</x:v>
      </x:c>
      <x:c r="F911" s="50" t="n">
        <x:f>MIN(C911-E911,MAX(0,Inputs!$B$20-O911))</x:f>
        <x:v>600</x:v>
      </x:c>
      <x:c r="G911" s="50" t="n">
        <x:f>0</x:f>
        <x:v>0</x:v>
      </x:c>
      <x:c r="H911" s="41" t="n">
        <x:f>IF(A911=Inputs!$B$8,1,0)</x:f>
        <x:v>0</x:v>
      </x:c>
      <x:c r="I911" s="50" t="n">
        <x:f>(I910*(1+Inputs!$B$12))+E911</x:f>
        <x:v>942014.4606799141</x:v>
      </x:c>
      <x:c r="J911" s="50" t="n">
        <x:f>(J910*(1+Inputs!$B$12))+F911+P911</x:f>
        <x:v>1128317.758300642</x:v>
      </x:c>
      <x:c r="K911" s="50" t="n">
        <x:f>(K910*(1+Inputs!$B$12))*(1-H911)</x:f>
        <x:v>0</x:v>
      </x:c>
      <x:c r="L911" s="50" t="n">
        <x:f>L910*(1+Inputs!$B$13)+Q911</x:f>
        <x:v>67002.01541481592</x:v>
      </x:c>
      <x:c r="M911" s="50" t="n">
        <x:f>I911+J911+L911</x:f>
        <x:v>2137334.234395372</x:v>
      </x:c>
      <x:c r="N911" s="50" t="n">
        <x:f>F911+P911</x:f>
        <x:v>600</x:v>
      </x:c>
      <x:c r="O911" s="50" t="n">
        <x:f>IF(B911=1,0,O910+F910+P910)</x:f>
        <x:v>10257.142857142857</x:v>
      </x:c>
      <x:c r="P911" s="50" t="n">
        <x:f>MIN(G911,MAX(0,Inputs!$B$20-O911-F911))</x:f>
        <x:v>0</x:v>
      </x:c>
      <x:c r="Q911" s="50" t="n">
        <x:f>(C911-E911-F911)+(G911-P911)</x:f>
        <x:v>0</x:v>
      </x:c>
    </x:row>
    <x:row r="912">
      <x:c r="A912" s="41" t="n">
        <x:f>IF(B912=1,A911+1,A911)</x:f>
        <x:v>2062</x:v>
      </x:c>
      <x:c r="B912" s="41" t="n">
        <x:f>IF(B911=26,1,B911+1)</x:f>
        <x:v>1</x:v>
      </x:c>
      <x:c r="C912" s="48" t="n">
        <x:f>Inputs!$F$38</x:f>
        <x:v>600</x:v>
      </x:c>
      <x:c r="D912" s="50" t="n">
        <x:f>IF(B912=1,0,D911+E911)</x:f>
        <x:v>0</x:v>
      </x:c>
      <x:c r="E912" s="50" t="n">
        <x:f>MIN(C912,MAX(0,Inputs!$B$7-D912))</x:f>
        <x:v>600</x:v>
      </x:c>
      <x:c r="F912" s="50" t="n">
        <x:f>MIN(C912-E912,MAX(0,Inputs!$B$20-O912))</x:f>
        <x:v>0</x:v>
      </x:c>
      <x:c r="G912" s="50" t="n">
        <x:f>0</x:f>
        <x:v>0</x:v>
      </x:c>
      <x:c r="H912" s="41" t="n">
        <x:f>0</x:f>
        <x:v>0</x:v>
      </x:c>
      <x:c r="I912" s="50" t="n">
        <x:f>(I911*(1+Inputs!$B$12))+E912</x:f>
        <x:v>944383.8526471766</x:v>
      </x:c>
      <x:c r="J912" s="50" t="n">
        <x:f>(J911*(1+Inputs!$B$12))+F912+P912</x:f>
        <x:v>1130437.0849791474</x:v>
      </x:c>
      <x:c r="K912" s="50" t="n">
        <x:f>(K911*(1+Inputs!$B$12))*(1-H912)</x:f>
        <x:v>0</x:v>
      </x:c>
      <x:c r="L912" s="50" t="n">
        <x:f>L911*(1+Inputs!$B$13)+Q912</x:f>
        <x:v>67119.24578311012</x:v>
      </x:c>
      <x:c r="M912" s="50" t="n">
        <x:f>I912+J912+L912</x:f>
        <x:v>2141940.1834094343</x:v>
      </x:c>
      <x:c r="N912" s="50" t="n">
        <x:f>F912+P912</x:f>
        <x:v>0</x:v>
      </x:c>
      <x:c r="O912" s="50" t="n">
        <x:f>IF(B912=1,0,O911+F911+P911)</x:f>
        <x:v>0</x:v>
      </x:c>
      <x:c r="P912" s="50" t="n">
        <x:f>MIN(G912,MAX(0,Inputs!$B$20-O912-F912))</x:f>
        <x:v>0</x:v>
      </x:c>
      <x:c r="Q912" s="50" t="n">
        <x:f>(C912-E912-F912)+(G912-P912)</x:f>
        <x:v>0</x:v>
      </x:c>
    </x:row>
    <x:row r="913">
      <x:c r="A913" s="41" t="n">
        <x:f>IF(B913=1,A912+1,A912)</x:f>
        <x:v>2062</x:v>
      </x:c>
      <x:c r="B913" s="41" t="n">
        <x:f>IF(B912=26,1,B912+1)</x:f>
        <x:v>2</x:v>
      </x:c>
      <x:c r="C913" s="48" t="n">
        <x:f>Inputs!$F$38</x:f>
        <x:v>600</x:v>
      </x:c>
      <x:c r="D913" s="50" t="n">
        <x:f>IF(B913=1,0,D912+E912)</x:f>
        <x:v>600</x:v>
      </x:c>
      <x:c r="E913" s="50" t="n">
        <x:f>MIN(C913,MAX(0,Inputs!$B$7-D913))</x:f>
        <x:v>600</x:v>
      </x:c>
      <x:c r="F913" s="50" t="n">
        <x:f>MIN(C913-E913,MAX(0,Inputs!$B$20-O913))</x:f>
        <x:v>0</x:v>
      </x:c>
      <x:c r="G913" s="50" t="n">
        <x:f>0</x:f>
        <x:v>0</x:v>
      </x:c>
      <x:c r="H913" s="41" t="n">
        <x:f>0</x:f>
        <x:v>0</x:v>
      </x:c>
      <x:c r="I913" s="50" t="n">
        <x:f>(I912*(1+Inputs!$B$12))+E913</x:f>
        <x:v>946757.6950589801</x:v>
      </x:c>
      <x:c r="J913" s="50" t="n">
        <x:f>(J912*(1+Inputs!$B$12))+F913+P913</x:f>
        <x:v>1132560.3924029146</x:v>
      </x:c>
      <x:c r="K913" s="50" t="n">
        <x:f>(K912*(1+Inputs!$B$12))*(1-H913)</x:f>
        <x:v>0</x:v>
      </x:c>
      <x:c r="L913" s="50" t="n">
        <x:f>L912*(1+Inputs!$B$13)+Q913</x:f>
        <x:v>67236.68126402915</x:v>
      </x:c>
      <x:c r="M913" s="50" t="n">
        <x:f>I913+J913+L913</x:f>
        <x:v>2146554.768725924</x:v>
      </x:c>
      <x:c r="N913" s="50" t="n">
        <x:f>F913+P913</x:f>
        <x:v>0</x:v>
      </x:c>
      <x:c r="O913" s="50" t="n">
        <x:f>IF(B913=1,0,O912+F912+P912)</x:f>
        <x:v>0</x:v>
      </x:c>
      <x:c r="P913" s="50" t="n">
        <x:f>MIN(G913,MAX(0,Inputs!$B$20-O913-F913))</x:f>
        <x:v>0</x:v>
      </x:c>
      <x:c r="Q913" s="50" t="n">
        <x:f>(C913-E913-F913)+(G913-P913)</x:f>
        <x:v>0</x:v>
      </x:c>
    </x:row>
    <x:row r="914">
      <x:c r="A914" s="41" t="n">
        <x:f>IF(B914=1,A913+1,A913)</x:f>
        <x:v>2062</x:v>
      </x:c>
      <x:c r="B914" s="41" t="n">
        <x:f>IF(B913=26,1,B913+1)</x:f>
        <x:v>3</x:v>
      </x:c>
      <x:c r="C914" s="48" t="n">
        <x:f>Inputs!$F$38</x:f>
        <x:v>600</x:v>
      </x:c>
      <x:c r="D914" s="50" t="n">
        <x:f>IF(B914=1,0,D913+E913)</x:f>
        <x:v>1200</x:v>
      </x:c>
      <x:c r="E914" s="50" t="n">
        <x:f>MIN(C914,MAX(0,Inputs!$B$7-D914))</x:f>
        <x:v>600</x:v>
      </x:c>
      <x:c r="F914" s="50" t="n">
        <x:f>MIN(C914-E914,MAX(0,Inputs!$B$20-O914))</x:f>
        <x:v>0</x:v>
      </x:c>
      <x:c r="G914" s="50" t="n">
        <x:f>0</x:f>
        <x:v>0</x:v>
      </x:c>
      <x:c r="H914" s="41" t="n">
        <x:f>0</x:f>
        <x:v>0</x:v>
      </x:c>
      <x:c r="I914" s="50" t="n">
        <x:f>(I913*(1+Inputs!$B$12))+E914</x:f>
        <x:v>949135.9962746241</x:v>
      </x:c>
      <x:c r="J914" s="50" t="n">
        <x:f>(J913*(1+Inputs!$B$12))+F914+P914</x:f>
        <x:v>1134687.6880490037</x:v>
      </x:c>
      <x:c r="K914" s="50" t="n">
        <x:f>(K913*(1+Inputs!$B$12))*(1-H914)</x:f>
        <x:v>0</x:v>
      </x:c>
      <x:c r="L914" s="50" t="n">
        <x:f>L913*(1+Inputs!$B$13)+Q914</x:f>
        <x:v>67354.32221644919</x:v>
      </x:c>
      <x:c r="M914" s="50" t="n">
        <x:f>I914+J914+L914</x:f>
        <x:v>2151178.0065400773</x:v>
      </x:c>
      <x:c r="N914" s="50" t="n">
        <x:f>F914+P914</x:f>
        <x:v>0</x:v>
      </x:c>
      <x:c r="O914" s="50" t="n">
        <x:f>IF(B914=1,0,O913+F913+P913)</x:f>
        <x:v>0</x:v>
      </x:c>
      <x:c r="P914" s="50" t="n">
        <x:f>MIN(G914,MAX(0,Inputs!$B$20-O914-F914))</x:f>
        <x:v>0</x:v>
      </x:c>
      <x:c r="Q914" s="50" t="n">
        <x:f>(C914-E914-F914)+(G914-P914)</x:f>
        <x:v>0</x:v>
      </x:c>
    </x:row>
    <x:row r="915">
      <x:c r="A915" s="41" t="n">
        <x:f>IF(B915=1,A914+1,A914)</x:f>
        <x:v>2062</x:v>
      </x:c>
      <x:c r="B915" s="41" t="n">
        <x:f>IF(B914=26,1,B914+1)</x:f>
        <x:v>4</x:v>
      </x:c>
      <x:c r="C915" s="48" t="n">
        <x:f>Inputs!$F$38</x:f>
        <x:v>600</x:v>
      </x:c>
      <x:c r="D915" s="50" t="n">
        <x:f>IF(B915=1,0,D914+E914)</x:f>
        <x:v>1800</x:v>
      </x:c>
      <x:c r="E915" s="50" t="n">
        <x:f>MIN(C915,MAX(0,Inputs!$B$7-D915))</x:f>
        <x:v>600</x:v>
      </x:c>
      <x:c r="F915" s="50" t="n">
        <x:f>MIN(C915-E915,MAX(0,Inputs!$B$20-O915))</x:f>
        <x:v>0</x:v>
      </x:c>
      <x:c r="G915" s="50" t="n">
        <x:f>0</x:f>
        <x:v>0</x:v>
      </x:c>
      <x:c r="H915" s="41" t="n">
        <x:f>0</x:f>
        <x:v>0</x:v>
      </x:c>
      <x:c r="I915" s="50" t="n">
        <x:f>(I914*(1+Inputs!$B$12))+E915</x:f>
        <x:v>951518.7646691091</x:v>
      </x:c>
      <x:c r="J915" s="50" t="n">
        <x:f>(J914*(1+Inputs!$B$12))+F915+P915</x:f>
        <x:v>1136818.9794085189</x:v>
      </x:c>
      <x:c r="K915" s="50" t="n">
        <x:f>(K914*(1+Inputs!$B$12))*(1-H915)</x:f>
        <x:v>0</x:v>
      </x:c>
      <x:c r="L915" s="50" t="n">
        <x:f>L914*(1+Inputs!$B$13)+Q915</x:f>
        <x:v>67472.16899987437</x:v>
      </x:c>
      <x:c r="M915" s="50" t="n">
        <x:f>I915+J915+L915</x:f>
        <x:v>2155809.9130775025</x:v>
      </x:c>
      <x:c r="N915" s="50" t="n">
        <x:f>F915+P915</x:f>
        <x:v>0</x:v>
      </x:c>
      <x:c r="O915" s="50" t="n">
        <x:f>IF(B915=1,0,O914+F914+P914)</x:f>
        <x:v>0</x:v>
      </x:c>
      <x:c r="P915" s="50" t="n">
        <x:f>MIN(G915,MAX(0,Inputs!$B$20-O915-F915))</x:f>
        <x:v>0</x:v>
      </x:c>
      <x:c r="Q915" s="50" t="n">
        <x:f>(C915-E915-F915)+(G915-P915)</x:f>
        <x:v>0</x:v>
      </x:c>
    </x:row>
    <x:row r="916">
      <x:c r="A916" s="41" t="n">
        <x:f>IF(B916=1,A915+1,A915)</x:f>
        <x:v>2062</x:v>
      </x:c>
      <x:c r="B916" s="41" t="n">
        <x:f>IF(B915=26,1,B915+1)</x:f>
        <x:v>5</x:v>
      </x:c>
      <x:c r="C916" s="48" t="n">
        <x:f>Inputs!$F$38</x:f>
        <x:v>600</x:v>
      </x:c>
      <x:c r="D916" s="50" t="n">
        <x:f>IF(B916=1,0,D915+E915)</x:f>
        <x:v>2400</x:v>
      </x:c>
      <x:c r="E916" s="50" t="n">
        <x:f>MIN(C916,MAX(0,Inputs!$B$7-D916))</x:f>
        <x:v>600</x:v>
      </x:c>
      <x:c r="F916" s="50" t="n">
        <x:f>MIN(C916-E916,MAX(0,Inputs!$B$20-O916))</x:f>
        <x:v>0</x:v>
      </x:c>
      <x:c r="G916" s="50" t="n">
        <x:f>0</x:f>
        <x:v>0</x:v>
      </x:c>
      <x:c r="H916" s="41" t="n">
        <x:f>0</x:f>
        <x:v>0</x:v>
      </x:c>
      <x:c r="I916" s="50" t="n">
        <x:f>(I915*(1+Inputs!$B$12))+E916</x:f>
        <x:v>953906.0086331666</x:v>
      </x:c>
      <x:c r="J916" s="50" t="n">
        <x:f>(J915*(1+Inputs!$B$12))+F916+P916</x:f>
        <x:v>1138954.2739866353</x:v>
      </x:c>
      <x:c r="K916" s="50" t="n">
        <x:f>(K915*(1+Inputs!$B$12))*(1-H916)</x:f>
        <x:v>0</x:v>
      </x:c>
      <x:c r="L916" s="50" t="n">
        <x:f>L915*(1+Inputs!$B$13)+Q916</x:f>
        <x:v>67590.2219744378</x:v>
      </x:c>
      <x:c r="M916" s="50" t="n">
        <x:f>I916+J916+L916</x:f>
        <x:v>2160450.5045942394</x:v>
      </x:c>
      <x:c r="N916" s="50" t="n">
        <x:f>F916+P916</x:f>
        <x:v>0</x:v>
      </x:c>
      <x:c r="O916" s="50" t="n">
        <x:f>IF(B916=1,0,O915+F915+P915)</x:f>
        <x:v>0</x:v>
      </x:c>
      <x:c r="P916" s="50" t="n">
        <x:f>MIN(G916,MAX(0,Inputs!$B$20-O916-F916))</x:f>
        <x:v>0</x:v>
      </x:c>
      <x:c r="Q916" s="50" t="n">
        <x:f>(C916-E916-F916)+(G916-P916)</x:f>
        <x:v>0</x:v>
      </x:c>
    </x:row>
    <x:row r="917">
      <x:c r="A917" s="41" t="n">
        <x:f>IF(B917=1,A916+1,A916)</x:f>
        <x:v>2062</x:v>
      </x:c>
      <x:c r="B917" s="41" t="n">
        <x:f>IF(B916=26,1,B916+1)</x:f>
        <x:v>6</x:v>
      </x:c>
      <x:c r="C917" s="48" t="n">
        <x:f>Inputs!$F$38</x:f>
        <x:v>600</x:v>
      </x:c>
      <x:c r="D917" s="50" t="n">
        <x:f>IF(B917=1,0,D916+E916)</x:f>
        <x:v>3000</x:v>
      </x:c>
      <x:c r="E917" s="50" t="n">
        <x:f>MIN(C917,MAX(0,Inputs!$B$7-D917))</x:f>
        <x:v>600</x:v>
      </x:c>
      <x:c r="F917" s="50" t="n">
        <x:f>MIN(C917-E917,MAX(0,Inputs!$B$20-O917))</x:f>
        <x:v>0</x:v>
      </x:c>
      <x:c r="G917" s="50" t="n">
        <x:f>0</x:f>
        <x:v>0</x:v>
      </x:c>
      <x:c r="H917" s="41" t="n">
        <x:f>0</x:f>
        <x:v>0</x:v>
      </x:c>
      <x:c r="I917" s="50" t="n">
        <x:f>(I916*(1+Inputs!$B$12))+E917</x:f>
        <x:v>956297.7365732883</x:v>
      </x:c>
      <x:c r="J917" s="50" t="n">
        <x:f>(J916*(1+Inputs!$B$12))+F917+P917</x:f>
        <x:v>1141093.5793026243</x:v>
      </x:c>
      <x:c r="K917" s="50" t="n">
        <x:f>(K916*(1+Inputs!$B$12))*(1-H917)</x:f>
        <x:v>0</x:v>
      </x:c>
      <x:c r="L917" s="50" t="n">
        <x:f>L916*(1+Inputs!$B$13)+Q917</x:f>
        <x:v>67708.4815009027</x:v>
      </x:c>
      <x:c r="M917" s="50" t="n">
        <x:f>I917+J917+L917</x:f>
        <x:v>2165099.797376815</x:v>
      </x:c>
      <x:c r="N917" s="50" t="n">
        <x:f>F917+P917</x:f>
        <x:v>0</x:v>
      </x:c>
      <x:c r="O917" s="50" t="n">
        <x:f>IF(B917=1,0,O916+F916+P916)</x:f>
        <x:v>0</x:v>
      </x:c>
      <x:c r="P917" s="50" t="n">
        <x:f>MIN(G917,MAX(0,Inputs!$B$20-O917-F917))</x:f>
        <x:v>0</x:v>
      </x:c>
      <x:c r="Q917" s="50" t="n">
        <x:f>(C917-E917-F917)+(G917-P917)</x:f>
        <x:v>0</x:v>
      </x:c>
    </x:row>
    <x:row r="918">
      <x:c r="A918" s="41" t="n">
        <x:f>IF(B918=1,A917+1,A917)</x:f>
        <x:v>2062</x:v>
      </x:c>
      <x:c r="B918" s="41" t="n">
        <x:f>IF(B917=26,1,B917+1)</x:f>
        <x:v>7</x:v>
      </x:c>
      <x:c r="C918" s="48" t="n">
        <x:f>Inputs!$F$38</x:f>
        <x:v>600</x:v>
      </x:c>
      <x:c r="D918" s="50" t="n">
        <x:f>IF(B918=1,0,D917+E917)</x:f>
        <x:v>3600</x:v>
      </x:c>
      <x:c r="E918" s="50" t="n">
        <x:f>MIN(C918,MAX(0,Inputs!$B$7-D918))</x:f>
        <x:v>600</x:v>
      </x:c>
      <x:c r="F918" s="50" t="n">
        <x:f>MIN(C918-E918,MAX(0,Inputs!$B$20-O918))</x:f>
        <x:v>0</x:v>
      </x:c>
      <x:c r="G918" s="50" t="n">
        <x:f>0</x:f>
        <x:v>0</x:v>
      </x:c>
      <x:c r="H918" s="41" t="n">
        <x:f>0</x:f>
        <x:v>0</x:v>
      </x:c>
      <x:c r="I918" s="50" t="n">
        <x:f>(I917*(1+Inputs!$B$12))+E918</x:f>
        <x:v>958693.9569117562</x:v>
      </x:c>
      <x:c r="J918" s="50" t="n">
        <x:f>(J917*(1+Inputs!$B$12))+F918+P918</x:f>
        <x:v>1143236.9028898817</x:v>
      </x:c>
      <x:c r="K918" s="50" t="n">
        <x:f>(K917*(1+Inputs!$B$12))*(1-H918)</x:f>
        <x:v>0</x:v>
      </x:c>
      <x:c r="L918" s="50" t="n">
        <x:f>L917*(1+Inputs!$B$13)+Q918</x:f>
        <x:v>67826.9479406635</x:v>
      </x:c>
      <x:c r="M918" s="50" t="n">
        <x:f>I918+J918+L918</x:f>
        <x:v>2169757.8077423014</x:v>
      </x:c>
      <x:c r="N918" s="50" t="n">
        <x:f>F918+P918</x:f>
        <x:v>0</x:v>
      </x:c>
      <x:c r="O918" s="50" t="n">
        <x:f>IF(B918=1,0,O917+F917+P917)</x:f>
        <x:v>0</x:v>
      </x:c>
      <x:c r="P918" s="50" t="n">
        <x:f>MIN(G918,MAX(0,Inputs!$B$20-O918-F918))</x:f>
        <x:v>0</x:v>
      </x:c>
      <x:c r="Q918" s="50" t="n">
        <x:f>(C918-E918-F918)+(G918-P918)</x:f>
        <x:v>0</x:v>
      </x:c>
    </x:row>
    <x:row r="919">
      <x:c r="A919" s="41" t="n">
        <x:f>IF(B919=1,A918+1,A918)</x:f>
        <x:v>2062</x:v>
      </x:c>
      <x:c r="B919" s="41" t="n">
        <x:f>IF(B918=26,1,B918+1)</x:f>
        <x:v>8</x:v>
      </x:c>
      <x:c r="C919" s="48" t="n">
        <x:f>Inputs!$F$38</x:f>
        <x:v>600</x:v>
      </x:c>
      <x:c r="D919" s="50" t="n">
        <x:f>IF(B919=1,0,D918+E918)</x:f>
        <x:v>4200</x:v>
      </x:c>
      <x:c r="E919" s="50" t="n">
        <x:f>MIN(C919,MAX(0,Inputs!$B$7-D919))</x:f>
        <x:v>600</x:v>
      </x:c>
      <x:c r="F919" s="50" t="n">
        <x:f>MIN(C919-E919,MAX(0,Inputs!$B$20-O919))</x:f>
        <x:v>0</x:v>
      </x:c>
      <x:c r="G919" s="50" t="n">
        <x:f>0</x:f>
        <x:v>0</x:v>
      </x:c>
      <x:c r="H919" s="41" t="n">
        <x:f>0</x:f>
        <x:v>0</x:v>
      </x:c>
      <x:c r="I919" s="50" t="n">
        <x:f>(I918*(1+Inputs!$B$12))+E919</x:f>
        <x:v>961094.6780866715</x:v>
      </x:c>
      <x:c r="J919" s="50" t="n">
        <x:f>(J918*(1+Inputs!$B$12))+F919+P919</x:f>
        <x:v>1145384.2522959528</x:v>
      </x:c>
      <x:c r="K919" s="50" t="n">
        <x:f>(K918*(1+Inputs!$B$12))*(1-H919)</x:f>
        <x:v>0</x:v>
      </x:c>
      <x:c r="L919" s="50" t="n">
        <x:f>L918*(1+Inputs!$B$13)+Q919</x:f>
        <x:v>67945.62165574695</x:v>
      </x:c>
      <x:c r="M919" s="50" t="n">
        <x:f>I919+J919+L919</x:f>
        <x:v>2174424.552038371</x:v>
      </x:c>
      <x:c r="N919" s="50" t="n">
        <x:f>F919+P919</x:f>
        <x:v>0</x:v>
      </x:c>
      <x:c r="O919" s="50" t="n">
        <x:f>IF(B919=1,0,O918+F918+P918)</x:f>
        <x:v>0</x:v>
      </x:c>
      <x:c r="P919" s="50" t="n">
        <x:f>MIN(G919,MAX(0,Inputs!$B$20-O919-F919))</x:f>
        <x:v>0</x:v>
      </x:c>
      <x:c r="Q919" s="50" t="n">
        <x:f>(C919-E919-F919)+(G919-P919)</x:f>
        <x:v>0</x:v>
      </x:c>
    </x:row>
    <x:row r="920">
      <x:c r="A920" s="41" t="n">
        <x:f>IF(B920=1,A919+1,A919)</x:f>
        <x:v>2062</x:v>
      </x:c>
      <x:c r="B920" s="41" t="n">
        <x:f>IF(B919=26,1,B919+1)</x:f>
        <x:v>9</x:v>
      </x:c>
      <x:c r="C920" s="48" t="n">
        <x:f>Inputs!$F$38</x:f>
        <x:v>600</x:v>
      </x:c>
      <x:c r="D920" s="50" t="n">
        <x:f>IF(B920=1,0,D919+E919)</x:f>
        <x:v>4800</x:v>
      </x:c>
      <x:c r="E920" s="50" t="n">
        <x:f>MIN(C920,MAX(0,Inputs!$B$7-D920))</x:f>
        <x:v>600</x:v>
      </x:c>
      <x:c r="F920" s="50" t="n">
        <x:f>MIN(C920-E920,MAX(0,Inputs!$B$20-O920))</x:f>
        <x:v>0</x:v>
      </x:c>
      <x:c r="G920" s="50" t="n">
        <x:f>SUM(N886:N911)*Inputs!$B$6</x:f>
        <x:v>3257.142857142857</x:v>
      </x:c>
      <x:c r="H920" s="41" t="n">
        <x:f>0</x:f>
        <x:v>0</x:v>
      </x:c>
      <x:c r="I920" s="50" t="n">
        <x:f>(I919*(1+Inputs!$B$12))+E920</x:f>
        <x:v>963499.908551985</x:v>
      </x:c>
      <x:c r="J920" s="50" t="n">
        <x:f>(J919*(1+Inputs!$B$12))+F920+P920</x:f>
        <x:v>1150792.7779397024</x:v>
      </x:c>
      <x:c r="K920" s="50" t="n">
        <x:f>(K919*(1+Inputs!$B$12))*(1-H920)</x:f>
        <x:v>0</x:v>
      </x:c>
      <x:c r="L920" s="50" t="n">
        <x:f>L919*(1+Inputs!$B$13)+Q920</x:f>
        <x:v>68064.50300881323</x:v>
      </x:c>
      <x:c r="M920" s="50" t="n">
        <x:f>I920+J920+L920</x:f>
        <x:v>2182357.1895005004</x:v>
      </x:c>
      <x:c r="N920" s="50" t="n">
        <x:f>F920+P920</x:f>
        <x:v>3257.142857142857</x:v>
      </x:c>
      <x:c r="O920" s="50" t="n">
        <x:f>IF(B920=1,0,O919+F919+P919)</x:f>
        <x:v>0</x:v>
      </x:c>
      <x:c r="P920" s="50" t="n">
        <x:f>MIN(G920,MAX(0,Inputs!$B$20-O920-F920))</x:f>
        <x:v>3257.142857142857</x:v>
      </x:c>
      <x:c r="Q920" s="50" t="n">
        <x:f>(C920-E920-F920)+(G920-P920)</x:f>
        <x:v>0</x:v>
      </x:c>
    </x:row>
    <x:row r="921">
      <x:c r="A921" s="41" t="n">
        <x:f>IF(B921=1,A920+1,A920)</x:f>
        <x:v>2062</x:v>
      </x:c>
      <x:c r="B921" s="41" t="n">
        <x:f>IF(B920=26,1,B920+1)</x:f>
        <x:v>10</x:v>
      </x:c>
      <x:c r="C921" s="48" t="n">
        <x:f>Inputs!$F$38</x:f>
        <x:v>600</x:v>
      </x:c>
      <x:c r="D921" s="50" t="n">
        <x:f>IF(B921=1,0,D920+E920)</x:f>
        <x:v>5400</x:v>
      </x:c>
      <x:c r="E921" s="50" t="n">
        <x:f>MIN(C921,MAX(0,Inputs!$B$7-D921))</x:f>
        <x:v>600</x:v>
      </x:c>
      <x:c r="F921" s="50" t="n">
        <x:f>MIN(C921-E921,MAX(0,Inputs!$B$20-O921))</x:f>
        <x:v>0</x:v>
      </x:c>
      <x:c r="G921" s="50" t="n">
        <x:f>0</x:f>
        <x:v>0</x:v>
      </x:c>
      <x:c r="H921" s="41" t="n">
        <x:f>0</x:f>
        <x:v>0</x:v>
      </x:c>
      <x:c r="I921" s="50" t="n">
        <x:f>(I920*(1+Inputs!$B$12))+E921</x:f>
        <x:v>965909.6567775266</x:v>
      </x:c>
      <x:c r="J921" s="50" t="n">
        <x:f>(J920*(1+Inputs!$B$12))+F921+P921</x:f>
        <x:v>1152954.319595656</x:v>
      </x:c>
      <x:c r="K921" s="50" t="n">
        <x:f>(K920*(1+Inputs!$B$12))*(1-H921)</x:f>
        <x:v>0</x:v>
      </x:c>
      <x:c r="L921" s="50" t="n">
        <x:f>L920*(1+Inputs!$B$13)+Q921</x:f>
        <x:v>68183.59236315705</x:v>
      </x:c>
      <x:c r="M921" s="50" t="n">
        <x:f>I921+J921+L921</x:f>
        <x:v>2187047.5687363395</x:v>
      </x:c>
      <x:c r="N921" s="50" t="n">
        <x:f>F921+P921</x:f>
        <x:v>0</x:v>
      </x:c>
      <x:c r="O921" s="50" t="n">
        <x:f>IF(B921=1,0,O920+F920+P920)</x:f>
        <x:v>3257.142857142857</x:v>
      </x:c>
      <x:c r="P921" s="50" t="n">
        <x:f>MIN(G921,MAX(0,Inputs!$B$20-O921-F921))</x:f>
        <x:v>0</x:v>
      </x:c>
      <x:c r="Q921" s="50" t="n">
        <x:f>(C921-E921-F921)+(G921-P921)</x:f>
        <x:v>0</x:v>
      </x:c>
    </x:row>
    <x:row r="922">
      <x:c r="A922" s="41" t="n">
        <x:f>IF(B922=1,A921+1,A921)</x:f>
        <x:v>2062</x:v>
      </x:c>
      <x:c r="B922" s="41" t="n">
        <x:f>IF(B921=26,1,B921+1)</x:f>
        <x:v>11</x:v>
      </x:c>
      <x:c r="C922" s="48" t="n">
        <x:f>Inputs!$F$38</x:f>
        <x:v>600</x:v>
      </x:c>
      <x:c r="D922" s="50" t="n">
        <x:f>IF(B922=1,0,D921+E921)</x:f>
        <x:v>6000</x:v>
      </x:c>
      <x:c r="E922" s="50" t="n">
        <x:f>MIN(C922,MAX(0,Inputs!$B$7-D922))</x:f>
        <x:v>600</x:v>
      </x:c>
      <x:c r="F922" s="50" t="n">
        <x:f>MIN(C922-E922,MAX(0,Inputs!$B$20-O922))</x:f>
        <x:v>0</x:v>
      </x:c>
      <x:c r="G922" s="50" t="n">
        <x:f>0</x:f>
        <x:v>0</x:v>
      </x:c>
      <x:c r="H922" s="41" t="n">
        <x:f>0</x:f>
        <x:v>0</x:v>
      </x:c>
      <x:c r="I922" s="50" t="n">
        <x:f>(I921*(1+Inputs!$B$12))+E922</x:f>
        <x:v>968323.931249035</x:v>
      </x:c>
      <x:c r="J922" s="50" t="n">
        <x:f>(J921*(1+Inputs!$B$12))+F922+P922</x:f>
        <x:v>1155119.9212895415</x:v>
      </x:c>
      <x:c r="K922" s="50" t="n">
        <x:f>(K921*(1+Inputs!$B$12))*(1-H922)</x:f>
        <x:v>0</x:v>
      </x:c>
      <x:c r="L922" s="50" t="n">
        <x:f>L921*(1+Inputs!$B$13)+Q922</x:f>
        <x:v>68302.89008270873</x:v>
      </x:c>
      <x:c r="M922" s="50" t="n">
        <x:f>I922+J922+L922</x:f>
        <x:v>2191746.742621285</x:v>
      </x:c>
      <x:c r="N922" s="50" t="n">
        <x:f>F922+P922</x:f>
        <x:v>0</x:v>
      </x:c>
      <x:c r="O922" s="50" t="n">
        <x:f>IF(B922=1,0,O921+F921+P921)</x:f>
        <x:v>3257.142857142857</x:v>
      </x:c>
      <x:c r="P922" s="50" t="n">
        <x:f>MIN(G922,MAX(0,Inputs!$B$20-O922-F922))</x:f>
        <x:v>0</x:v>
      </x:c>
      <x:c r="Q922" s="50" t="n">
        <x:f>(C922-E922-F922)+(G922-P922)</x:f>
        <x:v>0</x:v>
      </x:c>
    </x:row>
    <x:row r="923">
      <x:c r="A923" s="41" t="n">
        <x:f>IF(B923=1,A922+1,A922)</x:f>
        <x:v>2062</x:v>
      </x:c>
      <x:c r="B923" s="41" t="n">
        <x:f>IF(B922=26,1,B922+1)</x:f>
        <x:v>12</x:v>
      </x:c>
      <x:c r="C923" s="48" t="n">
        <x:f>Inputs!$F$38</x:f>
        <x:v>600</x:v>
      </x:c>
      <x:c r="D923" s="50" t="n">
        <x:f>IF(B923=1,0,D922+E922)</x:f>
        <x:v>6600</x:v>
      </x:c>
      <x:c r="E923" s="50" t="n">
        <x:f>MIN(C923,MAX(0,Inputs!$B$7-D923))</x:f>
        <x:v>600</x:v>
      </x:c>
      <x:c r="F923" s="50" t="n">
        <x:f>MIN(C923-E923,MAX(0,Inputs!$B$20-O923))</x:f>
        <x:v>0</x:v>
      </x:c>
      <x:c r="G923" s="50" t="n">
        <x:f>0</x:f>
        <x:v>0</x:v>
      </x:c>
      <x:c r="H923" s="41" t="n">
        <x:f>0</x:f>
        <x:v>0</x:v>
      </x:c>
      <x:c r="I923" s="50" t="n">
        <x:f>(I922*(1+Inputs!$B$12))+E923</x:f>
        <x:v>970742.7404681881</x:v>
      </x:c>
      <x:c r="J923" s="50" t="n">
        <x:f>(J922*(1+Inputs!$B$12))+F923+P923</x:f>
        <x:v>1157289.5906473552</x:v>
      </x:c>
      <x:c r="K923" s="50" t="n">
        <x:f>(K922*(1+Inputs!$B$12))*(1-H923)</x:f>
        <x:v>0</x:v>
      </x:c>
      <x:c r="L923" s="50" t="n">
        <x:f>L922*(1+Inputs!$B$13)+Q923</x:f>
        <x:v>68422.39653203537</x:v>
      </x:c>
      <x:c r="M923" s="50" t="n">
        <x:f>I923+J923+L923</x:f>
        <x:v>2196454.727647579</x:v>
      </x:c>
      <x:c r="N923" s="50" t="n">
        <x:f>F923+P923</x:f>
        <x:v>0</x:v>
      </x:c>
      <x:c r="O923" s="50" t="n">
        <x:f>IF(B923=1,0,O922+F922+P922)</x:f>
        <x:v>3257.142857142857</x:v>
      </x:c>
      <x:c r="P923" s="50" t="n">
        <x:f>MIN(G923,MAX(0,Inputs!$B$20-O923-F923))</x:f>
        <x:v>0</x:v>
      </x:c>
      <x:c r="Q923" s="50" t="n">
        <x:f>(C923-E923-F923)+(G923-P923)</x:f>
        <x:v>0</x:v>
      </x:c>
    </x:row>
    <x:row r="924">
      <x:c r="A924" s="41" t="n">
        <x:f>IF(B924=1,A923+1,A923)</x:f>
        <x:v>2062</x:v>
      </x:c>
      <x:c r="B924" s="41" t="n">
        <x:f>IF(B923=26,1,B923+1)</x:f>
        <x:v>13</x:v>
      </x:c>
      <x:c r="C924" s="48" t="n">
        <x:f>Inputs!$F$38</x:f>
        <x:v>600</x:v>
      </x:c>
      <x:c r="D924" s="50" t="n">
        <x:f>IF(B924=1,0,D923+E923)</x:f>
        <x:v>7200</x:v>
      </x:c>
      <x:c r="E924" s="50" t="n">
        <x:f>MIN(C924,MAX(0,Inputs!$B$7-D924))</x:f>
        <x:v>600</x:v>
      </x:c>
      <x:c r="F924" s="50" t="n">
        <x:f>MIN(C924-E924,MAX(0,Inputs!$B$20-O924))</x:f>
        <x:v>0</x:v>
      </x:c>
      <x:c r="G924" s="50" t="n">
        <x:f>0</x:f>
        <x:v>0</x:v>
      </x:c>
      <x:c r="H924" s="41" t="n">
        <x:f>0</x:f>
        <x:v>0</x:v>
      </x:c>
      <x:c r="I924" s="50" t="n">
        <x:f>(I923*(1+Inputs!$B$12))+E924</x:f>
        <x:v>973166.0929526319</x:v>
      </x:c>
      <x:c r="J924" s="50" t="n">
        <x:f>(J923*(1+Inputs!$B$12))+F924+P924</x:f>
        <x:v>1159463.335309417</x:v>
      </x:c>
      <x:c r="K924" s="50" t="n">
        <x:f>(K923*(1+Inputs!$B$12))*(1-H924)</x:f>
        <x:v>0</x:v>
      </x:c>
      <x:c r="L924" s="50" t="n">
        <x:f>L923*(1+Inputs!$B$13)+Q924</x:f>
        <x:v>68542.11207634195</x:v>
      </x:c>
      <x:c r="M924" s="50" t="n">
        <x:f>I924+J924+L924</x:f>
        <x:v>2201171.540338391</x:v>
      </x:c>
      <x:c r="N924" s="50" t="n">
        <x:f>F924+P924</x:f>
        <x:v>0</x:v>
      </x:c>
      <x:c r="O924" s="50" t="n">
        <x:f>IF(B924=1,0,O923+F923+P923)</x:f>
        <x:v>3257.142857142857</x:v>
      </x:c>
      <x:c r="P924" s="50" t="n">
        <x:f>MIN(G924,MAX(0,Inputs!$B$20-O924-F924))</x:f>
        <x:v>0</x:v>
      </x:c>
      <x:c r="Q924" s="50" t="n">
        <x:f>(C924-E924-F924)+(G924-P924)</x:f>
        <x:v>0</x:v>
      </x:c>
    </x:row>
    <x:row r="925">
      <x:c r="A925" s="41" t="n">
        <x:f>IF(B925=1,A924+1,A924)</x:f>
        <x:v>2062</x:v>
      </x:c>
      <x:c r="B925" s="41" t="n">
        <x:f>IF(B924=26,1,B924+1)</x:f>
        <x:v>14</x:v>
      </x:c>
      <x:c r="C925" s="48" t="n">
        <x:f>Inputs!$F$38</x:f>
        <x:v>600</x:v>
      </x:c>
      <x:c r="D925" s="50" t="n">
        <x:f>IF(B925=1,0,D924+E924)</x:f>
        <x:v>7800</x:v>
      </x:c>
      <x:c r="E925" s="50" t="n">
        <x:f>MIN(C925,MAX(0,Inputs!$B$7-D925))</x:f>
        <x:v>200</x:v>
      </x:c>
      <x:c r="F925" s="50" t="n">
        <x:f>MIN(C925-E925,MAX(0,Inputs!$B$20-O925))</x:f>
        <x:v>400</x:v>
      </x:c>
      <x:c r="G925" s="50" t="n">
        <x:f>0</x:f>
        <x:v>0</x:v>
      </x:c>
      <x:c r="H925" s="41" t="n">
        <x:f>0</x:f>
        <x:v>0</x:v>
      </x:c>
      <x:c r="I925" s="50" t="n">
        <x:f>(I924*(1+Inputs!$B$12))+E925</x:f>
        <x:v>975193.9972360118</x:v>
      </x:c>
      <x:c r="J925" s="50" t="n">
        <x:f>(J924*(1+Inputs!$B$12))+F925+P925</x:f>
        <x:v>1162041.1629303975</x:v>
      </x:c>
      <x:c r="K925" s="50" t="n">
        <x:f>(K924*(1+Inputs!$B$12))*(1-H925)</x:f>
        <x:v>0</x:v>
      </x:c>
      <x:c r="L925" s="50" t="n">
        <x:f>L924*(1+Inputs!$B$13)+Q925</x:f>
        <x:v>68662.03708147239</x:v>
      </x:c>
      <x:c r="M925" s="50" t="n">
        <x:f>I925+J925+L925</x:f>
        <x:v>2205897.197247882</x:v>
      </x:c>
      <x:c r="N925" s="50" t="n">
        <x:f>F925+P925</x:f>
        <x:v>400</x:v>
      </x:c>
      <x:c r="O925" s="50" t="n">
        <x:f>IF(B925=1,0,O924+F924+P924)</x:f>
        <x:v>3257.142857142857</x:v>
      </x:c>
      <x:c r="P925" s="50" t="n">
        <x:f>MIN(G925,MAX(0,Inputs!$B$20-O925-F925))</x:f>
        <x:v>0</x:v>
      </x:c>
      <x:c r="Q925" s="50" t="n">
        <x:f>(C925-E925-F925)+(G925-P925)</x:f>
        <x:v>0</x:v>
      </x:c>
    </x:row>
    <x:row r="926">
      <x:c r="A926" s="41" t="n">
        <x:f>IF(B926=1,A925+1,A925)</x:f>
        <x:v>2062</x:v>
      </x:c>
      <x:c r="B926" s="41" t="n">
        <x:f>IF(B925=26,1,B925+1)</x:f>
        <x:v>15</x:v>
      </x:c>
      <x:c r="C926" s="48" t="n">
        <x:f>Inputs!$F$38</x:f>
        <x:v>600</x:v>
      </x:c>
      <x:c r="D926" s="50" t="n">
        <x:f>IF(B926=1,0,D925+E925)</x:f>
        <x:v>8000</x:v>
      </x:c>
      <x:c r="E926" s="50" t="n">
        <x:f>MIN(C926,MAX(0,Inputs!$B$7-D926))</x:f>
        <x:v>0</x:v>
      </x:c>
      <x:c r="F926" s="50" t="n">
        <x:f>MIN(C926-E926,MAX(0,Inputs!$B$20-O926))</x:f>
        <x:v>600</x:v>
      </x:c>
      <x:c r="G926" s="50" t="n">
        <x:f>0</x:f>
        <x:v>0</x:v>
      </x:c>
      <x:c r="H926" s="41" t="n">
        <x:f>0</x:f>
        <x:v>0</x:v>
      </x:c>
      <x:c r="I926" s="50" t="n">
        <x:f>(I925*(1+Inputs!$B$12))+E926</x:f>
        <x:v>977025.7105453665</x:v>
      </x:c>
      <x:c r="J926" s="50" t="n">
        <x:f>(J925*(1+Inputs!$B$12))+F926+P926</x:f>
        <x:v>1164823.8325019807</x:v>
      </x:c>
      <x:c r="K926" s="50" t="n">
        <x:f>(K925*(1+Inputs!$B$12))*(1-H926)</x:f>
        <x:v>0</x:v>
      </x:c>
      <x:c r="L926" s="50" t="n">
        <x:f>L925*(1+Inputs!$B$13)+Q926</x:f>
        <x:v>68782.17191391073</x:v>
      </x:c>
      <x:c r="M926" s="50" t="n">
        <x:f>I926+J926+L926</x:f>
        <x:v>2210631.7149612578</x:v>
      </x:c>
      <x:c r="N926" s="50" t="n">
        <x:f>F926+P926</x:f>
        <x:v>600</x:v>
      </x:c>
      <x:c r="O926" s="50" t="n">
        <x:f>IF(B926=1,0,O925+F925+P925)</x:f>
        <x:v>3657.142857142857</x:v>
      </x:c>
      <x:c r="P926" s="50" t="n">
        <x:f>MIN(G926,MAX(0,Inputs!$B$20-O926-F926))</x:f>
        <x:v>0</x:v>
      </x:c>
      <x:c r="Q926" s="50" t="n">
        <x:f>(C926-E926-F926)+(G926-P926)</x:f>
        <x:v>0</x:v>
      </x:c>
    </x:row>
    <x:row r="927">
      <x:c r="A927" s="41" t="n">
        <x:f>IF(B927=1,A926+1,A926)</x:f>
        <x:v>2062</x:v>
      </x:c>
      <x:c r="B927" s="41" t="n">
        <x:f>IF(B926=26,1,B926+1)</x:f>
        <x:v>16</x:v>
      </x:c>
      <x:c r="C927" s="48" t="n">
        <x:f>Inputs!$F$38</x:f>
        <x:v>600</x:v>
      </x:c>
      <x:c r="D927" s="50" t="n">
        <x:f>IF(B927=1,0,D926+E926)</x:f>
        <x:v>8000</x:v>
      </x:c>
      <x:c r="E927" s="50" t="n">
        <x:f>MIN(C927,MAX(0,Inputs!$B$7-D927))</x:f>
        <x:v>0</x:v>
      </x:c>
      <x:c r="F927" s="50" t="n">
        <x:f>MIN(C927-E927,MAX(0,Inputs!$B$20-O927))</x:f>
        <x:v>600</x:v>
      </x:c>
      <x:c r="G927" s="50" t="n">
        <x:f>0</x:f>
        <x:v>0</x:v>
      </x:c>
      <x:c r="H927" s="41" t="n">
        <x:f>0</x:f>
        <x:v>0</x:v>
      </x:c>
      <x:c r="I927" s="50" t="n">
        <x:f>(I926*(1+Inputs!$B$12))+E927</x:f>
        <x:v>978860.8643738971</x:v>
      </x:c>
      <x:c r="J927" s="50" t="n">
        <x:f>(J926*(1+Inputs!$B$12))+F927+P927</x:f>
        <x:v>1167611.7287801518</x:v>
      </x:c>
      <x:c r="K927" s="50" t="n">
        <x:f>(K926*(1+Inputs!$B$12))*(1-H927)</x:f>
        <x:v>0</x:v>
      </x:c>
      <x:c r="L927" s="50" t="n">
        <x:f>L926*(1+Inputs!$B$13)+Q927</x:f>
        <x:v>68902.51694078225</x:v>
      </x:c>
      <x:c r="M927" s="50" t="n">
        <x:f>I927+J927+L927</x:f>
        <x:v>2215375.1100948313</x:v>
      </x:c>
      <x:c r="N927" s="50" t="n">
        <x:f>F927+P927</x:f>
        <x:v>600</x:v>
      </x:c>
      <x:c r="O927" s="50" t="n">
        <x:f>IF(B927=1,0,O926+F926+P926)</x:f>
        <x:v>4257.142857142857</x:v>
      </x:c>
      <x:c r="P927" s="50" t="n">
        <x:f>MIN(G927,MAX(0,Inputs!$B$20-O927-F927))</x:f>
        <x:v>0</x:v>
      </x:c>
      <x:c r="Q927" s="50" t="n">
        <x:f>(C927-E927-F927)+(G927-P927)</x:f>
        <x:v>0</x:v>
      </x:c>
    </x:row>
    <x:row r="928">
      <x:c r="A928" s="41" t="n">
        <x:f>IF(B928=1,A927+1,A927)</x:f>
        <x:v>2062</x:v>
      </x:c>
      <x:c r="B928" s="41" t="n">
        <x:f>IF(B927=26,1,B927+1)</x:f>
        <x:v>17</x:v>
      </x:c>
      <x:c r="C928" s="48" t="n">
        <x:f>Inputs!$F$38</x:f>
        <x:v>600</x:v>
      </x:c>
      <x:c r="D928" s="50" t="n">
        <x:f>IF(B928=1,0,D927+E927)</x:f>
        <x:v>8000</x:v>
      </x:c>
      <x:c r="E928" s="50" t="n">
        <x:f>MIN(C928,MAX(0,Inputs!$B$7-D928))</x:f>
        <x:v>0</x:v>
      </x:c>
      <x:c r="F928" s="50" t="n">
        <x:f>MIN(C928-E928,MAX(0,Inputs!$B$20-O928))</x:f>
        <x:v>600</x:v>
      </x:c>
      <x:c r="G928" s="50" t="n">
        <x:f>0</x:f>
        <x:v>0</x:v>
      </x:c>
      <x:c r="H928" s="41" t="n">
        <x:f>0</x:f>
        <x:v>0</x:v>
      </x:c>
      <x:c r="I928" s="50" t="n">
        <x:f>(I927*(1+Inputs!$B$12))+E928</x:f>
        <x:v>980699.4651839533</x:v>
      </x:c>
      <x:c r="J928" s="50" t="n">
        <x:f>(J927*(1+Inputs!$B$12))+F928+P928</x:f>
        <x:v>1170404.861582268</x:v>
      </x:c>
      <x:c r="K928" s="50" t="n">
        <x:f>(K927*(1+Inputs!$B$12))*(1-H928)</x:f>
        <x:v>0</x:v>
      </x:c>
      <x:c r="L928" s="50" t="n">
        <x:f>L927*(1+Inputs!$B$13)+Q928</x:f>
        <x:v>69023.07252985456</x:v>
      </x:c>
      <x:c r="M928" s="50" t="n">
        <x:f>I928+J928+L928</x:f>
        <x:v>2220127.399296076</x:v>
      </x:c>
      <x:c r="N928" s="50" t="n">
        <x:f>F928+P928</x:f>
        <x:v>600</x:v>
      </x:c>
      <x:c r="O928" s="50" t="n">
        <x:f>IF(B928=1,0,O927+F927+P927)</x:f>
        <x:v>4857.142857142857</x:v>
      </x:c>
      <x:c r="P928" s="50" t="n">
        <x:f>MIN(G928,MAX(0,Inputs!$B$20-O928-F928))</x:f>
        <x:v>0</x:v>
      </x:c>
      <x:c r="Q928" s="50" t="n">
        <x:f>(C928-E928-F928)+(G928-P928)</x:f>
        <x:v>0</x:v>
      </x:c>
    </x:row>
    <x:row r="929">
      <x:c r="A929" s="41" t="n">
        <x:f>IF(B929=1,A928+1,A928)</x:f>
        <x:v>2062</x:v>
      </x:c>
      <x:c r="B929" s="41" t="n">
        <x:f>IF(B928=26,1,B928+1)</x:f>
        <x:v>18</x:v>
      </x:c>
      <x:c r="C929" s="48" t="n">
        <x:f>Inputs!$F$38</x:f>
        <x:v>600</x:v>
      </x:c>
      <x:c r="D929" s="50" t="n">
        <x:f>IF(B929=1,0,D928+E928)</x:f>
        <x:v>8000</x:v>
      </x:c>
      <x:c r="E929" s="50" t="n">
        <x:f>MIN(C929,MAX(0,Inputs!$B$7-D929))</x:f>
        <x:v>0</x:v>
      </x:c>
      <x:c r="F929" s="50" t="n">
        <x:f>MIN(C929-E929,MAX(0,Inputs!$B$20-O929))</x:f>
        <x:v>600</x:v>
      </x:c>
      <x:c r="G929" s="50" t="n">
        <x:f>0</x:f>
        <x:v>0</x:v>
      </x:c>
      <x:c r="H929" s="41" t="n">
        <x:f>0</x:f>
        <x:v>0</x:v>
      </x:c>
      <x:c r="I929" s="50" t="n">
        <x:f>(I928*(1+Inputs!$B$12))+E929</x:f>
        <x:v>982541.5194500233</x:v>
      </x:c>
      <x:c r="J929" s="50" t="n">
        <x:f>(J928*(1+Inputs!$B$12))+F929+P929</x:f>
        <x:v>1173203.240744127</x:v>
      </x:c>
      <x:c r="K929" s="50" t="n">
        <x:f>(K928*(1+Inputs!$B$12))*(1-H929)</x:f>
        <x:v>0</x:v>
      </x:c>
      <x:c r="L929" s="50" t="n">
        <x:f>L928*(1+Inputs!$B$13)+Q929</x:f>
        <x:v>69143.83904953871</x:v>
      </x:c>
      <x:c r="M929" s="50" t="n">
        <x:f>I929+J929+L929</x:f>
        <x:v>2224888.599243689</x:v>
      </x:c>
      <x:c r="N929" s="50" t="n">
        <x:f>F929+P929</x:f>
        <x:v>600</x:v>
      </x:c>
      <x:c r="O929" s="50" t="n">
        <x:f>IF(B929=1,0,O928+F928+P928)</x:f>
        <x:v>5457.142857142857</x:v>
      </x:c>
      <x:c r="P929" s="50" t="n">
        <x:f>MIN(G929,MAX(0,Inputs!$B$20-O929-F929))</x:f>
        <x:v>0</x:v>
      </x:c>
      <x:c r="Q929" s="50" t="n">
        <x:f>(C929-E929-F929)+(G929-P929)</x:f>
        <x:v>0</x:v>
      </x:c>
    </x:row>
    <x:row r="930">
      <x:c r="A930" s="41" t="n">
        <x:f>IF(B930=1,A929+1,A929)</x:f>
        <x:v>2062</x:v>
      </x:c>
      <x:c r="B930" s="41" t="n">
        <x:f>IF(B929=26,1,B929+1)</x:f>
        <x:v>19</x:v>
      </x:c>
      <x:c r="C930" s="48" t="n">
        <x:f>Inputs!$F$38</x:f>
        <x:v>600</x:v>
      </x:c>
      <x:c r="D930" s="50" t="n">
        <x:f>IF(B930=1,0,D929+E929)</x:f>
        <x:v>8000</x:v>
      </x:c>
      <x:c r="E930" s="50" t="n">
        <x:f>MIN(C930,MAX(0,Inputs!$B$7-D930))</x:f>
        <x:v>0</x:v>
      </x:c>
      <x:c r="F930" s="50" t="n">
        <x:f>MIN(C930-E930,MAX(0,Inputs!$B$20-O930))</x:f>
        <x:v>600</x:v>
      </x:c>
      <x:c r="G930" s="50" t="n">
        <x:f>0</x:f>
        <x:v>0</x:v>
      </x:c>
      <x:c r="H930" s="41" t="n">
        <x:f>0</x:f>
        <x:v>0</x:v>
      </x:c>
      <x:c r="I930" s="50" t="n">
        <x:f>(I929*(1+Inputs!$B$12))+E930</x:f>
        <x:v>984387.0336587563</x:v>
      </x:c>
      <x:c r="J930" s="50" t="n">
        <x:f>(J929*(1+Inputs!$B$12))+F930+P930</x:f>
        <x:v>1176006.8761200008</x:v>
      </x:c>
      <x:c r="K930" s="50" t="n">
        <x:f>(K929*(1+Inputs!$B$12))*(1-H930)</x:f>
        <x:v>0</x:v>
      </x:c>
      <x:c r="L930" s="50" t="n">
        <x:f>L929*(1+Inputs!$B$13)+Q930</x:f>
        <x:v>69264.8168688904</x:v>
      </x:c>
      <x:c r="M930" s="50" t="n">
        <x:f>I930+J930+L930</x:f>
        <x:v>2229658.7266476476</x:v>
      </x:c>
      <x:c r="N930" s="50" t="n">
        <x:f>F930+P930</x:f>
        <x:v>600</x:v>
      </x:c>
      <x:c r="O930" s="50" t="n">
        <x:f>IF(B930=1,0,O929+F929+P929)</x:f>
        <x:v>6057.142857142857</x:v>
      </x:c>
      <x:c r="P930" s="50" t="n">
        <x:f>MIN(G930,MAX(0,Inputs!$B$20-O930-F930))</x:f>
        <x:v>0</x:v>
      </x:c>
      <x:c r="Q930" s="50" t="n">
        <x:f>(C930-E930-F930)+(G930-P930)</x:f>
        <x:v>0</x:v>
      </x:c>
    </x:row>
    <x:row r="931">
      <x:c r="A931" s="41" t="n">
        <x:f>IF(B931=1,A930+1,A930)</x:f>
        <x:v>2062</x:v>
      </x:c>
      <x:c r="B931" s="41" t="n">
        <x:f>IF(B930=26,1,B930+1)</x:f>
        <x:v>20</x:v>
      </x:c>
      <x:c r="C931" s="48" t="n">
        <x:f>Inputs!$F$38</x:f>
        <x:v>600</x:v>
      </x:c>
      <x:c r="D931" s="50" t="n">
        <x:f>IF(B931=1,0,D930+E930)</x:f>
        <x:v>8000</x:v>
      </x:c>
      <x:c r="E931" s="50" t="n">
        <x:f>MIN(C931,MAX(0,Inputs!$B$7-D931))</x:f>
        <x:v>0</x:v>
      </x:c>
      <x:c r="F931" s="50" t="n">
        <x:f>MIN(C931-E931,MAX(0,Inputs!$B$20-O931))</x:f>
        <x:v>600</x:v>
      </x:c>
      <x:c r="G931" s="50" t="n">
        <x:f>0</x:f>
        <x:v>0</x:v>
      </x:c>
      <x:c r="H931" s="41" t="n">
        <x:f>0</x:f>
        <x:v>0</x:v>
      </x:c>
      <x:c r="I931" s="50" t="n">
        <x:f>(I930*(1+Inputs!$B$12))+E931</x:f>
        <x:v>986236.0143089853</x:v>
      </x:c>
      <x:c r="J931" s="50" t="n">
        <x:f>(J930*(1+Inputs!$B$12))+F931+P931</x:f>
        <x:v>1178815.7775826708</x:v>
      </x:c>
      <x:c r="K931" s="50" t="n">
        <x:f>(K930*(1+Inputs!$B$12))*(1-H931)</x:f>
        <x:v>0</x:v>
      </x:c>
      <x:c r="L931" s="50" t="n">
        <x:f>L930*(1+Inputs!$B$13)+Q931</x:f>
        <x:v>69386.00635761098</x:v>
      </x:c>
      <x:c r="M931" s="50" t="n">
        <x:f>I931+J931+L931</x:f>
        <x:v>2234437.798249267</x:v>
      </x:c>
      <x:c r="N931" s="50" t="n">
        <x:f>F931+P931</x:f>
        <x:v>600</x:v>
      </x:c>
      <x:c r="O931" s="50" t="n">
        <x:f>IF(B931=1,0,O930+F930+P930)</x:f>
        <x:v>6657.142857142857</x:v>
      </x:c>
      <x:c r="P931" s="50" t="n">
        <x:f>MIN(G931,MAX(0,Inputs!$B$20-O931-F931))</x:f>
        <x:v>0</x:v>
      </x:c>
      <x:c r="Q931" s="50" t="n">
        <x:f>(C931-E931-F931)+(G931-P931)</x:f>
        <x:v>0</x:v>
      </x:c>
    </x:row>
    <x:row r="932">
      <x:c r="A932" s="41" t="n">
        <x:f>IF(B932=1,A931+1,A931)</x:f>
        <x:v>2062</x:v>
      </x:c>
      <x:c r="B932" s="41" t="n">
        <x:f>IF(B931=26,1,B931+1)</x:f>
        <x:v>21</x:v>
      </x:c>
      <x:c r="C932" s="48" t="n">
        <x:f>Inputs!$F$38</x:f>
        <x:v>600</x:v>
      </x:c>
      <x:c r="D932" s="50" t="n">
        <x:f>IF(B932=1,0,D931+E931)</x:f>
        <x:v>8000</x:v>
      </x:c>
      <x:c r="E932" s="50" t="n">
        <x:f>MIN(C932,MAX(0,Inputs!$B$7-D932))</x:f>
        <x:v>0</x:v>
      </x:c>
      <x:c r="F932" s="50" t="n">
        <x:f>MIN(C932-E932,MAX(0,Inputs!$B$20-O932))</x:f>
        <x:v>600</x:v>
      </x:c>
      <x:c r="G932" s="50" t="n">
        <x:f>0</x:f>
        <x:v>0</x:v>
      </x:c>
      <x:c r="H932" s="41" t="n">
        <x:f>0</x:f>
        <x:v>0</x:v>
      </x:c>
      <x:c r="I932" s="50" t="n">
        <x:f>(I931*(1+Inputs!$B$12))+E932</x:f>
        <x:v>988088.4679117503</x:v>
      </x:c>
      <x:c r="J932" s="50" t="n">
        <x:f>(J931*(1+Inputs!$B$12))+F932+P932</x:f>
        <x:v>1181629.9550234624</x:v>
      </x:c>
      <x:c r="K932" s="50" t="n">
        <x:f>(K931*(1+Inputs!$B$12))*(1-H932)</x:f>
        <x:v>0</x:v>
      </x:c>
      <x:c r="L932" s="50" t="n">
        <x:f>L931*(1+Inputs!$B$13)+Q932</x:f>
        <x:v>69507.40788604869</x:v>
      </x:c>
      <x:c r="M932" s="50" t="n">
        <x:f>I932+J932+L932</x:f>
        <x:v>2239225.8308212617</x:v>
      </x:c>
      <x:c r="N932" s="50" t="n">
        <x:f>F932+P932</x:f>
        <x:v>600</x:v>
      </x:c>
      <x:c r="O932" s="50" t="n">
        <x:f>IF(B932=1,0,O931+F931+P931)</x:f>
        <x:v>7257.142857142857</x:v>
      </x:c>
      <x:c r="P932" s="50" t="n">
        <x:f>MIN(G932,MAX(0,Inputs!$B$20-O932-F932))</x:f>
        <x:v>0</x:v>
      </x:c>
      <x:c r="Q932" s="50" t="n">
        <x:f>(C932-E932-F932)+(G932-P932)</x:f>
        <x:v>0</x:v>
      </x:c>
    </x:row>
    <x:row r="933">
      <x:c r="A933" s="41" t="n">
        <x:f>IF(B933=1,A932+1,A932)</x:f>
        <x:v>2062</x:v>
      </x:c>
      <x:c r="B933" s="41" t="n">
        <x:f>IF(B932=26,1,B932+1)</x:f>
        <x:v>22</x:v>
      </x:c>
      <x:c r="C933" s="48" t="n">
        <x:f>Inputs!$F$38</x:f>
        <x:v>600</x:v>
      </x:c>
      <x:c r="D933" s="50" t="n">
        <x:f>IF(B933=1,0,D932+E932)</x:f>
        <x:v>8000</x:v>
      </x:c>
      <x:c r="E933" s="50" t="n">
        <x:f>MIN(C933,MAX(0,Inputs!$B$7-D933))</x:f>
        <x:v>0</x:v>
      </x:c>
      <x:c r="F933" s="50" t="n">
        <x:f>MIN(C933-E933,MAX(0,Inputs!$B$20-O933))</x:f>
        <x:v>600</x:v>
      </x:c>
      <x:c r="G933" s="50" t="n">
        <x:f>0</x:f>
        <x:v>0</x:v>
      </x:c>
      <x:c r="H933" s="41" t="n">
        <x:f>0</x:f>
        <x:v>0</x:v>
      </x:c>
      <x:c r="I933" s="50" t="n">
        <x:f>(I932*(1+Inputs!$B$12))+E933</x:f>
        <x:v>989944.400990321</x:v>
      </x:c>
      <x:c r="J933" s="50" t="n">
        <x:f>(J932*(1+Inputs!$B$12))+F933+P933</x:f>
        <x:v>1184449.4183522803</x:v>
      </x:c>
      <x:c r="K933" s="50" t="n">
        <x:f>(K932*(1+Inputs!$B$12))*(1-H933)</x:f>
        <x:v>0</x:v>
      </x:c>
      <x:c r="L933" s="50" t="n">
        <x:f>L932*(1+Inputs!$B$13)+Q933</x:f>
        <x:v>69629.02182519976</x:v>
      </x:c>
      <x:c r="M933" s="50" t="n">
        <x:f>I933+J933+L933</x:f>
        <x:v>2244022.841167801</x:v>
      </x:c>
      <x:c r="N933" s="50" t="n">
        <x:f>F933+P933</x:f>
        <x:v>600</x:v>
      </x:c>
      <x:c r="O933" s="50" t="n">
        <x:f>IF(B933=1,0,O932+F932+P932)</x:f>
        <x:v>7857.142857142857</x:v>
      </x:c>
      <x:c r="P933" s="50" t="n">
        <x:f>MIN(G933,MAX(0,Inputs!$B$20-O933-F933))</x:f>
        <x:v>0</x:v>
      </x:c>
      <x:c r="Q933" s="50" t="n">
        <x:f>(C933-E933-F933)+(G933-P933)</x:f>
        <x:v>0</x:v>
      </x:c>
    </x:row>
    <x:row r="934">
      <x:c r="A934" s="41" t="n">
        <x:f>IF(B934=1,A933+1,A933)</x:f>
        <x:v>2062</x:v>
      </x:c>
      <x:c r="B934" s="41" t="n">
        <x:f>IF(B933=26,1,B933+1)</x:f>
        <x:v>23</x:v>
      </x:c>
      <x:c r="C934" s="48" t="n">
        <x:f>Inputs!$F$38</x:f>
        <x:v>600</x:v>
      </x:c>
      <x:c r="D934" s="50" t="n">
        <x:f>IF(B934=1,0,D933+E933)</x:f>
        <x:v>8000</x:v>
      </x:c>
      <x:c r="E934" s="50" t="n">
        <x:f>MIN(C934,MAX(0,Inputs!$B$7-D934))</x:f>
        <x:v>0</x:v>
      </x:c>
      <x:c r="F934" s="50" t="n">
        <x:f>MIN(C934-E934,MAX(0,Inputs!$B$20-O934))</x:f>
        <x:v>600</x:v>
      </x:c>
      <x:c r="G934" s="50" t="n">
        <x:f>0</x:f>
        <x:v>0</x:v>
      </x:c>
      <x:c r="H934" s="41" t="n">
        <x:f>0</x:f>
        <x:v>0</x:v>
      </x:c>
      <x:c r="I934" s="50" t="n">
        <x:f>(I933*(1+Inputs!$B$12))+E934</x:f>
        <x:v>991803.8200802195</x:v>
      </x:c>
      <x:c r="J934" s="50" t="n">
        <x:f>(J933*(1+Inputs!$B$12))+F934+P934</x:f>
        <x:v>1187274.1774976426</x:v>
      </x:c>
      <x:c r="K934" s="50" t="n">
        <x:f>(K933*(1+Inputs!$B$12))*(1-H934)</x:f>
        <x:v>0</x:v>
      </x:c>
      <x:c r="L934" s="50" t="n">
        <x:f>L933*(1+Inputs!$B$13)+Q934</x:f>
        <x:v>69750.8485467095</x:v>
      </x:c>
      <x:c r="M934" s="50" t="n">
        <x:f>I934+J934+L934</x:f>
        <x:v>2248828.8461245713</x:v>
      </x:c>
      <x:c r="N934" s="50" t="n">
        <x:f>F934+P934</x:f>
        <x:v>600</x:v>
      </x:c>
      <x:c r="O934" s="50" t="n">
        <x:f>IF(B934=1,0,O933+F933+P933)</x:f>
        <x:v>8457.142857142857</x:v>
      </x:c>
      <x:c r="P934" s="50" t="n">
        <x:f>MIN(G934,MAX(0,Inputs!$B$20-O934-F934))</x:f>
        <x:v>0</x:v>
      </x:c>
      <x:c r="Q934" s="50" t="n">
        <x:f>(C934-E934-F934)+(G934-P934)</x:f>
        <x:v>0</x:v>
      </x:c>
    </x:row>
    <x:row r="935">
      <x:c r="A935" s="41" t="n">
        <x:f>IF(B935=1,A934+1,A934)</x:f>
        <x:v>2062</x:v>
      </x:c>
      <x:c r="B935" s="41" t="n">
        <x:f>IF(B934=26,1,B934+1)</x:f>
        <x:v>24</x:v>
      </x:c>
      <x:c r="C935" s="48" t="n">
        <x:f>Inputs!$F$38</x:f>
        <x:v>600</x:v>
      </x:c>
      <x:c r="D935" s="50" t="n">
        <x:f>IF(B935=1,0,D934+E934)</x:f>
        <x:v>8000</x:v>
      </x:c>
      <x:c r="E935" s="50" t="n">
        <x:f>MIN(C935,MAX(0,Inputs!$B$7-D935))</x:f>
        <x:v>0</x:v>
      </x:c>
      <x:c r="F935" s="50" t="n">
        <x:f>MIN(C935-E935,MAX(0,Inputs!$B$20-O935))</x:f>
        <x:v>600</x:v>
      </x:c>
      <x:c r="G935" s="50" t="n">
        <x:f>0</x:f>
        <x:v>0</x:v>
      </x:c>
      <x:c r="H935" s="41" t="n">
        <x:f>0</x:f>
        <x:v>0</x:v>
      </x:c>
      <x:c r="I935" s="50" t="n">
        <x:f>(I934*(1+Inputs!$B$12))+E935</x:f>
        <x:v>993666.7317292441</x:v>
      </x:c>
      <x:c r="J935" s="50" t="n">
        <x:f>(J934*(1+Inputs!$B$12))+F935+P935</x:f>
        <x:v>1190104.2424067166</x:v>
      </x:c>
      <x:c r="K935" s="50" t="n">
        <x:f>(K934*(1+Inputs!$B$12))*(1-H935)</x:f>
        <x:v>0</x:v>
      </x:c>
      <x:c r="L935" s="50" t="n">
        <x:f>L934*(1+Inputs!$B$13)+Q935</x:f>
        <x:v>69872.88842287351</x:v>
      </x:c>
      <x:c r="M935" s="50" t="n">
        <x:f>I935+J935+L935</x:f>
        <x:v>2253643.862558834</x:v>
      </x:c>
      <x:c r="N935" s="50" t="n">
        <x:f>F935+P935</x:f>
        <x:v>600</x:v>
      </x:c>
      <x:c r="O935" s="50" t="n">
        <x:f>IF(B935=1,0,O934+F934+P934)</x:f>
        <x:v>9057.142857142857</x:v>
      </x:c>
      <x:c r="P935" s="50" t="n">
        <x:f>MIN(G935,MAX(0,Inputs!$B$20-O935-F935))</x:f>
        <x:v>0</x:v>
      </x:c>
      <x:c r="Q935" s="50" t="n">
        <x:f>(C935-E935-F935)+(G935-P935)</x:f>
        <x:v>0</x:v>
      </x:c>
    </x:row>
    <x:row r="936">
      <x:c r="A936" s="41" t="n">
        <x:f>IF(B936=1,A935+1,A935)</x:f>
        <x:v>2062</x:v>
      </x:c>
      <x:c r="B936" s="41" t="n">
        <x:f>IF(B935=26,1,B935+1)</x:f>
        <x:v>25</x:v>
      </x:c>
      <x:c r="C936" s="48" t="n">
        <x:f>Inputs!$F$38</x:f>
        <x:v>600</x:v>
      </x:c>
      <x:c r="D936" s="50" t="n">
        <x:f>IF(B936=1,0,D935+E935)</x:f>
        <x:v>8000</x:v>
      </x:c>
      <x:c r="E936" s="50" t="n">
        <x:f>MIN(C936,MAX(0,Inputs!$B$7-D936))</x:f>
        <x:v>0</x:v>
      </x:c>
      <x:c r="F936" s="50" t="n">
        <x:f>MIN(C936-E936,MAX(0,Inputs!$B$20-O936))</x:f>
        <x:v>600</x:v>
      </x:c>
      <x:c r="G936" s="50" t="n">
        <x:f>0</x:f>
        <x:v>0</x:v>
      </x:c>
      <x:c r="H936" s="41" t="n">
        <x:f>0</x:f>
        <x:v>0</x:v>
      </x:c>
      <x:c r="I936" s="50" t="n">
        <x:f>(I935*(1+Inputs!$B$12))+E936</x:f>
        <x:v>995533.1424974914</x:v>
      </x:c>
      <x:c r="J936" s="50" t="n">
        <x:f>(J935*(1+Inputs!$B$12))+F936+P936</x:f>
        <x:v>1192939.623045353</x:v>
      </x:c>
      <x:c r="K936" s="50" t="n">
        <x:f>(K935*(1+Inputs!$B$12))*(1-H936)</x:f>
        <x:v>0</x:v>
      </x:c>
      <x:c r="L936" s="50" t="n">
        <x:f>L935*(1+Inputs!$B$13)+Q936</x:f>
        <x:v>69995.14182663875</x:v>
      </x:c>
      <x:c r="M936" s="50" t="n">
        <x:f>I936+J936+L936</x:f>
        <x:v>2258467.9073694833</x:v>
      </x:c>
      <x:c r="N936" s="50" t="n">
        <x:f>F936+P936</x:f>
        <x:v>600</x:v>
      </x:c>
      <x:c r="O936" s="50" t="n">
        <x:f>IF(B936=1,0,O935+F935+P935)</x:f>
        <x:v>9657.142857142857</x:v>
      </x:c>
      <x:c r="P936" s="50" t="n">
        <x:f>MIN(G936,MAX(0,Inputs!$B$20-O936-F936))</x:f>
        <x:v>0</x:v>
      </x:c>
      <x:c r="Q936" s="50" t="n">
        <x:f>(C936-E936-F936)+(G936-P936)</x:f>
        <x:v>0</x:v>
      </x:c>
    </x:row>
    <x:row r="937">
      <x:c r="A937" s="41" t="n">
        <x:f>IF(B937=1,A936+1,A936)</x:f>
        <x:v>2062</x:v>
      </x:c>
      <x:c r="B937" s="41" t="n">
        <x:f>IF(B936=26,1,B936+1)</x:f>
        <x:v>26</x:v>
      </x:c>
      <x:c r="C937" s="48" t="n">
        <x:f>Inputs!$F$38</x:f>
        <x:v>600</x:v>
      </x:c>
      <x:c r="D937" s="50" t="n">
        <x:f>IF(B937=1,0,D936+E936)</x:f>
        <x:v>8000</x:v>
      </x:c>
      <x:c r="E937" s="50" t="n">
        <x:f>MIN(C937,MAX(0,Inputs!$B$7-D937))</x:f>
        <x:v>0</x:v>
      </x:c>
      <x:c r="F937" s="50" t="n">
        <x:f>MIN(C937-E937,MAX(0,Inputs!$B$20-O937))</x:f>
        <x:v>600</x:v>
      </x:c>
      <x:c r="G937" s="50" t="n">
        <x:f>0</x:f>
        <x:v>0</x:v>
      </x:c>
      <x:c r="H937" s="41" t="n">
        <x:f>IF(A937=Inputs!$B$8,1,0)</x:f>
        <x:v>0</x:v>
      </x:c>
      <x:c r="I937" s="50" t="n">
        <x:f>(I936*(1+Inputs!$B$12))+E937</x:f>
        <x:v>997403.0589573802</x:v>
      </x:c>
      <x:c r="J937" s="50" t="n">
        <x:f>(J936*(1+Inputs!$B$12))+F937+P937</x:f>
        <x:v>1195780.3293981217</x:v>
      </x:c>
      <x:c r="K937" s="50" t="n">
        <x:f>(K936*(1+Inputs!$B$12))*(1-H937)</x:f>
        <x:v>0</x:v>
      </x:c>
      <x:c r="L937" s="50" t="n">
        <x:f>L936*(1+Inputs!$B$13)+Q937</x:f>
        <x:v>70117.60913160472</x:v>
      </x:c>
      <x:c r="M937" s="50" t="n">
        <x:f>I937+J937+L937</x:f>
        <x:v>2263300.997487107</x:v>
      </x:c>
      <x:c r="N937" s="50" t="n">
        <x:f>F937+P937</x:f>
        <x:v>600</x:v>
      </x:c>
      <x:c r="O937" s="50" t="n">
        <x:f>IF(B937=1,0,O936+F936+P936)</x:f>
        <x:v>10257.142857142857</x:v>
      </x:c>
      <x:c r="P937" s="50" t="n">
        <x:f>MIN(G937,MAX(0,Inputs!$B$20-O937-F937))</x:f>
        <x:v>0</x:v>
      </x:c>
      <x:c r="Q937" s="50" t="n">
        <x:f>(C937-E937-F937)+(G937-P937)</x:f>
        <x:v>0</x:v>
      </x:c>
    </x:row>
    <x:row r="938">
      <x:c r="A938" s="41" t="n">
        <x:f>IF(B938=1,A937+1,A937)</x:f>
        <x:v>2063</x:v>
      </x:c>
      <x:c r="B938" s="41" t="n">
        <x:f>IF(B937=26,1,B937+1)</x:f>
        <x:v>1</x:v>
      </x:c>
      <x:c r="C938" s="48" t="n">
        <x:f>Inputs!$F$39</x:f>
        <x:v>600</x:v>
      </x:c>
      <x:c r="D938" s="50" t="n">
        <x:f>IF(B938=1,0,D937+E937)</x:f>
        <x:v>0</x:v>
      </x:c>
      <x:c r="E938" s="50" t="n">
        <x:f>MIN(C938,MAX(0,Inputs!$B$7-D938))</x:f>
        <x:v>600</x:v>
      </x:c>
      <x:c r="F938" s="50" t="n">
        <x:f>MIN(C938-E938,MAX(0,Inputs!$B$20-O938))</x:f>
        <x:v>0</x:v>
      </x:c>
      <x:c r="G938" s="50" t="n">
        <x:f>0</x:f>
        <x:v>0</x:v>
      </x:c>
      <x:c r="H938" s="41" t="n">
        <x:f>0</x:f>
        <x:v>0</x:v>
      </x:c>
      <x:c r="I938" s="50" t="n">
        <x:f>(I937*(1+Inputs!$B$12))+E938</x:f>
        <x:v>999876.4876936742</x:v>
      </x:c>
      <x:c r="J938" s="50" t="n">
        <x:f>(J937*(1+Inputs!$B$12))+F938+P938</x:f>
        <x:v>1198026.3714683468</x:v>
      </x:c>
      <x:c r="K938" s="50" t="n">
        <x:f>(K937*(1+Inputs!$B$12))*(1-H938)</x:f>
        <x:v>0</x:v>
      </x:c>
      <x:c r="L938" s="50" t="n">
        <x:f>L937*(1+Inputs!$B$13)+Q938</x:f>
        <x:v>70240.2907120246</x:v>
      </x:c>
      <x:c r="M938" s="50" t="n">
        <x:f>I938+J938+L938</x:f>
        <x:v>2268143.1498740455</x:v>
      </x:c>
      <x:c r="N938" s="50" t="n">
        <x:f>F938+P938</x:f>
        <x:v>0</x:v>
      </x:c>
      <x:c r="O938" s="50" t="n">
        <x:f>IF(B938=1,0,O937+F937+P937)</x:f>
        <x:v>0</x:v>
      </x:c>
      <x:c r="P938" s="50" t="n">
        <x:f>MIN(G938,MAX(0,Inputs!$B$20-O938-F938))</x:f>
        <x:v>0</x:v>
      </x:c>
      <x:c r="Q938" s="50" t="n">
        <x:f>(C938-E938-F938)+(G938-P938)</x:f>
        <x:v>0</x:v>
      </x:c>
    </x:row>
    <x:row r="939">
      <x:c r="A939" s="41" t="n">
        <x:f>IF(B939=1,A938+1,A938)</x:f>
        <x:v>2063</x:v>
      </x:c>
      <x:c r="B939" s="41" t="n">
        <x:f>IF(B938=26,1,B938+1)</x:f>
        <x:v>2</x:v>
      </x:c>
      <x:c r="C939" s="48" t="n">
        <x:f>Inputs!$F$39</x:f>
        <x:v>600</x:v>
      </x:c>
      <x:c r="D939" s="50" t="n">
        <x:f>IF(B939=1,0,D938+E938)</x:f>
        <x:v>600</x:v>
      </x:c>
      <x:c r="E939" s="50" t="n">
        <x:f>MIN(C939,MAX(0,Inputs!$B$7-D939))</x:f>
        <x:v>600</x:v>
      </x:c>
      <x:c r="F939" s="50" t="n">
        <x:f>MIN(C939-E939,MAX(0,Inputs!$B$20-O939))</x:f>
        <x:v>0</x:v>
      </x:c>
      <x:c r="G939" s="50" t="n">
        <x:f>0</x:f>
        <x:v>0</x:v>
      </x:c>
      <x:c r="H939" s="41" t="n">
        <x:f>0</x:f>
        <x:v>0</x:v>
      </x:c>
      <x:c r="I939" s="50" t="n">
        <x:f>(I938*(1+Inputs!$B$12))+E939</x:f>
        <x:v>1002354.5622874579</x:v>
      </x:c>
      <x:c r="J939" s="50" t="n">
        <x:f>(J938*(1+Inputs!$B$12))+F939+P939</x:f>
        <x:v>1200276.6322941887</x:v>
      </x:c>
      <x:c r="K939" s="50" t="n">
        <x:f>(K938*(1+Inputs!$B$12))*(1-H939)</x:f>
        <x:v>0</x:v>
      </x:c>
      <x:c r="L939" s="50" t="n">
        <x:f>L938*(1+Inputs!$B$13)+Q939</x:f>
        <x:v>70363.18694280635</x:v>
      </x:c>
      <x:c r="M939" s="50" t="n">
        <x:f>I939+J939+L939</x:f>
        <x:v>2272994.381524453</x:v>
      </x:c>
      <x:c r="N939" s="50" t="n">
        <x:f>F939+P939</x:f>
        <x:v>0</x:v>
      </x:c>
      <x:c r="O939" s="50" t="n">
        <x:f>IF(B939=1,0,O938+F938+P938)</x:f>
        <x:v>0</x:v>
      </x:c>
      <x:c r="P939" s="50" t="n">
        <x:f>MIN(G939,MAX(0,Inputs!$B$20-O939-F939))</x:f>
        <x:v>0</x:v>
      </x:c>
      <x:c r="Q939" s="50" t="n">
        <x:f>(C939-E939-F939)+(G939-P939)</x:f>
        <x:v>0</x:v>
      </x:c>
    </x:row>
    <x:row r="940">
      <x:c r="A940" s="41" t="n">
        <x:f>IF(B940=1,A939+1,A939)</x:f>
        <x:v>2063</x:v>
      </x:c>
      <x:c r="B940" s="41" t="n">
        <x:f>IF(B939=26,1,B939+1)</x:f>
        <x:v>3</x:v>
      </x:c>
      <x:c r="C940" s="48" t="n">
        <x:f>Inputs!$F$39</x:f>
        <x:v>600</x:v>
      </x:c>
      <x:c r="D940" s="50" t="n">
        <x:f>IF(B940=1,0,D939+E939)</x:f>
        <x:v>1200</x:v>
      </x:c>
      <x:c r="E940" s="50" t="n">
        <x:f>MIN(C940,MAX(0,Inputs!$B$7-D940))</x:f>
        <x:v>600</x:v>
      </x:c>
      <x:c r="F940" s="50" t="n">
        <x:f>MIN(C940-E940,MAX(0,Inputs!$B$20-O940))</x:f>
        <x:v>0</x:v>
      </x:c>
      <x:c r="G940" s="50" t="n">
        <x:f>0</x:f>
        <x:v>0</x:v>
      </x:c>
      <x:c r="H940" s="41" t="n">
        <x:f>0</x:f>
        <x:v>0</x:v>
      </x:c>
      <x:c r="I940" s="50" t="n">
        <x:f>(I939*(1+Inputs!$B$12))+E940</x:f>
        <x:v>1004837.291465076</x:v>
      </x:c>
      <x:c r="J940" s="50" t="n">
        <x:f>(J939*(1+Inputs!$B$12))+F940+P940</x:f>
        <x:v>1202531.1197997641</x:v>
      </x:c>
      <x:c r="K940" s="50" t="n">
        <x:f>(K939*(1+Inputs!$B$12))*(1-H940)</x:f>
        <x:v>0</x:v>
      </x:c>
      <x:c r="L940" s="50" t="n">
        <x:f>L939*(1+Inputs!$B$13)+Q940</x:f>
        <x:v>70486.29819951393</x:v>
      </x:c>
      <x:c r="M940" s="50" t="n">
        <x:f>I940+J940+L940</x:f>
        <x:v>2277854.709464354</x:v>
      </x:c>
      <x:c r="N940" s="50" t="n">
        <x:f>F940+P940</x:f>
        <x:v>0</x:v>
      </x:c>
      <x:c r="O940" s="50" t="n">
        <x:f>IF(B940=1,0,O939+F939+P939)</x:f>
        <x:v>0</x:v>
      </x:c>
      <x:c r="P940" s="50" t="n">
        <x:f>MIN(G940,MAX(0,Inputs!$B$20-O940-F940))</x:f>
        <x:v>0</x:v>
      </x:c>
      <x:c r="Q940" s="50" t="n">
        <x:f>(C940-E940-F940)+(G940-P940)</x:f>
        <x:v>0</x:v>
      </x:c>
    </x:row>
    <x:row r="941">
      <x:c r="A941" s="41" t="n">
        <x:f>IF(B941=1,A940+1,A940)</x:f>
        <x:v>2063</x:v>
      </x:c>
      <x:c r="B941" s="41" t="n">
        <x:f>IF(B940=26,1,B940+1)</x:f>
        <x:v>4</x:v>
      </x:c>
      <x:c r="C941" s="48" t="n">
        <x:f>Inputs!$F$39</x:f>
        <x:v>600</x:v>
      </x:c>
      <x:c r="D941" s="50" t="n">
        <x:f>IF(B941=1,0,D940+E940)</x:f>
        <x:v>1800</x:v>
      </x:c>
      <x:c r="E941" s="50" t="n">
        <x:f>MIN(C941,MAX(0,Inputs!$B$7-D941))</x:f>
        <x:v>600</x:v>
      </x:c>
      <x:c r="F941" s="50" t="n">
        <x:f>MIN(C941-E941,MAX(0,Inputs!$B$20-O941))</x:f>
        <x:v>0</x:v>
      </x:c>
      <x:c r="G941" s="50" t="n">
        <x:f>0</x:f>
        <x:v>0</x:v>
      </x:c>
      <x:c r="H941" s="41" t="n">
        <x:f>0</x:f>
        <x:v>0</x:v>
      </x:c>
      <x:c r="I941" s="50" t="n">
        <x:f>(I940*(1+Inputs!$B$12))+E941</x:f>
        <x:v>1007324.6839692642</x:v>
      </x:c>
      <x:c r="J941" s="50" t="n">
        <x:f>(J940*(1+Inputs!$B$12))+F941+P941</x:f>
        <x:v>1204789.8419240732</x:v>
      </x:c>
      <x:c r="K941" s="50" t="n">
        <x:f>(K940*(1+Inputs!$B$12))*(1-H941)</x:f>
        <x:v>0</x:v>
      </x:c>
      <x:c r="L941" s="50" t="n">
        <x:f>L940*(1+Inputs!$B$13)+Q941</x:f>
        <x:v>70609.62485836838</x:v>
      </x:c>
      <x:c r="M941" s="50" t="n">
        <x:f>I941+J941+L941</x:f>
        <x:v>2282724.1507517053</x:v>
      </x:c>
      <x:c r="N941" s="50" t="n">
        <x:f>F941+P941</x:f>
        <x:v>0</x:v>
      </x:c>
      <x:c r="O941" s="50" t="n">
        <x:f>IF(B941=1,0,O940+F940+P940)</x:f>
        <x:v>0</x:v>
      </x:c>
      <x:c r="P941" s="50" t="n">
        <x:f>MIN(G941,MAX(0,Inputs!$B$20-O941-F941))</x:f>
        <x:v>0</x:v>
      </x:c>
      <x:c r="Q941" s="50" t="n">
        <x:f>(C941-E941-F941)+(G941-P941)</x:f>
        <x:v>0</x:v>
      </x:c>
    </x:row>
    <x:row r="942">
      <x:c r="A942" s="41" t="n">
        <x:f>IF(B942=1,A941+1,A941)</x:f>
        <x:v>2063</x:v>
      </x:c>
      <x:c r="B942" s="41" t="n">
        <x:f>IF(B941=26,1,B941+1)</x:f>
        <x:v>5</x:v>
      </x:c>
      <x:c r="C942" s="48" t="n">
        <x:f>Inputs!$F$39</x:f>
        <x:v>600</x:v>
      </x:c>
      <x:c r="D942" s="50" t="n">
        <x:f>IF(B942=1,0,D941+E941)</x:f>
        <x:v>2400</x:v>
      </x:c>
      <x:c r="E942" s="50" t="n">
        <x:f>MIN(C942,MAX(0,Inputs!$B$7-D942))</x:f>
        <x:v>600</x:v>
      </x:c>
      <x:c r="F942" s="50" t="n">
        <x:f>MIN(C942-E942,MAX(0,Inputs!$B$20-O942))</x:f>
        <x:v>0</x:v>
      </x:c>
      <x:c r="G942" s="50" t="n">
        <x:f>0</x:f>
        <x:v>0</x:v>
      </x:c>
      <x:c r="H942" s="41" t="n">
        <x:f>0</x:f>
        <x:v>0</x:v>
      </x:c>
      <x:c r="I942" s="50" t="n">
        <x:f>(I941*(1+Inputs!$B$12))+E942</x:f>
        <x:v>1009816.7485591793</x:v>
      </x:c>
      <x:c r="J942" s="50" t="n">
        <x:f>(J941*(1+Inputs!$B$12))+F942+P942</x:f>
        <x:v>1207052.8066210283</x:v>
      </x:c>
      <x:c r="K942" s="50" t="n">
        <x:f>(K941*(1+Inputs!$B$12))*(1-H942)</x:f>
        <x:v>0</x:v>
      </x:c>
      <x:c r="L942" s="50" t="n">
        <x:f>L941*(1+Inputs!$B$13)+Q942</x:f>
        <x:v>70733.167296249</x:v>
      </x:c>
      <x:c r="M942" s="50" t="n">
        <x:f>I942+J942+L942</x:f>
        <x:v>2287602.722476457</x:v>
      </x:c>
      <x:c r="N942" s="50" t="n">
        <x:f>F942+P942</x:f>
        <x:v>0</x:v>
      </x:c>
      <x:c r="O942" s="50" t="n">
        <x:f>IF(B942=1,0,O941+F941+P941)</x:f>
        <x:v>0</x:v>
      </x:c>
      <x:c r="P942" s="50" t="n">
        <x:f>MIN(G942,MAX(0,Inputs!$B$20-O942-F942))</x:f>
        <x:v>0</x:v>
      </x:c>
      <x:c r="Q942" s="50" t="n">
        <x:f>(C942-E942-F942)+(G942-P942)</x:f>
        <x:v>0</x:v>
      </x:c>
    </x:row>
    <x:row r="943">
      <x:c r="A943" s="41" t="n">
        <x:f>IF(B943=1,A942+1,A942)</x:f>
        <x:v>2063</x:v>
      </x:c>
      <x:c r="B943" s="41" t="n">
        <x:f>IF(B942=26,1,B942+1)</x:f>
        <x:v>6</x:v>
      </x:c>
      <x:c r="C943" s="48" t="n">
        <x:f>Inputs!$F$39</x:f>
        <x:v>600</x:v>
      </x:c>
      <x:c r="D943" s="50" t="n">
        <x:f>IF(B943=1,0,D942+E942)</x:f>
        <x:v>3000</x:v>
      </x:c>
      <x:c r="E943" s="50" t="n">
        <x:f>MIN(C943,MAX(0,Inputs!$B$7-D943))</x:f>
        <x:v>600</x:v>
      </x:c>
      <x:c r="F943" s="50" t="n">
        <x:f>MIN(C943-E943,MAX(0,Inputs!$B$20-O943))</x:f>
        <x:v>0</x:v>
      </x:c>
      <x:c r="G943" s="50" t="n">
        <x:f>0</x:f>
        <x:v>0</x:v>
      </x:c>
      <x:c r="H943" s="41" t="n">
        <x:f>0</x:f>
        <x:v>0</x:v>
      </x:c>
      <x:c r="I943" s="50" t="n">
        <x:f>(I942*(1+Inputs!$B$12))+E943</x:f>
        <x:v>1012313.4940104306</x:v>
      </x:c>
      <x:c r="J943" s="50" t="n">
        <x:f>(J942*(1+Inputs!$B$12))+F943+P943</x:f>
        <x:v>1209320.0218594817</x:v>
      </x:c>
      <x:c r="K943" s="50" t="n">
        <x:f>(K942*(1+Inputs!$B$12))*(1-H943)</x:f>
        <x:v>0</x:v>
      </x:c>
      <x:c r="L943" s="50" t="n">
        <x:f>L942*(1+Inputs!$B$13)+Q943</x:f>
        <x:v>70856.9258906945</x:v>
      </x:c>
      <x:c r="M943" s="50" t="n">
        <x:f>I943+J943+L943</x:f>
        <x:v>2292490.4417606066</x:v>
      </x:c>
      <x:c r="N943" s="50" t="n">
        <x:f>F943+P943</x:f>
        <x:v>0</x:v>
      </x:c>
      <x:c r="O943" s="50" t="n">
        <x:f>IF(B943=1,0,O942+F942+P942)</x:f>
        <x:v>0</x:v>
      </x:c>
      <x:c r="P943" s="50" t="n">
        <x:f>MIN(G943,MAX(0,Inputs!$B$20-O943-F943))</x:f>
        <x:v>0</x:v>
      </x:c>
      <x:c r="Q943" s="50" t="n">
        <x:f>(C943-E943-F943)+(G943-P943)</x:f>
        <x:v>0</x:v>
      </x:c>
    </x:row>
    <x:row r="944">
      <x:c r="A944" s="41" t="n">
        <x:f>IF(B944=1,A943+1,A943)</x:f>
        <x:v>2063</x:v>
      </x:c>
      <x:c r="B944" s="41" t="n">
        <x:f>IF(B943=26,1,B943+1)</x:f>
        <x:v>7</x:v>
      </x:c>
      <x:c r="C944" s="48" t="n">
        <x:f>Inputs!$F$39</x:f>
        <x:v>600</x:v>
      </x:c>
      <x:c r="D944" s="50" t="n">
        <x:f>IF(B944=1,0,D943+E943)</x:f>
        <x:v>3600</x:v>
      </x:c>
      <x:c r="E944" s="50" t="n">
        <x:f>MIN(C944,MAX(0,Inputs!$B$7-D944))</x:f>
        <x:v>600</x:v>
      </x:c>
      <x:c r="F944" s="50" t="n">
        <x:f>MIN(C944-E944,MAX(0,Inputs!$B$20-O944))</x:f>
        <x:v>0</x:v>
      </x:c>
      <x:c r="G944" s="50" t="n">
        <x:f>0</x:f>
        <x:v>0</x:v>
      </x:c>
      <x:c r="H944" s="41" t="n">
        <x:f>0</x:f>
        <x:v>0</x:v>
      </x:c>
      <x:c r="I944" s="50" t="n">
        <x:f>(I943*(1+Inputs!$B$12))+E944</x:f>
        <x:v>1014814.9291151111</x:v>
      </x:c>
      <x:c r="J944" s="50" t="n">
        <x:f>(J943*(1+Inputs!$B$12))+F944+P944</x:f>
        <x:v>1211591.4956232533</x:v>
      </x:c>
      <x:c r="K944" s="50" t="n">
        <x:f>(K943*(1+Inputs!$B$12))*(1-H944)</x:f>
        <x:v>0</x:v>
      </x:c>
      <x:c r="L944" s="50" t="n">
        <x:f>L943*(1+Inputs!$B$13)+Q944</x:f>
        <x:v>70980.90101990418</x:v>
      </x:c>
      <x:c r="M944" s="50" t="n">
        <x:f>I944+J944+L944</x:f>
        <x:v>2297387.3257582686</x:v>
      </x:c>
      <x:c r="N944" s="50" t="n">
        <x:f>F944+P944</x:f>
        <x:v>0</x:v>
      </x:c>
      <x:c r="O944" s="50" t="n">
        <x:f>IF(B944=1,0,O943+F943+P943)</x:f>
        <x:v>0</x:v>
      </x:c>
      <x:c r="P944" s="50" t="n">
        <x:f>MIN(G944,MAX(0,Inputs!$B$20-O944-F944))</x:f>
        <x:v>0</x:v>
      </x:c>
      <x:c r="Q944" s="50" t="n">
        <x:f>(C944-E944-F944)+(G944-P944)</x:f>
        <x:v>0</x:v>
      </x:c>
    </x:row>
    <x:row r="945">
      <x:c r="A945" s="41" t="n">
        <x:f>IF(B945=1,A944+1,A944)</x:f>
        <x:v>2063</x:v>
      </x:c>
      <x:c r="B945" s="41" t="n">
        <x:f>IF(B944=26,1,B944+1)</x:f>
        <x:v>8</x:v>
      </x:c>
      <x:c r="C945" s="48" t="n">
        <x:f>Inputs!$F$39</x:f>
        <x:v>600</x:v>
      </x:c>
      <x:c r="D945" s="50" t="n">
        <x:f>IF(B945=1,0,D944+E944)</x:f>
        <x:v>4200</x:v>
      </x:c>
      <x:c r="E945" s="50" t="n">
        <x:f>MIN(C945,MAX(0,Inputs!$B$7-D945))</x:f>
        <x:v>600</x:v>
      </x:c>
      <x:c r="F945" s="50" t="n">
        <x:f>MIN(C945-E945,MAX(0,Inputs!$B$20-O945))</x:f>
        <x:v>0</x:v>
      </x:c>
      <x:c r="G945" s="50" t="n">
        <x:f>0</x:f>
        <x:v>0</x:v>
      </x:c>
      <x:c r="H945" s="41" t="n">
        <x:f>0</x:f>
        <x:v>0</x:v>
      </x:c>
      <x:c r="I945" s="50" t="n">
        <x:f>(I944*(1+Inputs!$B$12))+E945</x:f>
        <x:v>1017321.0626818276</x:v>
      </x:c>
      <x:c r="J945" s="50" t="n">
        <x:f>(J944*(1+Inputs!$B$12))+F945+P945</x:f>
        <x:v>1213867.2359111593</x:v>
      </x:c>
      <x:c r="K945" s="50" t="n">
        <x:f>(K944*(1+Inputs!$B$12))*(1-H945)</x:f>
        <x:v>0</x:v>
      </x:c>
      <x:c r="L945" s="50" t="n">
        <x:f>L944*(1+Inputs!$B$13)+Q945</x:f>
        <x:v>71105.09306273902</x:v>
      </x:c>
      <x:c r="M945" s="50" t="n">
        <x:f>I945+J945+L945</x:f>
        <x:v>2302293.391655726</x:v>
      </x:c>
      <x:c r="N945" s="50" t="n">
        <x:f>F945+P945</x:f>
        <x:v>0</x:v>
      </x:c>
      <x:c r="O945" s="50" t="n">
        <x:f>IF(B945=1,0,O944+F944+P944)</x:f>
        <x:v>0</x:v>
      </x:c>
      <x:c r="P945" s="50" t="n">
        <x:f>MIN(G945,MAX(0,Inputs!$B$20-O945-F945))</x:f>
        <x:v>0</x:v>
      </x:c>
      <x:c r="Q945" s="50" t="n">
        <x:f>(C945-E945-F945)+(G945-P945)</x:f>
        <x:v>0</x:v>
      </x:c>
    </x:row>
    <x:row r="946">
      <x:c r="A946" s="41" t="n">
        <x:f>IF(B946=1,A945+1,A945)</x:f>
        <x:v>2063</x:v>
      </x:c>
      <x:c r="B946" s="41" t="n">
        <x:f>IF(B945=26,1,B945+1)</x:f>
        <x:v>9</x:v>
      </x:c>
      <x:c r="C946" s="48" t="n">
        <x:f>Inputs!$F$39</x:f>
        <x:v>600</x:v>
      </x:c>
      <x:c r="D946" s="50" t="n">
        <x:f>IF(B946=1,0,D945+E945)</x:f>
        <x:v>4800</x:v>
      </x:c>
      <x:c r="E946" s="50" t="n">
        <x:f>MIN(C946,MAX(0,Inputs!$B$7-D946))</x:f>
        <x:v>600</x:v>
      </x:c>
      <x:c r="F946" s="50" t="n">
        <x:f>MIN(C946-E946,MAX(0,Inputs!$B$20-O946))</x:f>
        <x:v>0</x:v>
      </x:c>
      <x:c r="G946" s="50" t="n">
        <x:f>SUM(N912:N937)*Inputs!$B$6</x:f>
        <x:v>3257.142857142857</x:v>
      </x:c>
      <x:c r="H946" s="41" t="n">
        <x:f>0</x:f>
        <x:v>0</x:v>
      </x:c>
      <x:c r="I946" s="50" t="n">
        <x:f>(I945*(1+Inputs!$B$12))+E946</x:f>
        <x:v>1019831.9035357322</x:v>
      </x:c>
      <x:c r="J946" s="50" t="n">
        <x:f>(J945*(1+Inputs!$B$12))+F946+P946</x:f>
        <x:v>1219404.393594183</x:v>
      </x:c>
      <x:c r="K946" s="50" t="n">
        <x:f>(K945*(1+Inputs!$B$12))*(1-H946)</x:f>
        <x:v>0</x:v>
      </x:c>
      <x:c r="L946" s="50" t="n">
        <x:f>L945*(1+Inputs!$B$13)+Q946</x:f>
        <x:v>71229.50239872288</x:v>
      </x:c>
      <x:c r="M946" s="50" t="n">
        <x:f>I946+J946+L946</x:f>
        <x:v>2310465.799528638</x:v>
      </x:c>
      <x:c r="N946" s="50" t="n">
        <x:f>F946+P946</x:f>
        <x:v>3257.142857142857</x:v>
      </x:c>
      <x:c r="O946" s="50" t="n">
        <x:f>IF(B946=1,0,O945+F945+P945)</x:f>
        <x:v>0</x:v>
      </x:c>
      <x:c r="P946" s="50" t="n">
        <x:f>MIN(G946,MAX(0,Inputs!$B$20-O946-F946))</x:f>
        <x:v>3257.142857142857</x:v>
      </x:c>
      <x:c r="Q946" s="50" t="n">
        <x:f>(C946-E946-F946)+(G946-P946)</x:f>
        <x:v>0</x:v>
      </x:c>
    </x:row>
    <x:row r="947">
      <x:c r="A947" s="41" t="n">
        <x:f>IF(B947=1,A946+1,A946)</x:f>
        <x:v>2063</x:v>
      </x:c>
      <x:c r="B947" s="41" t="n">
        <x:f>IF(B946=26,1,B946+1)</x:f>
        <x:v>10</x:v>
      </x:c>
      <x:c r="C947" s="48" t="n">
        <x:f>Inputs!$F$39</x:f>
        <x:v>600</x:v>
      </x:c>
      <x:c r="D947" s="50" t="n">
        <x:f>IF(B947=1,0,D946+E946)</x:f>
        <x:v>5400</x:v>
      </x:c>
      <x:c r="E947" s="50" t="n">
        <x:f>MIN(C947,MAX(0,Inputs!$B$7-D947))</x:f>
        <x:v>600</x:v>
      </x:c>
      <x:c r="F947" s="50" t="n">
        <x:f>MIN(C947-E947,MAX(0,Inputs!$B$20-O947))</x:f>
        <x:v>0</x:v>
      </x:c>
      <x:c r="G947" s="50" t="n">
        <x:f>0</x:f>
        <x:v>0</x:v>
      </x:c>
      <x:c r="H947" s="41" t="n">
        <x:f>0</x:f>
        <x:v>0</x:v>
      </x:c>
      <x:c r="I947" s="50" t="n">
        <x:f>(I946*(1+Inputs!$B$12))+E947</x:f>
        <x:v>1022347.4605185535</x:v>
      </x:c>
      <x:c r="J947" s="50" t="n">
        <x:f>(J946*(1+Inputs!$B$12))+F947+P947</x:f>
        <x:v>1221694.8088998173</x:v>
      </x:c>
      <x:c r="K947" s="50" t="n">
        <x:f>(K946*(1+Inputs!$B$12))*(1-H947)</x:f>
        <x:v>0</x:v>
      </x:c>
      <x:c r="L947" s="50" t="n">
        <x:f>L946*(1+Inputs!$B$13)+Q947</x:f>
        <x:v>71354.12940804368</x:v>
      </x:c>
      <x:c r="M947" s="50" t="n">
        <x:f>I947+J947+L947</x:f>
        <x:v>2315396.3988264147</x:v>
      </x:c>
      <x:c r="N947" s="50" t="n">
        <x:f>F947+P947</x:f>
        <x:v>0</x:v>
      </x:c>
      <x:c r="O947" s="50" t="n">
        <x:f>IF(B947=1,0,O946+F946+P946)</x:f>
        <x:v>3257.142857142857</x:v>
      </x:c>
      <x:c r="P947" s="50" t="n">
        <x:f>MIN(G947,MAX(0,Inputs!$B$20-O947-F947))</x:f>
        <x:v>0</x:v>
      </x:c>
      <x:c r="Q947" s="50" t="n">
        <x:f>(C947-E947-F947)+(G947-P947)</x:f>
        <x:v>0</x:v>
      </x:c>
    </x:row>
    <x:row r="948">
      <x:c r="A948" s="41" t="n">
        <x:f>IF(B948=1,A947+1,A947)</x:f>
        <x:v>2063</x:v>
      </x:c>
      <x:c r="B948" s="41" t="n">
        <x:f>IF(B947=26,1,B947+1)</x:f>
        <x:v>11</x:v>
      </x:c>
      <x:c r="C948" s="48" t="n">
        <x:f>Inputs!$F$39</x:f>
        <x:v>600</x:v>
      </x:c>
      <x:c r="D948" s="50" t="n">
        <x:f>IF(B948=1,0,D947+E947)</x:f>
        <x:v>6000</x:v>
      </x:c>
      <x:c r="E948" s="50" t="n">
        <x:f>MIN(C948,MAX(0,Inputs!$B$7-D948))</x:f>
        <x:v>600</x:v>
      </x:c>
      <x:c r="F948" s="50" t="n">
        <x:f>MIN(C948-E948,MAX(0,Inputs!$B$20-O948))</x:f>
        <x:v>0</x:v>
      </x:c>
      <x:c r="G948" s="50" t="n">
        <x:f>0</x:f>
        <x:v>0</x:v>
      </x:c>
      <x:c r="H948" s="41" t="n">
        <x:f>0</x:f>
        <x:v>0</x:v>
      </x:c>
      <x:c r="I948" s="50" t="n">
        <x:f>(I947*(1+Inputs!$B$12))+E948</x:f>
        <x:v>1024867.7424886276</x:v>
      </x:c>
      <x:c r="J948" s="50" t="n">
        <x:f>(J947*(1+Inputs!$B$12))+F948+P948</x:f>
        <x:v>1223989.526307609</x:v>
      </x:c>
      <x:c r="K948" s="50" t="n">
        <x:f>(K947*(1+Inputs!$B$12))*(1-H948)</x:f>
        <x:v>0</x:v>
      </x:c>
      <x:c r="L948" s="50" t="n">
        <x:f>L947*(1+Inputs!$B$13)+Q948</x:f>
        <x:v>71478.97447155451</x:v>
      </x:c>
      <x:c r="M948" s="50" t="n">
        <x:f>I948+J948+L948</x:f>
        <x:v>2320336.243267791</x:v>
      </x:c>
      <x:c r="N948" s="50" t="n">
        <x:f>F948+P948</x:f>
        <x:v>0</x:v>
      </x:c>
      <x:c r="O948" s="50" t="n">
        <x:f>IF(B948=1,0,O947+F947+P947)</x:f>
        <x:v>3257.142857142857</x:v>
      </x:c>
      <x:c r="P948" s="50" t="n">
        <x:f>MIN(G948,MAX(0,Inputs!$B$20-O948-F948))</x:f>
        <x:v>0</x:v>
      </x:c>
      <x:c r="Q948" s="50" t="n">
        <x:f>(C948-E948-F948)+(G948-P948)</x:f>
        <x:v>0</x:v>
      </x:c>
    </x:row>
    <x:row r="949">
      <x:c r="A949" s="41" t="n">
        <x:f>IF(B949=1,A948+1,A948)</x:f>
        <x:v>2063</x:v>
      </x:c>
      <x:c r="B949" s="41" t="n">
        <x:f>IF(B948=26,1,B948+1)</x:f>
        <x:v>12</x:v>
      </x:c>
      <x:c r="C949" s="48" t="n">
        <x:f>Inputs!$F$39</x:f>
        <x:v>600</x:v>
      </x:c>
      <x:c r="D949" s="50" t="n">
        <x:f>IF(B949=1,0,D948+E948)</x:f>
        <x:v>6600</x:v>
      </x:c>
      <x:c r="E949" s="50" t="n">
        <x:f>MIN(C949,MAX(0,Inputs!$B$7-D949))</x:f>
        <x:v>600</x:v>
      </x:c>
      <x:c r="F949" s="50" t="n">
        <x:f>MIN(C949-E949,MAX(0,Inputs!$B$20-O949))</x:f>
        <x:v>0</x:v>
      </x:c>
      <x:c r="G949" s="50" t="n">
        <x:f>0</x:f>
        <x:v>0</x:v>
      </x:c>
      <x:c r="H949" s="41" t="n">
        <x:f>0</x:f>
        <x:v>0</x:v>
      </x:c>
      <x:c r="I949" s="50" t="n">
        <x:f>(I948*(1+Inputs!$B$12))+E949</x:f>
        <x:v>1027392.758320929</x:v>
      </x:c>
      <x:c r="J949" s="50" t="n">
        <x:f>(J948*(1+Inputs!$B$12))+F949+P949</x:f>
        <x:v>1226288.5538982246</x:v>
      </x:c>
      <x:c r="K949" s="50" t="n">
        <x:f>(K948*(1+Inputs!$B$12))*(1-H949)</x:f>
        <x:v>0</x:v>
      </x:c>
      <x:c r="L949" s="50" t="n">
        <x:f>L948*(1+Inputs!$B$13)+Q949</x:f>
        <x:v>71604.03797077484</x:v>
      </x:c>
      <x:c r="M949" s="50" t="n">
        <x:f>I949+J949+L949</x:f>
        <x:v>2325285.3501899284</x:v>
      </x:c>
      <x:c r="N949" s="50" t="n">
        <x:f>F949+P949</x:f>
        <x:v>0</x:v>
      </x:c>
      <x:c r="O949" s="50" t="n">
        <x:f>IF(B949=1,0,O948+F948+P948)</x:f>
        <x:v>3257.142857142857</x:v>
      </x:c>
      <x:c r="P949" s="50" t="n">
        <x:f>MIN(G949,MAX(0,Inputs!$B$20-O949-F949))</x:f>
        <x:v>0</x:v>
      </x:c>
      <x:c r="Q949" s="50" t="n">
        <x:f>(C949-E949-F949)+(G949-P949)</x:f>
        <x:v>0</x:v>
      </x:c>
    </x:row>
    <x:row r="950">
      <x:c r="A950" s="41" t="n">
        <x:f>IF(B950=1,A949+1,A949)</x:f>
        <x:v>2063</x:v>
      </x:c>
      <x:c r="B950" s="41" t="n">
        <x:f>IF(B949=26,1,B949+1)</x:f>
        <x:v>13</x:v>
      </x:c>
      <x:c r="C950" s="48" t="n">
        <x:f>Inputs!$F$39</x:f>
        <x:v>600</x:v>
      </x:c>
      <x:c r="D950" s="50" t="n">
        <x:f>IF(B950=1,0,D949+E949)</x:f>
        <x:v>7200</x:v>
      </x:c>
      <x:c r="E950" s="50" t="n">
        <x:f>MIN(C950,MAX(0,Inputs!$B$7-D950))</x:f>
        <x:v>600</x:v>
      </x:c>
      <x:c r="F950" s="50" t="n">
        <x:f>MIN(C950-E950,MAX(0,Inputs!$B$20-O950))</x:f>
        <x:v>0</x:v>
      </x:c>
      <x:c r="G950" s="50" t="n">
        <x:f>0</x:f>
        <x:v>0</x:v>
      </x:c>
      <x:c r="H950" s="41" t="n">
        <x:f>0</x:f>
        <x:v>0</x:v>
      </x:c>
      <x:c r="I950" s="50" t="n">
        <x:f>(I949*(1+Inputs!$B$12))+E950</x:f>
        <x:v>1029922.5169071025</x:v>
      </x:c>
      <x:c r="J950" s="50" t="n">
        <x:f>(J949*(1+Inputs!$B$12))+F950+P950</x:f>
        <x:v>1228591.8997675092</x:v>
      </x:c>
      <x:c r="K950" s="50" t="n">
        <x:f>(K949*(1+Inputs!$B$12))*(1-H950)</x:f>
        <x:v>0</x:v>
      </x:c>
      <x:c r="L950" s="50" t="n">
        <x:f>L949*(1+Inputs!$B$13)+Q950</x:f>
        <x:v>71729.32028789166</x:v>
      </x:c>
      <x:c r="M950" s="50" t="n">
        <x:f>I950+J950+L950</x:f>
        <x:v>2330243.7369625033</x:v>
      </x:c>
      <x:c r="N950" s="50" t="n">
        <x:f>F950+P950</x:f>
        <x:v>0</x:v>
      </x:c>
      <x:c r="O950" s="50" t="n">
        <x:f>IF(B950=1,0,O949+F949+P949)</x:f>
        <x:v>3257.142857142857</x:v>
      </x:c>
      <x:c r="P950" s="50" t="n">
        <x:f>MIN(G950,MAX(0,Inputs!$B$20-O950-F950))</x:f>
        <x:v>0</x:v>
      </x:c>
      <x:c r="Q950" s="50" t="n">
        <x:f>(C950-E950-F950)+(G950-P950)</x:f>
        <x:v>0</x:v>
      </x:c>
    </x:row>
    <x:row r="951">
      <x:c r="A951" s="41" t="n">
        <x:f>IF(B951=1,A950+1,A950)</x:f>
        <x:v>2063</x:v>
      </x:c>
      <x:c r="B951" s="41" t="n">
        <x:f>IF(B950=26,1,B950+1)</x:f>
        <x:v>14</x:v>
      </x:c>
      <x:c r="C951" s="48" t="n">
        <x:f>Inputs!$F$39</x:f>
        <x:v>600</x:v>
      </x:c>
      <x:c r="D951" s="50" t="n">
        <x:f>IF(B951=1,0,D950+E950)</x:f>
        <x:v>7800</x:v>
      </x:c>
      <x:c r="E951" s="50" t="n">
        <x:f>MIN(C951,MAX(0,Inputs!$B$7-D951))</x:f>
        <x:v>200</x:v>
      </x:c>
      <x:c r="F951" s="50" t="n">
        <x:f>MIN(C951-E951,MAX(0,Inputs!$B$20-O951))</x:f>
        <x:v>400</x:v>
      </x:c>
      <x:c r="G951" s="50" t="n">
        <x:f>0</x:f>
        <x:v>0</x:v>
      </x:c>
      <x:c r="H951" s="41" t="n">
        <x:f>0</x:f>
        <x:v>0</x:v>
      </x:c>
      <x:c r="I951" s="50" t="n">
        <x:f>(I950*(1+Inputs!$B$12))+E951</x:f>
        <x:v>1032057.027155494</x:v>
      </x:c>
      <x:c r="J951" s="50" t="n">
        <x:f>(J950*(1+Inputs!$B$12))+F951+P951</x:f>
        <x:v>1231299.572026514</x:v>
      </x:c>
      <x:c r="K951" s="50" t="n">
        <x:f>(K950*(1+Inputs!$B$12))*(1-H951)</x:f>
        <x:v>0</x:v>
      </x:c>
      <x:c r="L951" s="50" t="n">
        <x:f>L950*(1+Inputs!$B$13)+Q951</x:f>
        <x:v>71854.82180576067</x:v>
      </x:c>
      <x:c r="M951" s="50" t="n">
        <x:f>I951+J951+L951</x:f>
        <x:v>2335211.4209877686</x:v>
      </x:c>
      <x:c r="N951" s="50" t="n">
        <x:f>F951+P951</x:f>
        <x:v>400</x:v>
      </x:c>
      <x:c r="O951" s="50" t="n">
        <x:f>IF(B951=1,0,O950+F950+P950)</x:f>
        <x:v>3257.142857142857</x:v>
      </x:c>
      <x:c r="P951" s="50" t="n">
        <x:f>MIN(G951,MAX(0,Inputs!$B$20-O951-F951))</x:f>
        <x:v>0</x:v>
      </x:c>
      <x:c r="Q951" s="50" t="n">
        <x:f>(C951-E951-F951)+(G951-P951)</x:f>
        <x:v>0</x:v>
      </x:c>
    </x:row>
    <x:row r="952">
      <x:c r="A952" s="41" t="n">
        <x:f>IF(B952=1,A951+1,A951)</x:f>
        <x:v>2063</x:v>
      </x:c>
      <x:c r="B952" s="41" t="n">
        <x:f>IF(B951=26,1,B951+1)</x:f>
        <x:v>15</x:v>
      </x:c>
      <x:c r="C952" s="48" t="n">
        <x:f>Inputs!$F$39</x:f>
        <x:v>600</x:v>
      </x:c>
      <x:c r="D952" s="50" t="n">
        <x:f>IF(B952=1,0,D951+E951)</x:f>
        <x:v>8000</x:v>
      </x:c>
      <x:c r="E952" s="50" t="n">
        <x:f>MIN(C952,MAX(0,Inputs!$B$7-D952))</x:f>
        <x:v>0</x:v>
      </x:c>
      <x:c r="F952" s="50" t="n">
        <x:f>MIN(C952-E952,MAX(0,Inputs!$B$20-O952))</x:f>
        <x:v>600</x:v>
      </x:c>
      <x:c r="G952" s="50" t="n">
        <x:f>0</x:f>
        <x:v>0</x:v>
      </x:c>
      <x:c r="H952" s="41" t="n">
        <x:f>0</x:f>
        <x:v>0</x:v>
      </x:c>
      <x:c r="I952" s="50" t="n">
        <x:f>(I951*(1+Inputs!$B$12))+E952</x:f>
        <x:v>1033995.5466685465</x:v>
      </x:c>
      <x:c r="J952" s="50" t="n">
        <x:f>(J951*(1+Inputs!$B$12))+F952+P952</x:f>
        <x:v>1234212.3301241603</x:v>
      </x:c>
      <x:c r="K952" s="50" t="n">
        <x:f>(K951*(1+Inputs!$B$12))*(1-H952)</x:f>
        <x:v>0</x:v>
      </x:c>
      <x:c r="L952" s="50" t="n">
        <x:f>L951*(1+Inputs!$B$13)+Q952</x:f>
        <x:v>71980.54290790741</x:v>
      </x:c>
      <x:c r="M952" s="50" t="n">
        <x:f>I952+J952+L952</x:f>
        <x:v>2340188.419700614</x:v>
      </x:c>
      <x:c r="N952" s="50" t="n">
        <x:f>F952+P952</x:f>
        <x:v>600</x:v>
      </x:c>
      <x:c r="O952" s="50" t="n">
        <x:f>IF(B952=1,0,O951+F951+P951)</x:f>
        <x:v>3657.142857142857</x:v>
      </x:c>
      <x:c r="P952" s="50" t="n">
        <x:f>MIN(G952,MAX(0,Inputs!$B$20-O952-F952))</x:f>
        <x:v>0</x:v>
      </x:c>
      <x:c r="Q952" s="50" t="n">
        <x:f>(C952-E952-F952)+(G952-P952)</x:f>
        <x:v>0</x:v>
      </x:c>
    </x:row>
    <x:row r="953">
      <x:c r="A953" s="41" t="n">
        <x:f>IF(B953=1,A952+1,A952)</x:f>
        <x:v>2063</x:v>
      </x:c>
      <x:c r="B953" s="41" t="n">
        <x:f>IF(B952=26,1,B952+1)</x:f>
        <x:v>16</x:v>
      </x:c>
      <x:c r="C953" s="48" t="n">
        <x:f>Inputs!$F$39</x:f>
        <x:v>600</x:v>
      </x:c>
      <x:c r="D953" s="50" t="n">
        <x:f>IF(B953=1,0,D952+E952)</x:f>
        <x:v>8000</x:v>
      </x:c>
      <x:c r="E953" s="50" t="n">
        <x:f>MIN(C953,MAX(0,Inputs!$B$7-D953))</x:f>
        <x:v>0</x:v>
      </x:c>
      <x:c r="F953" s="50" t="n">
        <x:f>MIN(C953-E953,MAX(0,Inputs!$B$20-O953))</x:f>
        <x:v>600</x:v>
      </x:c>
      <x:c r="G953" s="50" t="n">
        <x:f>0</x:f>
        <x:v>0</x:v>
      </x:c>
      <x:c r="H953" s="41" t="n">
        <x:f>0</x:f>
        <x:v>0</x:v>
      </x:c>
      <x:c r="I953" s="50" t="n">
        <x:f>(I952*(1+Inputs!$B$12))+E953</x:f>
        <x:v>1035937.7073155709</x:v>
      </x:c>
      <x:c r="J953" s="50" t="n">
        <x:f>(J952*(1+Inputs!$B$12))+F953+P953</x:f>
        <x:v>1237130.55927453</x:v>
      </x:c>
      <x:c r="K953" s="50" t="n">
        <x:f>(K952*(1+Inputs!$B$12))*(1-H953)</x:f>
        <x:v>0</x:v>
      </x:c>
      <x:c r="L953" s="50" t="n">
        <x:f>L952*(1+Inputs!$B$13)+Q953</x:f>
        <x:v>72106.48397852846</x:v>
      </x:c>
      <x:c r="M953" s="50" t="n">
        <x:f>I953+J953+L953</x:f>
        <x:v>2345174.7505686292</x:v>
      </x:c>
      <x:c r="N953" s="50" t="n">
        <x:f>F953+P953</x:f>
        <x:v>600</x:v>
      </x:c>
      <x:c r="O953" s="50" t="n">
        <x:f>IF(B953=1,0,O952+F952+P952)</x:f>
        <x:v>4257.142857142857</x:v>
      </x:c>
      <x:c r="P953" s="50" t="n">
        <x:f>MIN(G953,MAX(0,Inputs!$B$20-O953-F953))</x:f>
        <x:v>0</x:v>
      </x:c>
      <x:c r="Q953" s="50" t="n">
        <x:f>(C953-E953-F953)+(G953-P953)</x:f>
        <x:v>0</x:v>
      </x:c>
    </x:row>
    <x:row r="954">
      <x:c r="A954" s="41" t="n">
        <x:f>IF(B954=1,A953+1,A953)</x:f>
        <x:v>2063</x:v>
      </x:c>
      <x:c r="B954" s="41" t="n">
        <x:f>IF(B953=26,1,B953+1)</x:f>
        <x:v>17</x:v>
      </x:c>
      <x:c r="C954" s="48" t="n">
        <x:f>Inputs!$F$39</x:f>
        <x:v>600</x:v>
      </x:c>
      <x:c r="D954" s="50" t="n">
        <x:f>IF(B954=1,0,D953+E953)</x:f>
        <x:v>8000</x:v>
      </x:c>
      <x:c r="E954" s="50" t="n">
        <x:f>MIN(C954,MAX(0,Inputs!$B$7-D954))</x:f>
        <x:v>0</x:v>
      </x:c>
      <x:c r="F954" s="50" t="n">
        <x:f>MIN(C954-E954,MAX(0,Inputs!$B$20-O954))</x:f>
        <x:v>600</x:v>
      </x:c>
      <x:c r="G954" s="50" t="n">
        <x:f>0</x:f>
        <x:v>0</x:v>
      </x:c>
      <x:c r="H954" s="41" t="n">
        <x:f>0</x:f>
        <x:v>0</x:v>
      </x:c>
      <x:c r="I954" s="50" t="n">
        <x:f>(I953*(1+Inputs!$B$12))+E954</x:f>
        <x:v>1037883.5159357331</x:v>
      </x:c>
      <x:c r="J954" s="50" t="n">
        <x:f>(J953*(1+Inputs!$B$12))+F954+P954</x:f>
        <x:v>1240054.2697539374</x:v>
      </x:c>
      <x:c r="K954" s="50" t="n">
        <x:f>(K953*(1+Inputs!$B$12))*(1-H954)</x:f>
        <x:v>0</x:v>
      </x:c>
      <x:c r="L954" s="50" t="n">
        <x:f>L953*(1+Inputs!$B$13)+Q954</x:f>
        <x:v>72232.64540249262</x:v>
      </x:c>
      <x:c r="M954" s="50" t="n">
        <x:f>I954+J954+L954</x:f>
        <x:v>2350170.431092163</x:v>
      </x:c>
      <x:c r="N954" s="50" t="n">
        <x:f>F954+P954</x:f>
        <x:v>600</x:v>
      </x:c>
      <x:c r="O954" s="50" t="n">
        <x:f>IF(B954=1,0,O953+F953+P953)</x:f>
        <x:v>4857.142857142857</x:v>
      </x:c>
      <x:c r="P954" s="50" t="n">
        <x:f>MIN(G954,MAX(0,Inputs!$B$20-O954-F954))</x:f>
        <x:v>0</x:v>
      </x:c>
      <x:c r="Q954" s="50" t="n">
        <x:f>(C954-E954-F954)+(G954-P954)</x:f>
        <x:v>0</x:v>
      </x:c>
    </x:row>
    <x:row r="955">
      <x:c r="A955" s="41" t="n">
        <x:f>IF(B955=1,A954+1,A954)</x:f>
        <x:v>2063</x:v>
      </x:c>
      <x:c r="B955" s="41" t="n">
        <x:f>IF(B954=26,1,B954+1)</x:f>
        <x:v>18</x:v>
      </x:c>
      <x:c r="C955" s="48" t="n">
        <x:f>Inputs!$F$39</x:f>
        <x:v>600</x:v>
      </x:c>
      <x:c r="D955" s="50" t="n">
        <x:f>IF(B955=1,0,D954+E954)</x:f>
        <x:v>8000</x:v>
      </x:c>
      <x:c r="E955" s="50" t="n">
        <x:f>MIN(C955,MAX(0,Inputs!$B$7-D955))</x:f>
        <x:v>0</x:v>
      </x:c>
      <x:c r="F955" s="50" t="n">
        <x:f>MIN(C955-E955,MAX(0,Inputs!$B$20-O955))</x:f>
        <x:v>600</x:v>
      </x:c>
      <x:c r="G955" s="50" t="n">
        <x:f>0</x:f>
        <x:v>0</x:v>
      </x:c>
      <x:c r="H955" s="41" t="n">
        <x:f>0</x:f>
        <x:v>0</x:v>
      </x:c>
      <x:c r="I955" s="50" t="n">
        <x:f>(I954*(1+Inputs!$B$12))+E955</x:f>
        <x:v>1039832.9793810451</x:v>
      </x:c>
      <x:c r="J955" s="50" t="n">
        <x:f>(J954*(1+Inputs!$B$12))+F955+P955</x:f>
        <x:v>1242983.471857999</x:v>
      </x:c>
      <x:c r="K955" s="50" t="n">
        <x:f>(K954*(1+Inputs!$B$12))*(1-H955)</x:f>
        <x:v>0</x:v>
      </x:c>
      <x:c r="L955" s="50" t="n">
        <x:f>L954*(1+Inputs!$B$13)+Q955</x:f>
        <x:v>72359.0275653421</x:v>
      </x:c>
      <x:c r="M955" s="50" t="n">
        <x:f>I955+J955+L955</x:f>
        <x:v>2355175.4788043858</x:v>
      </x:c>
      <x:c r="N955" s="50" t="n">
        <x:f>F955+P955</x:f>
        <x:v>600</x:v>
      </x:c>
      <x:c r="O955" s="50" t="n">
        <x:f>IF(B955=1,0,O954+F954+P954)</x:f>
        <x:v>5457.142857142857</x:v>
      </x:c>
      <x:c r="P955" s="50" t="n">
        <x:f>MIN(G955,MAX(0,Inputs!$B$20-O955-F955))</x:f>
        <x:v>0</x:v>
      </x:c>
      <x:c r="Q955" s="50" t="n">
        <x:f>(C955-E955-F955)+(G955-P955)</x:f>
        <x:v>0</x:v>
      </x:c>
    </x:row>
    <x:row r="956">
      <x:c r="A956" s="41" t="n">
        <x:f>IF(B956=1,A955+1,A955)</x:f>
        <x:v>2063</x:v>
      </x:c>
      <x:c r="B956" s="41" t="n">
        <x:f>IF(B955=26,1,B955+1)</x:f>
        <x:v>19</x:v>
      </x:c>
      <x:c r="C956" s="48" t="n">
        <x:f>Inputs!$F$39</x:f>
        <x:v>600</x:v>
      </x:c>
      <x:c r="D956" s="50" t="n">
        <x:f>IF(B956=1,0,D955+E955)</x:f>
        <x:v>8000</x:v>
      </x:c>
      <x:c r="E956" s="50" t="n">
        <x:f>MIN(C956,MAX(0,Inputs!$B$7-D956))</x:f>
        <x:v>0</x:v>
      </x:c>
      <x:c r="F956" s="50" t="n">
        <x:f>MIN(C956-E956,MAX(0,Inputs!$B$20-O956))</x:f>
        <x:v>600</x:v>
      </x:c>
      <x:c r="G956" s="50" t="n">
        <x:f>0</x:f>
        <x:v>0</x:v>
      </x:c>
      <x:c r="H956" s="41" t="n">
        <x:f>0</x:f>
        <x:v>0</x:v>
      </x:c>
      <x:c r="I956" s="50" t="n">
        <x:f>(I955*(1+Inputs!$B$12))+E956</x:f>
        <x:v>1041786.1045163891</x:v>
      </x:c>
      <x:c r="J956" s="50" t="n">
        <x:f>(J955*(1+Inputs!$B$12))+F956+P956</x:f>
        <x:v>1245918.1759016695</x:v>
      </x:c>
      <x:c r="K956" s="50" t="n">
        <x:f>(K955*(1+Inputs!$B$12))*(1-H956)</x:f>
        <x:v>0</x:v>
      </x:c>
      <x:c r="L956" s="50" t="n">
        <x:f>L955*(1+Inputs!$B$13)+Q956</x:f>
        <x:v>72485.63085329362</x:v>
      </x:c>
      <x:c r="M956" s="50" t="n">
        <x:f>I956+J956+L956</x:f>
        <x:v>2360189.9112713523</x:v>
      </x:c>
      <x:c r="N956" s="50" t="n">
        <x:f>F956+P956</x:f>
        <x:v>600</x:v>
      </x:c>
      <x:c r="O956" s="50" t="n">
        <x:f>IF(B956=1,0,O955+F955+P955)</x:f>
        <x:v>6057.142857142857</x:v>
      </x:c>
      <x:c r="P956" s="50" t="n">
        <x:f>MIN(G956,MAX(0,Inputs!$B$20-O956-F956))</x:f>
        <x:v>0</x:v>
      </x:c>
      <x:c r="Q956" s="50" t="n">
        <x:f>(C956-E956-F956)+(G956-P956)</x:f>
        <x:v>0</x:v>
      </x:c>
    </x:row>
    <x:row r="957">
      <x:c r="A957" s="41" t="n">
        <x:f>IF(B957=1,A956+1,A956)</x:f>
        <x:v>2063</x:v>
      </x:c>
      <x:c r="B957" s="41" t="n">
        <x:f>IF(B956=26,1,B956+1)</x:f>
        <x:v>20</x:v>
      </x:c>
      <x:c r="C957" s="48" t="n">
        <x:f>Inputs!$F$39</x:f>
        <x:v>600</x:v>
      </x:c>
      <x:c r="D957" s="50" t="n">
        <x:f>IF(B957=1,0,D956+E956)</x:f>
        <x:v>8000</x:v>
      </x:c>
      <x:c r="E957" s="50" t="n">
        <x:f>MIN(C957,MAX(0,Inputs!$B$7-D957))</x:f>
        <x:v>0</x:v>
      </x:c>
      <x:c r="F957" s="50" t="n">
        <x:f>MIN(C957-E957,MAX(0,Inputs!$B$20-O957))</x:f>
        <x:v>600</x:v>
      </x:c>
      <x:c r="G957" s="50" t="n">
        <x:f>0</x:f>
        <x:v>0</x:v>
      </x:c>
      <x:c r="H957" s="41" t="n">
        <x:f>0</x:f>
        <x:v>0</x:v>
      </x:c>
      <x:c r="I957" s="50" t="n">
        <x:f>(I956*(1+Inputs!$B$12))+E957</x:f>
        <x:v>1043742.8982195415</x:v>
      </x:c>
      <x:c r="J957" s="50" t="n">
        <x:f>(J956*(1+Inputs!$B$12))+F957+P957</x:f>
        <x:v>1248858.3922192785</x:v>
      </x:c>
      <x:c r="K957" s="50" t="n">
        <x:f>(K956*(1+Inputs!$B$12))*(1-H957)</x:f>
        <x:v>0</x:v>
      </x:c>
      <x:c r="L957" s="50" t="n">
        <x:f>L956*(1+Inputs!$B$13)+Q957</x:f>
        <x:v>72612.45565323971</x:v>
      </x:c>
      <x:c r="M957" s="50" t="n">
        <x:f>I957+J957+L957</x:f>
        <x:v>2365213.7460920596</x:v>
      </x:c>
      <x:c r="N957" s="50" t="n">
        <x:f>F957+P957</x:f>
        <x:v>600</x:v>
      </x:c>
      <x:c r="O957" s="50" t="n">
        <x:f>IF(B957=1,0,O956+F956+P956)</x:f>
        <x:v>6657.142857142857</x:v>
      </x:c>
      <x:c r="P957" s="50" t="n">
        <x:f>MIN(G957,MAX(0,Inputs!$B$20-O957-F957))</x:f>
        <x:v>0</x:v>
      </x:c>
      <x:c r="Q957" s="50" t="n">
        <x:f>(C957-E957-F957)+(G957-P957)</x:f>
        <x:v>0</x:v>
      </x:c>
    </x:row>
    <x:row r="958">
      <x:c r="A958" s="41" t="n">
        <x:f>IF(B958=1,A957+1,A957)</x:f>
        <x:v>2063</x:v>
      </x:c>
      <x:c r="B958" s="41" t="n">
        <x:f>IF(B957=26,1,B957+1)</x:f>
        <x:v>21</x:v>
      </x:c>
      <x:c r="C958" s="48" t="n">
        <x:f>Inputs!$F$39</x:f>
        <x:v>600</x:v>
      </x:c>
      <x:c r="D958" s="50" t="n">
        <x:f>IF(B958=1,0,D957+E957)</x:f>
        <x:v>8000</x:v>
      </x:c>
      <x:c r="E958" s="50" t="n">
        <x:f>MIN(C958,MAX(0,Inputs!$B$7-D958))</x:f>
        <x:v>0</x:v>
      </x:c>
      <x:c r="F958" s="50" t="n">
        <x:f>MIN(C958-E958,MAX(0,Inputs!$B$20-O958))</x:f>
        <x:v>600</x:v>
      </x:c>
      <x:c r="G958" s="50" t="n">
        <x:f>0</x:f>
        <x:v>0</x:v>
      </x:c>
      <x:c r="H958" s="41" t="n">
        <x:f>0</x:f>
        <x:v>0</x:v>
      </x:c>
      <x:c r="I958" s="50" t="n">
        <x:f>(I957*(1+Inputs!$B$12))+E958</x:f>
        <x:v>1045703.3673811974</x:v>
      </x:c>
      <x:c r="J958" s="50" t="n">
        <x:f>(J957*(1+Inputs!$B$12))+F958+P958</x:f>
        <x:v>1251804.1311645661</x:v>
      </x:c>
      <x:c r="K958" s="50" t="n">
        <x:f>(K957*(1+Inputs!$B$12))*(1-H958)</x:f>
        <x:v>0</x:v>
      </x:c>
      <x:c r="L958" s="50" t="n">
        <x:f>L957*(1+Inputs!$B$13)+Q958</x:f>
        <x:v>72739.50235274978</x:v>
      </x:c>
      <x:c r="M958" s="50" t="n">
        <x:f>I958+J958+L958</x:f>
        <x:v>2370247.0008985135</x:v>
      </x:c>
      <x:c r="N958" s="50" t="n">
        <x:f>F958+P958</x:f>
        <x:v>600</x:v>
      </x:c>
      <x:c r="O958" s="50" t="n">
        <x:f>IF(B958=1,0,O957+F957+P957)</x:f>
        <x:v>7257.142857142857</x:v>
      </x:c>
      <x:c r="P958" s="50" t="n">
        <x:f>MIN(G958,MAX(0,Inputs!$B$20-O958-F958))</x:f>
        <x:v>0</x:v>
      </x:c>
      <x:c r="Q958" s="50" t="n">
        <x:f>(C958-E958-F958)+(G958-P958)</x:f>
        <x:v>0</x:v>
      </x:c>
    </x:row>
    <x:row r="959">
      <x:c r="A959" s="41" t="n">
        <x:f>IF(B959=1,A958+1,A958)</x:f>
        <x:v>2063</x:v>
      </x:c>
      <x:c r="B959" s="41" t="n">
        <x:f>IF(B958=26,1,B958+1)</x:f>
        <x:v>22</x:v>
      </x:c>
      <x:c r="C959" s="48" t="n">
        <x:f>Inputs!$F$39</x:f>
        <x:v>600</x:v>
      </x:c>
      <x:c r="D959" s="50" t="n">
        <x:f>IF(B959=1,0,D958+E958)</x:f>
        <x:v>8000</x:v>
      </x:c>
      <x:c r="E959" s="50" t="n">
        <x:f>MIN(C959,MAX(0,Inputs!$B$7-D959))</x:f>
        <x:v>0</x:v>
      </x:c>
      <x:c r="F959" s="50" t="n">
        <x:f>MIN(C959-E959,MAX(0,Inputs!$B$20-O959))</x:f>
        <x:v>600</x:v>
      </x:c>
      <x:c r="G959" s="50" t="n">
        <x:f>0</x:f>
        <x:v>0</x:v>
      </x:c>
      <x:c r="H959" s="41" t="n">
        <x:f>0</x:f>
        <x:v>0</x:v>
      </x:c>
      <x:c r="I959" s="50" t="n">
        <x:f>(I958*(1+Inputs!$B$12))+E959</x:f>
        <x:v>1047667.5189049947</x:v>
      </x:c>
      <x:c r="J959" s="50" t="n">
        <x:f>(J958*(1+Inputs!$B$12))+F959+P959</x:f>
        <x:v>1254755.4031107207</x:v>
      </x:c>
      <x:c r="K959" s="50" t="n">
        <x:f>(K958*(1+Inputs!$B$12))*(1-H959)</x:f>
        <x:v>0</x:v>
      </x:c>
      <x:c r="L959" s="50" t="n">
        <x:f>L958*(1+Inputs!$B$13)+Q959</x:f>
        <x:v>72866.77134007137</x:v>
      </x:c>
      <x:c r="M959" s="50" t="n">
        <x:f>I959+J959+L959</x:f>
        <x:v>2375289.6933557866</x:v>
      </x:c>
      <x:c r="N959" s="50" t="n">
        <x:f>F959+P959</x:f>
        <x:v>600</x:v>
      </x:c>
      <x:c r="O959" s="50" t="n">
        <x:f>IF(B959=1,0,O958+F958+P958)</x:f>
        <x:v>7857.142857142857</x:v>
      </x:c>
      <x:c r="P959" s="50" t="n">
        <x:f>MIN(G959,MAX(0,Inputs!$B$20-O959-F959))</x:f>
        <x:v>0</x:v>
      </x:c>
      <x:c r="Q959" s="50" t="n">
        <x:f>(C959-E959-F959)+(G959-P959)</x:f>
        <x:v>0</x:v>
      </x:c>
    </x:row>
    <x:row r="960">
      <x:c r="A960" s="41" t="n">
        <x:f>IF(B960=1,A959+1,A959)</x:f>
        <x:v>2063</x:v>
      </x:c>
      <x:c r="B960" s="41" t="n">
        <x:f>IF(B959=26,1,B959+1)</x:f>
        <x:v>23</x:v>
      </x:c>
      <x:c r="C960" s="48" t="n">
        <x:f>Inputs!$F$39</x:f>
        <x:v>600</x:v>
      </x:c>
      <x:c r="D960" s="50" t="n">
        <x:f>IF(B960=1,0,D959+E959)</x:f>
        <x:v>8000</x:v>
      </x:c>
      <x:c r="E960" s="50" t="n">
        <x:f>MIN(C960,MAX(0,Inputs!$B$7-D960))</x:f>
        <x:v>0</x:v>
      </x:c>
      <x:c r="F960" s="50" t="n">
        <x:f>MIN(C960-E960,MAX(0,Inputs!$B$20-O960))</x:f>
        <x:v>600</x:v>
      </x:c>
      <x:c r="G960" s="50" t="n">
        <x:f>0</x:f>
        <x:v>0</x:v>
      </x:c>
      <x:c r="H960" s="41" t="n">
        <x:f>0</x:f>
        <x:v>0</x:v>
      </x:c>
      <x:c r="I960" s="50" t="n">
        <x:f>(I959*(1+Inputs!$B$12))+E960</x:f>
        <x:v>1049635.3597075385</x:v>
      </x:c>
      <x:c r="J960" s="50" t="n">
        <x:f>(J959*(1+Inputs!$B$12))+F960+P960</x:f>
        <x:v>1257712.218450414</x:v>
      </x:c>
      <x:c r="K960" s="50" t="n">
        <x:f>(K959*(1+Inputs!$B$12))*(1-H960)</x:f>
        <x:v>0</x:v>
      </x:c>
      <x:c r="L960" s="50" t="n">
        <x:f>L959*(1+Inputs!$B$13)+Q960</x:f>
        <x:v>72994.26300413132</x:v>
      </x:c>
      <x:c r="M960" s="50" t="n">
        <x:f>I960+J960+L960</x:f>
        <x:v>2380341.8411620837</x:v>
      </x:c>
      <x:c r="N960" s="50" t="n">
        <x:f>F960+P960</x:f>
        <x:v>600</x:v>
      </x:c>
      <x:c r="O960" s="50" t="n">
        <x:f>IF(B960=1,0,O959+F959+P959)</x:f>
        <x:v>8457.142857142857</x:v>
      </x:c>
      <x:c r="P960" s="50" t="n">
        <x:f>MIN(G960,MAX(0,Inputs!$B$20-O960-F960))</x:f>
        <x:v>0</x:v>
      </x:c>
      <x:c r="Q960" s="50" t="n">
        <x:f>(C960-E960-F960)+(G960-P960)</x:f>
        <x:v>0</x:v>
      </x:c>
    </x:row>
    <x:row r="961">
      <x:c r="A961" s="41" t="n">
        <x:f>IF(B961=1,A960+1,A960)</x:f>
        <x:v>2063</x:v>
      </x:c>
      <x:c r="B961" s="41" t="n">
        <x:f>IF(B960=26,1,B960+1)</x:f>
        <x:v>24</x:v>
      </x:c>
      <x:c r="C961" s="48" t="n">
        <x:f>Inputs!$F$39</x:f>
        <x:v>600</x:v>
      </x:c>
      <x:c r="D961" s="50" t="n">
        <x:f>IF(B961=1,0,D960+E960)</x:f>
        <x:v>8000</x:v>
      </x:c>
      <x:c r="E961" s="50" t="n">
        <x:f>MIN(C961,MAX(0,Inputs!$B$7-D961))</x:f>
        <x:v>0</x:v>
      </x:c>
      <x:c r="F961" s="50" t="n">
        <x:f>MIN(C961-E961,MAX(0,Inputs!$B$20-O961))</x:f>
        <x:v>600</x:v>
      </x:c>
      <x:c r="G961" s="50" t="n">
        <x:f>0</x:f>
        <x:v>0</x:v>
      </x:c>
      <x:c r="H961" s="41" t="n">
        <x:f>0</x:f>
        <x:v>0</x:v>
      </x:c>
      <x:c r="I961" s="50" t="n">
        <x:f>(I960*(1+Inputs!$B$12))+E961</x:f>
        <x:v>1051606.8967184254</x:v>
      </x:c>
      <x:c r="J961" s="50" t="n">
        <x:f>(J960*(1+Inputs!$B$12))+F961+P961</x:f>
        <x:v>1260674.5875958386</x:v>
      </x:c>
      <x:c r="K961" s="50" t="n">
        <x:f>(K960*(1+Inputs!$B$12))*(1-H961)</x:f>
        <x:v>0</x:v>
      </x:c>
      <x:c r="L961" s="50" t="n">
        <x:f>L960*(1+Inputs!$B$13)+Q961</x:f>
        <x:v>73121.97773453697</x:v>
      </x:c>
      <x:c r="M961" s="50" t="n">
        <x:f>I961+J961+L961</x:f>
        <x:v>2385403.4620488007</x:v>
      </x:c>
      <x:c r="N961" s="50" t="n">
        <x:f>F961+P961</x:f>
        <x:v>600</x:v>
      </x:c>
      <x:c r="O961" s="50" t="n">
        <x:f>IF(B961=1,0,O960+F960+P960)</x:f>
        <x:v>9057.142857142857</x:v>
      </x:c>
      <x:c r="P961" s="50" t="n">
        <x:f>MIN(G961,MAX(0,Inputs!$B$20-O961-F961))</x:f>
        <x:v>0</x:v>
      </x:c>
      <x:c r="Q961" s="50" t="n">
        <x:f>(C961-E961-F961)+(G961-P961)</x:f>
        <x:v>0</x:v>
      </x:c>
    </x:row>
    <x:row r="962">
      <x:c r="A962" s="41" t="n">
        <x:f>IF(B962=1,A961+1,A961)</x:f>
        <x:v>2063</x:v>
      </x:c>
      <x:c r="B962" s="41" t="n">
        <x:f>IF(B961=26,1,B961+1)</x:f>
        <x:v>25</x:v>
      </x:c>
      <x:c r="C962" s="48" t="n">
        <x:f>Inputs!$F$39</x:f>
        <x:v>600</x:v>
      </x:c>
      <x:c r="D962" s="50" t="n">
        <x:f>IF(B962=1,0,D961+E961)</x:f>
        <x:v>8000</x:v>
      </x:c>
      <x:c r="E962" s="50" t="n">
        <x:f>MIN(C962,MAX(0,Inputs!$B$7-D962))</x:f>
        <x:v>0</x:v>
      </x:c>
      <x:c r="F962" s="50" t="n">
        <x:f>MIN(C962-E962,MAX(0,Inputs!$B$20-O962))</x:f>
        <x:v>600</x:v>
      </x:c>
      <x:c r="G962" s="50" t="n">
        <x:f>0</x:f>
        <x:v>0</x:v>
      </x:c>
      <x:c r="H962" s="41" t="n">
        <x:f>0</x:f>
        <x:v>0</x:v>
      </x:c>
      <x:c r="I962" s="50" t="n">
        <x:f>(I961*(1+Inputs!$B$12))+E962</x:f>
        <x:v>1053582.1368802679</x:v>
      </x:c>
      <x:c r="J962" s="50" t="n">
        <x:f>(J961*(1+Inputs!$B$12))+F962+P962</x:f>
        <x:v>1263642.5209787444</x:v>
      </x:c>
      <x:c r="K962" s="50" t="n">
        <x:f>(K961*(1+Inputs!$B$12))*(1-H962)</x:f>
        <x:v>0</x:v>
      </x:c>
      <x:c r="L962" s="50" t="n">
        <x:f>L961*(1+Inputs!$B$13)+Q962</x:f>
        <x:v>73249.9159215773</x:v>
      </x:c>
      <x:c r="M962" s="50" t="n">
        <x:f>I962+J962+L962</x:f>
        <x:v>2390474.5737805897</x:v>
      </x:c>
      <x:c r="N962" s="50" t="n">
        <x:f>F962+P962</x:f>
        <x:v>600</x:v>
      </x:c>
      <x:c r="O962" s="50" t="n">
        <x:f>IF(B962=1,0,O961+F961+P961)</x:f>
        <x:v>9657.142857142857</x:v>
      </x:c>
      <x:c r="P962" s="50" t="n">
        <x:f>MIN(G962,MAX(0,Inputs!$B$20-O962-F962))</x:f>
        <x:v>0</x:v>
      </x:c>
      <x:c r="Q962" s="50" t="n">
        <x:f>(C962-E962-F962)+(G962-P962)</x:f>
        <x:v>0</x:v>
      </x:c>
    </x:row>
    <x:row r="963">
      <x:c r="A963" s="41" t="n">
        <x:f>IF(B963=1,A962+1,A962)</x:f>
        <x:v>2063</x:v>
      </x:c>
      <x:c r="B963" s="41" t="n">
        <x:f>IF(B962=26,1,B962+1)</x:f>
        <x:v>26</x:v>
      </x:c>
      <x:c r="C963" s="48" t="n">
        <x:f>Inputs!$F$39</x:f>
        <x:v>600</x:v>
      </x:c>
      <x:c r="D963" s="50" t="n">
        <x:f>IF(B963=1,0,D962+E962)</x:f>
        <x:v>8000</x:v>
      </x:c>
      <x:c r="E963" s="50" t="n">
        <x:f>MIN(C963,MAX(0,Inputs!$B$7-D963))</x:f>
        <x:v>0</x:v>
      </x:c>
      <x:c r="F963" s="50" t="n">
        <x:f>MIN(C963-E963,MAX(0,Inputs!$B$20-O963))</x:f>
        <x:v>600</x:v>
      </x:c>
      <x:c r="G963" s="50" t="n">
        <x:f>0</x:f>
        <x:v>0</x:v>
      </x:c>
      <x:c r="H963" s="41" t="n">
        <x:f>IF(A963=Inputs!$B$8,1,0)</x:f>
        <x:v>0</x:v>
      </x:c>
      <x:c r="I963" s="50" t="n">
        <x:f>(I962*(1+Inputs!$B$12))+E963</x:f>
        <x:v>1055561.0871487188</x:v>
      </x:c>
      <x:c r="J963" s="50" t="n">
        <x:f>(J962*(1+Inputs!$B$12))+F963+P963</x:f>
        <x:v>1266616.0290504755</x:v>
      </x:c>
      <x:c r="K963" s="50" t="n">
        <x:f>(K962*(1+Inputs!$B$12))*(1-H963)</x:f>
        <x:v>0</x:v>
      </x:c>
      <x:c r="L963" s="50" t="n">
        <x:f>L962*(1+Inputs!$B$13)+Q963</x:f>
        <x:v>73378.0779562242</x:v>
      </x:c>
      <x:c r="M963" s="50" t="n">
        <x:f>I963+J963+L963</x:f>
        <x:v>2395555.194155419</x:v>
      </x:c>
      <x:c r="N963" s="50" t="n">
        <x:f>F963+P963</x:f>
        <x:v>600</x:v>
      </x:c>
      <x:c r="O963" s="50" t="n">
        <x:f>IF(B963=1,0,O962+F962+P962)</x:f>
        <x:v>10257.142857142857</x:v>
      </x:c>
      <x:c r="P963" s="50" t="n">
        <x:f>MIN(G963,MAX(0,Inputs!$B$20-O963-F963))</x:f>
        <x:v>0</x:v>
      </x:c>
      <x:c r="Q963" s="50" t="n">
        <x:f>(C963-E963-F963)+(G963-P963)</x:f>
        <x:v>0</x:v>
      </x:c>
    </x:row>
    <x:row r="964">
      <x:c r="A964" s="41" t="n">
        <x:f>IF(B964=1,A963+1,A963)</x:f>
        <x:v>2064</x:v>
      </x:c>
      <x:c r="B964" s="41" t="n">
        <x:f>IF(B963=26,1,B963+1)</x:f>
        <x:v>1</x:v>
      </x:c>
      <x:c r="C964" s="48" t="n">
        <x:f>Inputs!$F$40</x:f>
        <x:v>600</x:v>
      </x:c>
      <x:c r="D964" s="50" t="n">
        <x:f>IF(B964=1,0,D963+E963)</x:f>
        <x:v>0</x:v>
      </x:c>
      <x:c r="E964" s="50" t="n">
        <x:f>MIN(C964,MAX(0,Inputs!$B$7-D964))</x:f>
        <x:v>600</x:v>
      </x:c>
      <x:c r="F964" s="50" t="n">
        <x:f>MIN(C964-E964,MAX(0,Inputs!$B$20-O964))</x:f>
        <x:v>0</x:v>
      </x:c>
      <x:c r="G964" s="50" t="n">
        <x:f>0</x:f>
        <x:v>0</x:v>
      </x:c>
      <x:c r="H964" s="41" t="n">
        <x:f>0</x:f>
        <x:v>0</x:v>
      </x:c>
      <x:c r="I964" s="50" t="n">
        <x:f>(I963*(1+Inputs!$B$12))+E964</x:f>
        <x:v>1058143.7544924957</x:v>
      </x:c>
      <x:c r="J964" s="50" t="n">
        <x:f>(J963*(1+Inputs!$B$12))+F964+P964</x:f>
        <x:v>1268995.1222820063</x:v>
      </x:c>
      <x:c r="K964" s="50" t="n">
        <x:f>(K963*(1+Inputs!$B$12))*(1-H964)</x:f>
        <x:v>0</x:v>
      </x:c>
      <x:c r="L964" s="50" t="n">
        <x:f>L963*(1+Inputs!$B$13)+Q964</x:f>
        <x:v>73506.4642301336</x:v>
      </x:c>
      <x:c r="M964" s="50" t="n">
        <x:f>I964+J964+L964</x:f>
        <x:v>2400645.3410046357</x:v>
      </x:c>
      <x:c r="N964" s="50" t="n">
        <x:f>F964+P964</x:f>
        <x:v>0</x:v>
      </x:c>
      <x:c r="O964" s="50" t="n">
        <x:f>IF(B964=1,0,O963+F963+P963)</x:f>
        <x:v>0</x:v>
      </x:c>
      <x:c r="P964" s="50" t="n">
        <x:f>MIN(G964,MAX(0,Inputs!$B$20-O964-F964))</x:f>
        <x:v>0</x:v>
      </x:c>
      <x:c r="Q964" s="50" t="n">
        <x:f>(C964-E964-F964)+(G964-P964)</x:f>
        <x:v>0</x:v>
      </x:c>
    </x:row>
    <x:row r="965">
      <x:c r="A965" s="41" t="n">
        <x:f>IF(B965=1,A964+1,A964)</x:f>
        <x:v>2064</x:v>
      </x:c>
      <x:c r="B965" s="41" t="n">
        <x:f>IF(B964=26,1,B964+1)</x:f>
        <x:v>2</x:v>
      </x:c>
      <x:c r="C965" s="48" t="n">
        <x:f>Inputs!$F$40</x:f>
        <x:v>600</x:v>
      </x:c>
      <x:c r="D965" s="50" t="n">
        <x:f>IF(B965=1,0,D964+E964)</x:f>
        <x:v>600</x:v>
      </x:c>
      <x:c r="E965" s="50" t="n">
        <x:f>MIN(C965,MAX(0,Inputs!$B$7-D965))</x:f>
        <x:v>600</x:v>
      </x:c>
      <x:c r="F965" s="50" t="n">
        <x:f>MIN(C965-E965,MAX(0,Inputs!$B$20-O965))</x:f>
        <x:v>0</x:v>
      </x:c>
      <x:c r="G965" s="50" t="n">
        <x:f>0</x:f>
        <x:v>0</x:v>
      </x:c>
      <x:c r="H965" s="41" t="n">
        <x:f>0</x:f>
        <x:v>0</x:v>
      </x:c>
      <x:c r="I965" s="50" t="n">
        <x:f>(I964*(1+Inputs!$B$12))+E965</x:f>
        <x:v>1060731.2728773586</x:v>
      </x:c>
      <x:c r="J965" s="50" t="n">
        <x:f>(J964*(1+Inputs!$B$12))+F965+P965</x:f>
        <x:v>1271378.6841800269</x:v>
      </x:c>
      <x:c r="K965" s="50" t="n">
        <x:f>(K964*(1+Inputs!$B$12))*(1-H965)</x:f>
        <x:v>0</x:v>
      </x:c>
      <x:c r="L965" s="50" t="n">
        <x:f>L964*(1+Inputs!$B$13)+Q965</x:f>
        <x:v>73635.07513564671</x:v>
      </x:c>
      <x:c r="M965" s="50" t="n">
        <x:f>I965+J965+L965</x:f>
        <x:v>2405745.0321930326</x:v>
      </x:c>
      <x:c r="N965" s="50" t="n">
        <x:f>F965+P965</x:f>
        <x:v>0</x:v>
      </x:c>
      <x:c r="O965" s="50" t="n">
        <x:f>IF(B965=1,0,O964+F964+P964)</x:f>
        <x:v>0</x:v>
      </x:c>
      <x:c r="P965" s="50" t="n">
        <x:f>MIN(G965,MAX(0,Inputs!$B$20-O965-F965))</x:f>
        <x:v>0</x:v>
      </x:c>
      <x:c r="Q965" s="50" t="n">
        <x:f>(C965-E965-F965)+(G965-P965)</x:f>
        <x:v>0</x:v>
      </x:c>
    </x:row>
    <x:row r="966">
      <x:c r="A966" s="41" t="n">
        <x:f>IF(B966=1,A965+1,A965)</x:f>
        <x:v>2064</x:v>
      </x:c>
      <x:c r="B966" s="41" t="n">
        <x:f>IF(B965=26,1,B965+1)</x:f>
        <x:v>3</x:v>
      </x:c>
      <x:c r="C966" s="48" t="n">
        <x:f>Inputs!$F$40</x:f>
        <x:v>600</x:v>
      </x:c>
      <x:c r="D966" s="50" t="n">
        <x:f>IF(B966=1,0,D965+E965)</x:f>
        <x:v>1200</x:v>
      </x:c>
      <x:c r="E966" s="50" t="n">
        <x:f>MIN(C966,MAX(0,Inputs!$B$7-D966))</x:f>
        <x:v>600</x:v>
      </x:c>
      <x:c r="F966" s="50" t="n">
        <x:f>MIN(C966-E966,MAX(0,Inputs!$B$20-O966))</x:f>
        <x:v>0</x:v>
      </x:c>
      <x:c r="G966" s="50" t="n">
        <x:f>0</x:f>
        <x:v>0</x:v>
      </x:c>
      <x:c r="H966" s="41" t="n">
        <x:f>0</x:f>
        <x:v>0</x:v>
      </x:c>
      <x:c r="I966" s="50" t="n">
        <x:f>(I965*(1+Inputs!$B$12))+E966</x:f>
        <x:v>1063323.6514150496</x:v>
      </x:c>
      <x:c r="J966" s="50" t="n">
        <x:f>(J965*(1+Inputs!$B$12))+F966+P966</x:f>
        <x:v>1273766.7231380627</x:v>
      </x:c>
      <x:c r="K966" s="50" t="n">
        <x:f>(K965*(1+Inputs!$B$12))*(1-H966)</x:f>
        <x:v>0</x:v>
      </x:c>
      <x:c r="L966" s="50" t="n">
        <x:f>L965*(1+Inputs!$B$13)+Q966</x:f>
        <x:v>73763.91106579118</x:v>
      </x:c>
      <x:c r="M966" s="50" t="n">
        <x:f>I966+J966+L966</x:f>
        <x:v>2410854.2856189036</x:v>
      </x:c>
      <x:c r="N966" s="50" t="n">
        <x:f>F966+P966</x:f>
        <x:v>0</x:v>
      </x:c>
      <x:c r="O966" s="50" t="n">
        <x:f>IF(B966=1,0,O965+F965+P965)</x:f>
        <x:v>0</x:v>
      </x:c>
      <x:c r="P966" s="50" t="n">
        <x:f>MIN(G966,MAX(0,Inputs!$B$20-O966-F966))</x:f>
        <x:v>0</x:v>
      </x:c>
      <x:c r="Q966" s="50" t="n">
        <x:f>(C966-E966-F966)+(G966-P966)</x:f>
        <x:v>0</x:v>
      </x:c>
    </x:row>
    <x:row r="967">
      <x:c r="A967" s="41" t="n">
        <x:f>IF(B967=1,A966+1,A966)</x:f>
        <x:v>2064</x:v>
      </x:c>
      <x:c r="B967" s="41" t="n">
        <x:f>IF(B966=26,1,B966+1)</x:f>
        <x:v>4</x:v>
      </x:c>
      <x:c r="C967" s="48" t="n">
        <x:f>Inputs!$F$40</x:f>
        <x:v>600</x:v>
      </x:c>
      <x:c r="D967" s="50" t="n">
        <x:f>IF(B967=1,0,D966+E966)</x:f>
        <x:v>1800</x:v>
      </x:c>
      <x:c r="E967" s="50" t="n">
        <x:f>MIN(C967,MAX(0,Inputs!$B$7-D967))</x:f>
        <x:v>600</x:v>
      </x:c>
      <x:c r="F967" s="50" t="n">
        <x:f>MIN(C967-E967,MAX(0,Inputs!$B$20-O967))</x:f>
        <x:v>0</x:v>
      </x:c>
      <x:c r="G967" s="50" t="n">
        <x:f>0</x:f>
        <x:v>0</x:v>
      </x:c>
      <x:c r="H967" s="41" t="n">
        <x:f>0</x:f>
        <x:v>0</x:v>
      </x:c>
      <x:c r="I967" s="50" t="n">
        <x:f>(I966*(1+Inputs!$B$12))+E967</x:f>
        <x:v>1065920.899234426</x:v>
      </x:c>
      <x:c r="J967" s="50" t="n">
        <x:f>(J966*(1+Inputs!$B$12))+F967+P967</x:f>
        <x:v>1276159.2475654054</x:v>
      </x:c>
      <x:c r="K967" s="50" t="n">
        <x:f>(K966*(1+Inputs!$B$12))*(1-H967)</x:f>
        <x:v>0</x:v>
      </x:c>
      <x:c r="L967" s="50" t="n">
        <x:f>L966*(1+Inputs!$B$13)+Q967</x:f>
        <x:v>73892.97241428235</x:v>
      </x:c>
      <x:c r="M967" s="50" t="n">
        <x:f>I967+J967+L967</x:f>
        <x:v>2415973.119214114</x:v>
      </x:c>
      <x:c r="N967" s="50" t="n">
        <x:f>F967+P967</x:f>
        <x:v>0</x:v>
      </x:c>
      <x:c r="O967" s="50" t="n">
        <x:f>IF(B967=1,0,O966+F966+P966)</x:f>
        <x:v>0</x:v>
      </x:c>
      <x:c r="P967" s="50" t="n">
        <x:f>MIN(G967,MAX(0,Inputs!$B$20-O967-F967))</x:f>
        <x:v>0</x:v>
      </x:c>
      <x:c r="Q967" s="50" t="n">
        <x:f>(C967-E967-F967)+(G967-P967)</x:f>
        <x:v>0</x:v>
      </x:c>
    </x:row>
    <x:row r="968">
      <x:c r="A968" s="41" t="n">
        <x:f>IF(B968=1,A967+1,A967)</x:f>
        <x:v>2064</x:v>
      </x:c>
      <x:c r="B968" s="41" t="n">
        <x:f>IF(B967=26,1,B967+1)</x:f>
        <x:v>5</x:v>
      </x:c>
      <x:c r="C968" s="48" t="n">
        <x:f>Inputs!$F$40</x:f>
        <x:v>600</x:v>
      </x:c>
      <x:c r="D968" s="50" t="n">
        <x:f>IF(B968=1,0,D967+E967)</x:f>
        <x:v>2400</x:v>
      </x:c>
      <x:c r="E968" s="50" t="n">
        <x:f>MIN(C968,MAX(0,Inputs!$B$7-D968))</x:f>
        <x:v>600</x:v>
      </x:c>
      <x:c r="F968" s="50" t="n">
        <x:f>MIN(C968-E968,MAX(0,Inputs!$B$20-O968))</x:f>
        <x:v>0</x:v>
      </x:c>
      <x:c r="G968" s="50" t="n">
        <x:f>0</x:f>
        <x:v>0</x:v>
      </x:c>
      <x:c r="H968" s="41" t="n">
        <x:f>0</x:f>
        <x:v>0</x:v>
      </x:c>
      <x:c r="I968" s="50" t="n">
        <x:f>(I967*(1+Inputs!$B$12))+E968</x:f>
        <x:v>1068523.0254814916</x:v>
      </x:c>
      <x:c r="J968" s="50" t="n">
        <x:f>(J967*(1+Inputs!$B$12))+F968+P968</x:f>
        <x:v>1278556.2658871415</x:v>
      </x:c>
      <x:c r="K968" s="50" t="n">
        <x:f>(K967*(1+Inputs!$B$12))*(1-H968)</x:f>
        <x:v>0</x:v>
      </x:c>
      <x:c r="L968" s="50" t="n">
        <x:f>L967*(1+Inputs!$B$13)+Q968</x:f>
        <x:v>74022.25957552443</x:v>
      </x:c>
      <x:c r="M968" s="50" t="n">
        <x:f>I968+J968+L968</x:f>
        <x:v>2421101.5509441574</x:v>
      </x:c>
      <x:c r="N968" s="50" t="n">
        <x:f>F968+P968</x:f>
        <x:v>0</x:v>
      </x:c>
      <x:c r="O968" s="50" t="n">
        <x:f>IF(B968=1,0,O967+F967+P967)</x:f>
        <x:v>0</x:v>
      </x:c>
      <x:c r="P968" s="50" t="n">
        <x:f>MIN(G968,MAX(0,Inputs!$B$20-O968-F968))</x:f>
        <x:v>0</x:v>
      </x:c>
      <x:c r="Q968" s="50" t="n">
        <x:f>(C968-E968-F968)+(G968-P968)</x:f>
        <x:v>0</x:v>
      </x:c>
    </x:row>
    <x:row r="969">
      <x:c r="A969" s="41" t="n">
        <x:f>IF(B969=1,A968+1,A968)</x:f>
        <x:v>2064</x:v>
      </x:c>
      <x:c r="B969" s="41" t="n">
        <x:f>IF(B968=26,1,B968+1)</x:f>
        <x:v>6</x:v>
      </x:c>
      <x:c r="C969" s="48" t="n">
        <x:f>Inputs!$F$40</x:f>
        <x:v>600</x:v>
      </x:c>
      <x:c r="D969" s="50" t="n">
        <x:f>IF(B969=1,0,D968+E968)</x:f>
        <x:v>3000</x:v>
      </x:c>
      <x:c r="E969" s="50" t="n">
        <x:f>MIN(C969,MAX(0,Inputs!$B$7-D969))</x:f>
        <x:v>600</x:v>
      </x:c>
      <x:c r="F969" s="50" t="n">
        <x:f>MIN(C969-E969,MAX(0,Inputs!$B$20-O969))</x:f>
        <x:v>0</x:v>
      </x:c>
      <x:c r="G969" s="50" t="n">
        <x:f>0</x:f>
        <x:v>0</x:v>
      </x:c>
      <x:c r="H969" s="41" t="n">
        <x:f>0</x:f>
        <x:v>0</x:v>
      </x:c>
      <x:c r="I969" s="50" t="n">
        <x:f>(I968*(1+Inputs!$B$12))+E969</x:f>
        <x:v>1071130.0393194293</x:v>
      </x:c>
      <x:c r="J969" s="50" t="n">
        <x:f>(J968*(1+Inputs!$B$12))+F969+P969</x:f>
        <x:v>1280957.786544182</x:v>
      </x:c>
      <x:c r="K969" s="50" t="n">
        <x:f>(K968*(1+Inputs!$B$12))*(1-H969)</x:f>
        <x:v>0</x:v>
      </x:c>
      <x:c r="L969" s="50" t="n">
        <x:f>L968*(1+Inputs!$B$13)+Q969</x:f>
        <x:v>74151.77294461166</x:v>
      </x:c>
      <x:c r="M969" s="50" t="n">
        <x:f>I969+J969+L969</x:f>
        <x:v>2426239.598808223</x:v>
      </x:c>
      <x:c r="N969" s="50" t="n">
        <x:f>F969+P969</x:f>
        <x:v>0</x:v>
      </x:c>
      <x:c r="O969" s="50" t="n">
        <x:f>IF(B969=1,0,O968+F968+P968)</x:f>
        <x:v>0</x:v>
      </x:c>
      <x:c r="P969" s="50" t="n">
        <x:f>MIN(G969,MAX(0,Inputs!$B$20-O969-F969))</x:f>
        <x:v>0</x:v>
      </x:c>
      <x:c r="Q969" s="50" t="n">
        <x:f>(C969-E969-F969)+(G969-P969)</x:f>
        <x:v>0</x:v>
      </x:c>
    </x:row>
    <x:row r="970">
      <x:c r="A970" s="41" t="n">
        <x:f>IF(B970=1,A969+1,A969)</x:f>
        <x:v>2064</x:v>
      </x:c>
      <x:c r="B970" s="41" t="n">
        <x:f>IF(B969=26,1,B969+1)</x:f>
        <x:v>7</x:v>
      </x:c>
      <x:c r="C970" s="48" t="n">
        <x:f>Inputs!$F$40</x:f>
        <x:v>600</x:v>
      </x:c>
      <x:c r="D970" s="50" t="n">
        <x:f>IF(B970=1,0,D969+E969)</x:f>
        <x:v>3600</x:v>
      </x:c>
      <x:c r="E970" s="50" t="n">
        <x:f>MIN(C970,MAX(0,Inputs!$B$7-D970))</x:f>
        <x:v>600</x:v>
      </x:c>
      <x:c r="F970" s="50" t="n">
        <x:f>MIN(C970-E970,MAX(0,Inputs!$B$20-O970))</x:f>
        <x:v>0</x:v>
      </x:c>
      <x:c r="G970" s="50" t="n">
        <x:f>0</x:f>
        <x:v>0</x:v>
      </x:c>
      <x:c r="H970" s="41" t="n">
        <x:f>0</x:f>
        <x:v>0</x:v>
      </x:c>
      <x:c r="I970" s="50" t="n">
        <x:f>(I969*(1+Inputs!$B$12))+E970</x:f>
        <x:v>1073741.9499286332</x:v>
      </x:c>
      <x:c r="J970" s="50" t="n">
        <x:f>(J969*(1+Inputs!$B$12))+F970+P970</x:f>
        <x:v>1283363.8179932935</x:v>
      </x:c>
      <x:c r="K970" s="50" t="n">
        <x:f>(K969*(1+Inputs!$B$12))*(1-H970)</x:f>
        <x:v>0</x:v>
      </x:c>
      <x:c r="L970" s="50" t="n">
        <x:f>L969*(1+Inputs!$B$13)+Q970</x:f>
        <x:v>74281.51291732959</x:v>
      </x:c>
      <x:c r="M970" s="50" t="n">
        <x:f>I970+J970+L970</x:f>
        <x:v>2431387.280839256</x:v>
      </x:c>
      <x:c r="N970" s="50" t="n">
        <x:f>F970+P970</x:f>
        <x:v>0</x:v>
      </x:c>
      <x:c r="O970" s="50" t="n">
        <x:f>IF(B970=1,0,O969+F969+P969)</x:f>
        <x:v>0</x:v>
      </x:c>
      <x:c r="P970" s="50" t="n">
        <x:f>MIN(G970,MAX(0,Inputs!$B$20-O970-F970))</x:f>
        <x:v>0</x:v>
      </x:c>
      <x:c r="Q970" s="50" t="n">
        <x:f>(C970-E970-F970)+(G970-P970)</x:f>
        <x:v>0</x:v>
      </x:c>
    </x:row>
    <x:row r="971">
      <x:c r="A971" s="41" t="n">
        <x:f>IF(B971=1,A970+1,A970)</x:f>
        <x:v>2064</x:v>
      </x:c>
      <x:c r="B971" s="41" t="n">
        <x:f>IF(B970=26,1,B970+1)</x:f>
        <x:v>8</x:v>
      </x:c>
      <x:c r="C971" s="48" t="n">
        <x:f>Inputs!$F$40</x:f>
        <x:v>600</x:v>
      </x:c>
      <x:c r="D971" s="50" t="n">
        <x:f>IF(B971=1,0,D970+E970)</x:f>
        <x:v>4200</x:v>
      </x:c>
      <x:c r="E971" s="50" t="n">
        <x:f>MIN(C971,MAX(0,Inputs!$B$7-D971))</x:f>
        <x:v>600</x:v>
      </x:c>
      <x:c r="F971" s="50" t="n">
        <x:f>MIN(C971-E971,MAX(0,Inputs!$B$20-O971))</x:f>
        <x:v>0</x:v>
      </x:c>
      <x:c r="G971" s="50" t="n">
        <x:f>0</x:f>
        <x:v>0</x:v>
      </x:c>
      <x:c r="H971" s="41" t="n">
        <x:f>0</x:f>
        <x:v>0</x:v>
      </x:c>
      <x:c r="I971" s="50" t="n">
        <x:f>(I970*(1+Inputs!$B$12))+E971</x:f>
        <x:v>1076358.7665067408</x:v>
      </x:c>
      <x:c r="J971" s="50" t="n">
        <x:f>(J970*(1+Inputs!$B$12))+F971+P971</x:f>
        <x:v>1285774.3687071262</x:v>
      </x:c>
      <x:c r="K971" s="50" t="n">
        <x:f>(K970*(1+Inputs!$B$12))*(1-H971)</x:f>
        <x:v>0</x:v>
      </x:c>
      <x:c r="L971" s="50" t="n">
        <x:f>L970*(1+Inputs!$B$13)+Q971</x:f>
        <x:v>74411.47989015625</x:v>
      </x:c>
      <x:c r="M971" s="50" t="n">
        <x:f>I971+J971+L971</x:f>
        <x:v>2436544.615104023</x:v>
      </x:c>
      <x:c r="N971" s="50" t="n">
        <x:f>F971+P971</x:f>
        <x:v>0</x:v>
      </x:c>
      <x:c r="O971" s="50" t="n">
        <x:f>IF(B971=1,0,O970+F970+P970)</x:f>
        <x:v>0</x:v>
      </x:c>
      <x:c r="P971" s="50" t="n">
        <x:f>MIN(G971,MAX(0,Inputs!$B$20-O971-F971))</x:f>
        <x:v>0</x:v>
      </x:c>
      <x:c r="Q971" s="50" t="n">
        <x:f>(C971-E971-F971)+(G971-P971)</x:f>
        <x:v>0</x:v>
      </x:c>
    </x:row>
    <x:row r="972">
      <x:c r="A972" s="41" t="n">
        <x:f>IF(B972=1,A971+1,A971)</x:f>
        <x:v>2064</x:v>
      </x:c>
      <x:c r="B972" s="41" t="n">
        <x:f>IF(B971=26,1,B971+1)</x:f>
        <x:v>9</x:v>
      </x:c>
      <x:c r="C972" s="48" t="n">
        <x:f>Inputs!$F$40</x:f>
        <x:v>600</x:v>
      </x:c>
      <x:c r="D972" s="50" t="n">
        <x:f>IF(B972=1,0,D971+E971)</x:f>
        <x:v>4800</x:v>
      </x:c>
      <x:c r="E972" s="50" t="n">
        <x:f>MIN(C972,MAX(0,Inputs!$B$7-D972))</x:f>
        <x:v>600</x:v>
      </x:c>
      <x:c r="F972" s="50" t="n">
        <x:f>MIN(C972-E972,MAX(0,Inputs!$B$20-O972))</x:f>
        <x:v>0</x:v>
      </x:c>
      <x:c r="G972" s="50" t="n">
        <x:f>SUM(N938:N963)*Inputs!$B$6</x:f>
        <x:v>3257.142857142857</x:v>
      </x:c>
      <x:c r="H972" s="41" t="n">
        <x:f>0</x:f>
        <x:v>0</x:v>
      </x:c>
      <x:c r="I972" s="50" t="n">
        <x:f>(I971*(1+Inputs!$B$12))+E972</x:f>
        <x:v>1078980.4982686662</x:v>
      </x:c>
      <x:c r="J972" s="50" t="n">
        <x:f>(J971*(1+Inputs!$B$12))+F972+P972</x:f>
        <x:v>1291446.5900313878</x:v>
      </x:c>
      <x:c r="K972" s="50" t="n">
        <x:f>(K971*(1+Inputs!$B$12))*(1-H972)</x:f>
        <x:v>0</x:v>
      </x:c>
      <x:c r="L972" s="50" t="n">
        <x:f>L971*(1+Inputs!$B$13)+Q972</x:f>
        <x:v>74541.67426026336</x:v>
      </x:c>
      <x:c r="M972" s="50" t="n">
        <x:f>I972+J972+L972</x:f>
        <x:v>2444968.7625603173</x:v>
      </x:c>
      <x:c r="N972" s="50" t="n">
        <x:f>F972+P972</x:f>
        <x:v>3257.142857142857</x:v>
      </x:c>
      <x:c r="O972" s="50" t="n">
        <x:f>IF(B972=1,0,O971+F971+P971)</x:f>
        <x:v>0</x:v>
      </x:c>
      <x:c r="P972" s="50" t="n">
        <x:f>MIN(G972,MAX(0,Inputs!$B$20-O972-F972))</x:f>
        <x:v>3257.142857142857</x:v>
      </x:c>
      <x:c r="Q972" s="50" t="n">
        <x:f>(C972-E972-F972)+(G972-P972)</x:f>
        <x:v>0</x:v>
      </x:c>
    </x:row>
    <x:row r="973">
      <x:c r="A973" s="41" t="n">
        <x:f>IF(B973=1,A972+1,A972)</x:f>
        <x:v>2064</x:v>
      </x:c>
      <x:c r="B973" s="41" t="n">
        <x:f>IF(B972=26,1,B972+1)</x:f>
        <x:v>10</x:v>
      </x:c>
      <x:c r="C973" s="48" t="n">
        <x:f>Inputs!$F$40</x:f>
        <x:v>600</x:v>
      </x:c>
      <x:c r="D973" s="50" t="n">
        <x:f>IF(B973=1,0,D972+E972)</x:f>
        <x:v>5400</x:v>
      </x:c>
      <x:c r="E973" s="50" t="n">
        <x:f>MIN(C973,MAX(0,Inputs!$B$7-D973))</x:f>
        <x:v>600</x:v>
      </x:c>
      <x:c r="F973" s="50" t="n">
        <x:f>MIN(C973-E973,MAX(0,Inputs!$B$20-O973))</x:f>
        <x:v>0</x:v>
      </x:c>
      <x:c r="G973" s="50" t="n">
        <x:f>0</x:f>
        <x:v>0</x:v>
      </x:c>
      <x:c r="H973" s="41" t="n">
        <x:f>0</x:f>
        <x:v>0</x:v>
      </x:c>
      <x:c r="I973" s="50" t="n">
        <x:f>(I972*(1+Inputs!$B$12))+E973</x:f>
        <x:v>1081607.1544466314</x:v>
      </x:c>
      <x:c r="J973" s="50" t="n">
        <x:f>(J972*(1+Inputs!$B$12))+F973+P973</x:f>
        <x:v>1293872.3226691869</x:v>
      </x:c>
      <x:c r="K973" s="50" t="n">
        <x:f>(K972*(1+Inputs!$B$12))*(1-H973)</x:f>
        <x:v>0</x:v>
      </x:c>
      <x:c r="L973" s="50" t="n">
        <x:f>L972*(1+Inputs!$B$13)+Q973</x:f>
        <x:v>74672.09642551758</x:v>
      </x:c>
      <x:c r="M973" s="50" t="n">
        <x:f>I973+J973+L973</x:f>
        <x:v>2450151.5735413358</x:v>
      </x:c>
      <x:c r="N973" s="50" t="n">
        <x:f>F973+P973</x:f>
        <x:v>0</x:v>
      </x:c>
      <x:c r="O973" s="50" t="n">
        <x:f>IF(B973=1,0,O972+F972+P972)</x:f>
        <x:v>3257.142857142857</x:v>
      </x:c>
      <x:c r="P973" s="50" t="n">
        <x:f>MIN(G973,MAX(0,Inputs!$B$20-O973-F973))</x:f>
        <x:v>0</x:v>
      </x:c>
      <x:c r="Q973" s="50" t="n">
        <x:f>(C973-E973-F973)+(G973-P973)</x:f>
        <x:v>0</x:v>
      </x:c>
    </x:row>
    <x:row r="974">
      <x:c r="A974" s="41" t="n">
        <x:f>IF(B974=1,A973+1,A973)</x:f>
        <x:v>2064</x:v>
      </x:c>
      <x:c r="B974" s="41" t="n">
        <x:f>IF(B973=26,1,B973+1)</x:f>
        <x:v>11</x:v>
      </x:c>
      <x:c r="C974" s="48" t="n">
        <x:f>Inputs!$F$40</x:f>
        <x:v>600</x:v>
      </x:c>
      <x:c r="D974" s="50" t="n">
        <x:f>IF(B974=1,0,D973+E973)</x:f>
        <x:v>6000</x:v>
      </x:c>
      <x:c r="E974" s="50" t="n">
        <x:f>MIN(C974,MAX(0,Inputs!$B$7-D974))</x:f>
        <x:v>600</x:v>
      </x:c>
      <x:c r="F974" s="50" t="n">
        <x:f>MIN(C974-E974,MAX(0,Inputs!$B$20-O974))</x:f>
        <x:v>0</x:v>
      </x:c>
      <x:c r="G974" s="50" t="n">
        <x:f>0</x:f>
        <x:v>0</x:v>
      </x:c>
      <x:c r="H974" s="41" t="n">
        <x:f>0</x:f>
        <x:v>0</x:v>
      </x:c>
      <x:c r="I974" s="50" t="n">
        <x:f>(I973*(1+Inputs!$B$12))+E974</x:f>
        <x:v>1084238.7442901994</x:v>
      </x:c>
      <x:c r="J974" s="50" t="n">
        <x:f>(J973*(1+Inputs!$B$12))+F974+P974</x:f>
        <x:v>1296302.6115765797</x:v>
      </x:c>
      <x:c r="K974" s="50" t="n">
        <x:f>(K973*(1+Inputs!$B$12))*(1-H974)</x:f>
        <x:v>0</x:v>
      </x:c>
      <x:c r="L974" s="50" t="n">
        <x:f>L973*(1+Inputs!$B$13)+Q974</x:f>
        <x:v>74802.74678448167</x:v>
      </x:c>
      <x:c r="M974" s="50" t="n">
        <x:f>I974+J974+L974</x:f>
        <x:v>2455344.102651261</x:v>
      </x:c>
      <x:c r="N974" s="50" t="n">
        <x:f>F974+P974</x:f>
        <x:v>0</x:v>
      </x:c>
      <x:c r="O974" s="50" t="n">
        <x:f>IF(B974=1,0,O973+F973+P973)</x:f>
        <x:v>3257.142857142857</x:v>
      </x:c>
      <x:c r="P974" s="50" t="n">
        <x:f>MIN(G974,MAX(0,Inputs!$B$20-O974-F974))</x:f>
        <x:v>0</x:v>
      </x:c>
      <x:c r="Q974" s="50" t="n">
        <x:f>(C974-E974-F974)+(G974-P974)</x:f>
        <x:v>0</x:v>
      </x:c>
    </x:row>
    <x:row r="975">
      <x:c r="A975" s="41" t="n">
        <x:f>IF(B975=1,A974+1,A974)</x:f>
        <x:v>2064</x:v>
      </x:c>
      <x:c r="B975" s="41" t="n">
        <x:f>IF(B974=26,1,B974+1)</x:f>
        <x:v>12</x:v>
      </x:c>
      <x:c r="C975" s="48" t="n">
        <x:f>Inputs!$F$40</x:f>
        <x:v>600</x:v>
      </x:c>
      <x:c r="D975" s="50" t="n">
        <x:f>IF(B975=1,0,D974+E974)</x:f>
        <x:v>6600</x:v>
      </x:c>
      <x:c r="E975" s="50" t="n">
        <x:f>MIN(C975,MAX(0,Inputs!$B$7-D975))</x:f>
        <x:v>600</x:v>
      </x:c>
      <x:c r="F975" s="50" t="n">
        <x:f>MIN(C975-E975,MAX(0,Inputs!$B$20-O975))</x:f>
        <x:v>0</x:v>
      </x:c>
      <x:c r="G975" s="50" t="n">
        <x:f>0</x:f>
        <x:v>0</x:v>
      </x:c>
      <x:c r="H975" s="41" t="n">
        <x:f>0</x:f>
        <x:v>0</x:v>
      </x:c>
      <x:c r="I975" s="50" t="n">
        <x:f>(I974*(1+Inputs!$B$12))+E975</x:f>
        <x:v>1086875.277066307</x:v>
      </x:c>
      <x:c r="J975" s="50" t="n">
        <x:f>(J974*(1+Inputs!$B$12))+F975+P975</x:f>
        <x:v>1298737.4653116376</x:v>
      </x:c>
      <x:c r="K975" s="50" t="n">
        <x:f>(K974*(1+Inputs!$B$12))*(1-H975)</x:f>
        <x:v>0</x:v>
      </x:c>
      <x:c r="L975" s="50" t="n">
        <x:f>L974*(1+Inputs!$B$13)+Q975</x:f>
        <x:v>74933.62573641575</x:v>
      </x:c>
      <x:c r="M975" s="50" t="n">
        <x:f>I975+J975+L975</x:f>
        <x:v>2460546.36811436</x:v>
      </x:c>
      <x:c r="N975" s="50" t="n">
        <x:f>F975+P975</x:f>
        <x:v>0</x:v>
      </x:c>
      <x:c r="O975" s="50" t="n">
        <x:f>IF(B975=1,0,O974+F974+P974)</x:f>
        <x:v>3257.142857142857</x:v>
      </x:c>
      <x:c r="P975" s="50" t="n">
        <x:f>MIN(G975,MAX(0,Inputs!$B$20-O975-F975))</x:f>
        <x:v>0</x:v>
      </x:c>
      <x:c r="Q975" s="50" t="n">
        <x:f>(C975-E975-F975)+(G975-P975)</x:f>
        <x:v>0</x:v>
      </x:c>
    </x:row>
    <x:row r="976">
      <x:c r="A976" s="41" t="n">
        <x:f>IF(B976=1,A975+1,A975)</x:f>
        <x:v>2064</x:v>
      </x:c>
      <x:c r="B976" s="41" t="n">
        <x:f>IF(B975=26,1,B975+1)</x:f>
        <x:v>13</x:v>
      </x:c>
      <x:c r="C976" s="48" t="n">
        <x:f>Inputs!$F$40</x:f>
        <x:v>600</x:v>
      </x:c>
      <x:c r="D976" s="50" t="n">
        <x:f>IF(B976=1,0,D975+E975)</x:f>
        <x:v>7200</x:v>
      </x:c>
      <x:c r="E976" s="50" t="n">
        <x:f>MIN(C976,MAX(0,Inputs!$B$7-D976))</x:f>
        <x:v>600</x:v>
      </x:c>
      <x:c r="F976" s="50" t="n">
        <x:f>MIN(C976-E976,MAX(0,Inputs!$B$20-O976))</x:f>
        <x:v>0</x:v>
      </x:c>
      <x:c r="G976" s="50" t="n">
        <x:f>0</x:f>
        <x:v>0</x:v>
      </x:c>
      <x:c r="H976" s="41" t="n">
        <x:f>0</x:f>
        <x:v>0</x:v>
      </x:c>
      <x:c r="I976" s="50" t="n">
        <x:f>(I975*(1+Inputs!$B$12))+E976</x:f>
        <x:v>1089516.7620592965</x:v>
      </x:c>
      <x:c r="J976" s="50" t="n">
        <x:f>(J975*(1+Inputs!$B$12))+F976+P976</x:f>
        <x:v>1301176.8924485063</x:v>
      </x:c>
      <x:c r="K976" s="50" t="n">
        <x:f>(K975*(1+Inputs!$B$12))*(1-H976)</x:f>
        <x:v>0</x:v>
      </x:c>
      <x:c r="L976" s="50" t="n">
        <x:f>L975*(1+Inputs!$B$13)+Q976</x:f>
        <x:v>75064.7336812785</x:v>
      </x:c>
      <x:c r="M976" s="50" t="n">
        <x:f>I976+J976+L976</x:f>
        <x:v>2465758.388189081</x:v>
      </x:c>
      <x:c r="N976" s="50" t="n">
        <x:f>F976+P976</x:f>
        <x:v>0</x:v>
      </x:c>
      <x:c r="O976" s="50" t="n">
        <x:f>IF(B976=1,0,O975+F975+P975)</x:f>
        <x:v>3257.142857142857</x:v>
      </x:c>
      <x:c r="P976" s="50" t="n">
        <x:f>MIN(G976,MAX(0,Inputs!$B$20-O976-F976))</x:f>
        <x:v>0</x:v>
      </x:c>
      <x:c r="Q976" s="50" t="n">
        <x:f>(C976-E976-F976)+(G976-P976)</x:f>
        <x:v>0</x:v>
      </x:c>
    </x:row>
    <x:row r="977">
      <x:c r="A977" s="41" t="n">
        <x:f>IF(B977=1,A976+1,A976)</x:f>
        <x:v>2064</x:v>
      </x:c>
      <x:c r="B977" s="41" t="n">
        <x:f>IF(B976=26,1,B976+1)</x:f>
        <x:v>14</x:v>
      </x:c>
      <x:c r="C977" s="48" t="n">
        <x:f>Inputs!$F$40</x:f>
        <x:v>600</x:v>
      </x:c>
      <x:c r="D977" s="50" t="n">
        <x:f>IF(B977=1,0,D976+E976)</x:f>
        <x:v>7800</x:v>
      </x:c>
      <x:c r="E977" s="50" t="n">
        <x:f>MIN(C977,MAX(0,Inputs!$B$7-D977))</x:f>
        <x:v>200</x:v>
      </x:c>
      <x:c r="F977" s="50" t="n">
        <x:f>MIN(C977-E977,MAX(0,Inputs!$B$20-O977))</x:f>
        <x:v>400</x:v>
      </x:c>
      <x:c r="G977" s="50" t="n">
        <x:f>0</x:f>
        <x:v>0</x:v>
      </x:c>
      <x:c r="H977" s="41" t="n">
        <x:f>0</x:f>
        <x:v>0</x:v>
      </x:c>
      <x:c r="I977" s="50" t="n">
        <x:f>(I976*(1+Inputs!$B$12))+E977</x:f>
        <x:v>1091763.20857095</x:v>
      </x:c>
      <x:c r="J977" s="50" t="n">
        <x:f>(J976*(1+Inputs!$B$12))+F977+P977</x:f>
        <x:v>1304020.9015774364</x:v>
      </x:c>
      <x:c r="K977" s="50" t="n">
        <x:f>(K976*(1+Inputs!$B$12))*(1-H977)</x:f>
        <x:v>0</x:v>
      </x:c>
      <x:c r="L977" s="50" t="n">
        <x:f>L976*(1+Inputs!$B$13)+Q977</x:f>
        <x:v>75196.07101972842</x:v>
      </x:c>
      <x:c r="M977" s="50" t="n">
        <x:f>I977+J977+L977</x:f>
        <x:v>2470980.1811681143</x:v>
      </x:c>
      <x:c r="N977" s="50" t="n">
        <x:f>F977+P977</x:f>
        <x:v>400</x:v>
      </x:c>
      <x:c r="O977" s="50" t="n">
        <x:f>IF(B977=1,0,O976+F976+P976)</x:f>
        <x:v>3257.142857142857</x:v>
      </x:c>
      <x:c r="P977" s="50" t="n">
        <x:f>MIN(G977,MAX(0,Inputs!$B$20-O977-F977))</x:f>
        <x:v>0</x:v>
      </x:c>
      <x:c r="Q977" s="50" t="n">
        <x:f>(C977-E977-F977)+(G977-P977)</x:f>
        <x:v>0</x:v>
      </x:c>
    </x:row>
    <x:row r="978">
      <x:c r="A978" s="41" t="n">
        <x:f>IF(B978=1,A977+1,A977)</x:f>
        <x:v>2064</x:v>
      </x:c>
      <x:c r="B978" s="41" t="n">
        <x:f>IF(B977=26,1,B977+1)</x:f>
        <x:v>15</x:v>
      </x:c>
      <x:c r="C978" s="48" t="n">
        <x:f>Inputs!$F$40</x:f>
        <x:v>600</x:v>
      </x:c>
      <x:c r="D978" s="50" t="n">
        <x:f>IF(B978=1,0,D977+E977)</x:f>
        <x:v>8000</x:v>
      </x:c>
      <x:c r="E978" s="50" t="n">
        <x:f>MIN(C978,MAX(0,Inputs!$B$7-D978))</x:f>
        <x:v>0</x:v>
      </x:c>
      <x:c r="F978" s="50" t="n">
        <x:f>MIN(C978-E978,MAX(0,Inputs!$B$20-O978))</x:f>
        <x:v>600</x:v>
      </x:c>
      <x:c r="G978" s="50" t="n">
        <x:f>0</x:f>
        <x:v>0</x:v>
      </x:c>
      <x:c r="H978" s="41" t="n">
        <x:f>0</x:f>
        <x:v>0</x:v>
      </x:c>
      <x:c r="I978" s="50" t="n">
        <x:f>(I977*(1+Inputs!$B$12))+E978</x:f>
        <x:v>1093813.8745978854</x:v>
      </x:c>
      <x:c r="J978" s="50" t="n">
        <x:f>(J977*(1+Inputs!$B$12))+F978+P978</x:f>
        <x:v>1307070.252627449</x:v>
      </x:c>
      <x:c r="K978" s="50" t="n">
        <x:f>(K977*(1+Inputs!$B$12))*(1-H978)</x:f>
        <x:v>0</x:v>
      </x:c>
      <x:c r="L978" s="50" t="n">
        <x:f>L977*(1+Inputs!$B$13)+Q978</x:f>
        <x:v>75327.63815312498</x:v>
      </x:c>
      <x:c r="M978" s="50" t="n">
        <x:f>I978+J978+L978</x:f>
        <x:v>2476211.76537846</x:v>
      </x:c>
      <x:c r="N978" s="50" t="n">
        <x:f>F978+P978</x:f>
        <x:v>600</x:v>
      </x:c>
      <x:c r="O978" s="50" t="n">
        <x:f>IF(B978=1,0,O977+F977+P977)</x:f>
        <x:v>3657.142857142857</x:v>
      </x:c>
      <x:c r="P978" s="50" t="n">
        <x:f>MIN(G978,MAX(0,Inputs!$B$20-O978-F978))</x:f>
        <x:v>0</x:v>
      </x:c>
      <x:c r="Q978" s="50" t="n">
        <x:f>(C978-E978-F978)+(G978-P978)</x:f>
        <x:v>0</x:v>
      </x:c>
    </x:row>
    <x:row r="979">
      <x:c r="A979" s="41" t="n">
        <x:f>IF(B979=1,A978+1,A978)</x:f>
        <x:v>2064</x:v>
      </x:c>
      <x:c r="B979" s="41" t="n">
        <x:f>IF(B978=26,1,B978+1)</x:f>
        <x:v>16</x:v>
      </x:c>
      <x:c r="C979" s="48" t="n">
        <x:f>Inputs!$F$40</x:f>
        <x:v>600</x:v>
      </x:c>
      <x:c r="D979" s="50" t="n">
        <x:f>IF(B979=1,0,D978+E978)</x:f>
        <x:v>8000</x:v>
      </x:c>
      <x:c r="E979" s="50" t="n">
        <x:f>MIN(C979,MAX(0,Inputs!$B$7-D979))</x:f>
        <x:v>0</x:v>
      </x:c>
      <x:c r="F979" s="50" t="n">
        <x:f>MIN(C979-E979,MAX(0,Inputs!$B$20-O979))</x:f>
        <x:v>600</x:v>
      </x:c>
      <x:c r="G979" s="50" t="n">
        <x:f>0</x:f>
        <x:v>0</x:v>
      </x:c>
      <x:c r="H979" s="41" t="n">
        <x:f>0</x:f>
        <x:v>0</x:v>
      </x:c>
      <x:c r="I979" s="50" t="n">
        <x:f>(I978*(1+Inputs!$B$12))+E979</x:f>
        <x:v>1095868.3924043286</x:v>
      </x:c>
      <x:c r="J979" s="50" t="n">
        <x:f>(J978*(1+Inputs!$B$12))+F979+P979</x:f>
        <x:v>1310125.3312936274</x:v>
      </x:c>
      <x:c r="K979" s="50" t="n">
        <x:f>(K978*(1+Inputs!$B$12))*(1-H979)</x:f>
        <x:v>0</x:v>
      </x:c>
      <x:c r="L979" s="50" t="n">
        <x:f>L978*(1+Inputs!$B$13)+Q979</x:f>
        <x:v>75459.4354835299</x:v>
      </x:c>
      <x:c r="M979" s="50" t="n">
        <x:f>I979+J979+L979</x:f>
        <x:v>2481453.1591814854</x:v>
      </x:c>
      <x:c r="N979" s="50" t="n">
        <x:f>F979+P979</x:f>
        <x:v>600</x:v>
      </x:c>
      <x:c r="O979" s="50" t="n">
        <x:f>IF(B979=1,0,O978+F978+P978)</x:f>
        <x:v>4257.142857142857</x:v>
      </x:c>
      <x:c r="P979" s="50" t="n">
        <x:f>MIN(G979,MAX(0,Inputs!$B$20-O979-F979))</x:f>
        <x:v>0</x:v>
      </x:c>
      <x:c r="Q979" s="50" t="n">
        <x:f>(C979-E979-F979)+(G979-P979)</x:f>
        <x:v>0</x:v>
      </x:c>
    </x:row>
    <x:row r="980">
      <x:c r="A980" s="41" t="n">
        <x:f>IF(B980=1,A979+1,A979)</x:f>
        <x:v>2064</x:v>
      </x:c>
      <x:c r="B980" s="41" t="n">
        <x:f>IF(B979=26,1,B979+1)</x:f>
        <x:v>17</x:v>
      </x:c>
      <x:c r="C980" s="48" t="n">
        <x:f>Inputs!$F$40</x:f>
        <x:v>600</x:v>
      </x:c>
      <x:c r="D980" s="50" t="n">
        <x:f>IF(B980=1,0,D979+E979)</x:f>
        <x:v>8000</x:v>
      </x:c>
      <x:c r="E980" s="50" t="n">
        <x:f>MIN(C980,MAX(0,Inputs!$B$7-D980))</x:f>
        <x:v>0</x:v>
      </x:c>
      <x:c r="F980" s="50" t="n">
        <x:f>MIN(C980-E980,MAX(0,Inputs!$B$20-O980))</x:f>
        <x:v>600</x:v>
      </x:c>
      <x:c r="G980" s="50" t="n">
        <x:f>0</x:f>
        <x:v>0</x:v>
      </x:c>
      <x:c r="H980" s="41" t="n">
        <x:f>0</x:f>
        <x:v>0</x:v>
      </x:c>
      <x:c r="I980" s="50" t="n">
        <x:f>(I979*(1+Inputs!$B$12))+E980</x:f>
        <x:v>1097926.7692251022</x:v>
      </x:c>
      <x:c r="J980" s="50" t="n">
        <x:f>(J979*(1+Inputs!$B$12))+F980+P980</x:f>
        <x:v>1313186.1483341905</x:v>
      </x:c>
      <x:c r="K980" s="50" t="n">
        <x:f>(K979*(1+Inputs!$B$12))*(1-H980)</x:f>
        <x:v>0</x:v>
      </x:c>
      <x:c r="L980" s="50" t="n">
        <x:f>L979*(1+Inputs!$B$13)+Q980</x:f>
        <x:v>75591.4634137084</x:v>
      </x:c>
      <x:c r="M980" s="50" t="n">
        <x:f>I980+J980+L980</x:f>
        <x:v>2486704.380973001</x:v>
      </x:c>
      <x:c r="N980" s="50" t="n">
        <x:f>F980+P980</x:f>
        <x:v>600</x:v>
      </x:c>
      <x:c r="O980" s="50" t="n">
        <x:f>IF(B980=1,0,O979+F979+P979)</x:f>
        <x:v>4857.142857142857</x:v>
      </x:c>
      <x:c r="P980" s="50" t="n">
        <x:f>MIN(G980,MAX(0,Inputs!$B$20-O980-F980))</x:f>
        <x:v>0</x:v>
      </x:c>
      <x:c r="Q980" s="50" t="n">
        <x:f>(C980-E980-F980)+(G980-P980)</x:f>
        <x:v>0</x:v>
      </x:c>
    </x:row>
    <x:row r="981">
      <x:c r="A981" s="41" t="n">
        <x:f>IF(B981=1,A980+1,A980)</x:f>
        <x:v>2064</x:v>
      </x:c>
      <x:c r="B981" s="41" t="n">
        <x:f>IF(B980=26,1,B980+1)</x:f>
        <x:v>18</x:v>
      </x:c>
      <x:c r="C981" s="48" t="n">
        <x:f>Inputs!$F$40</x:f>
        <x:v>600</x:v>
      </x:c>
      <x:c r="D981" s="50" t="n">
        <x:f>IF(B981=1,0,D980+E980)</x:f>
        <x:v>8000</x:v>
      </x:c>
      <x:c r="E981" s="50" t="n">
        <x:f>MIN(C981,MAX(0,Inputs!$B$7-D981))</x:f>
        <x:v>0</x:v>
      </x:c>
      <x:c r="F981" s="50" t="n">
        <x:f>MIN(C981-E981,MAX(0,Inputs!$B$20-O981))</x:f>
        <x:v>600</x:v>
      </x:c>
      <x:c r="G981" s="50" t="n">
        <x:f>0</x:f>
        <x:v>0</x:v>
      </x:c>
      <x:c r="H981" s="41" t="n">
        <x:f>0</x:f>
        <x:v>0</x:v>
      </x:c>
      <x:c r="I981" s="50" t="n">
        <x:f>(I980*(1+Inputs!$B$12))+E981</x:f>
        <x:v>1099989.0123086183</x:v>
      </x:c>
      <x:c r="J981" s="50" t="n">
        <x:f>(J980*(1+Inputs!$B$12))+F981+P981</x:f>
        <x:v>1316252.7145275648</x:v>
      </x:c>
      <x:c r="K981" s="50" t="n">
        <x:f>(K980*(1+Inputs!$B$12))*(1-H981)</x:f>
        <x:v>0</x:v>
      </x:c>
      <x:c r="L981" s="50" t="n">
        <x:f>L980*(1+Inputs!$B$13)+Q981</x:f>
        <x:v>75723.72234713037</x:v>
      </x:c>
      <x:c r="M981" s="50" t="n">
        <x:f>I981+J981+L981</x:f>
        <x:v>2491965.4491833136</x:v>
      </x:c>
      <x:c r="N981" s="50" t="n">
        <x:f>F981+P981</x:f>
        <x:v>600</x:v>
      </x:c>
      <x:c r="O981" s="50" t="n">
        <x:f>IF(B981=1,0,O980+F980+P980)</x:f>
        <x:v>5457.142857142857</x:v>
      </x:c>
      <x:c r="P981" s="50" t="n">
        <x:f>MIN(G981,MAX(0,Inputs!$B$20-O981-F981))</x:f>
        <x:v>0</x:v>
      </x:c>
      <x:c r="Q981" s="50" t="n">
        <x:f>(C981-E981-F981)+(G981-P981)</x:f>
        <x:v>0</x:v>
      </x:c>
    </x:row>
    <x:row r="982">
      <x:c r="A982" s="41" t="n">
        <x:f>IF(B982=1,A981+1,A981)</x:f>
        <x:v>2064</x:v>
      </x:c>
      <x:c r="B982" s="41" t="n">
        <x:f>IF(B981=26,1,B981+1)</x:f>
        <x:v>19</x:v>
      </x:c>
      <x:c r="C982" s="48" t="n">
        <x:f>Inputs!$F$40</x:f>
        <x:v>600</x:v>
      </x:c>
      <x:c r="D982" s="50" t="n">
        <x:f>IF(B982=1,0,D981+E981)</x:f>
        <x:v>8000</x:v>
      </x:c>
      <x:c r="E982" s="50" t="n">
        <x:f>MIN(C982,MAX(0,Inputs!$B$7-D982))</x:f>
        <x:v>0</x:v>
      </x:c>
      <x:c r="F982" s="50" t="n">
        <x:f>MIN(C982-E982,MAX(0,Inputs!$B$20-O982))</x:f>
        <x:v>600</x:v>
      </x:c>
      <x:c r="G982" s="50" t="n">
        <x:f>0</x:f>
        <x:v>0</x:v>
      </x:c>
      <x:c r="H982" s="41" t="n">
        <x:f>0</x:f>
        <x:v>0</x:v>
      </x:c>
      <x:c r="I982" s="50" t="n">
        <x:f>(I981*(1+Inputs!$B$12))+E982</x:f>
        <x:v>1102055.1289169039</x:v>
      </x:c>
      <x:c r="J982" s="50" t="n">
        <x:f>(J981*(1+Inputs!$B$12))+F982+P982</x:f>
        <x:v>1319325.040672422</x:v>
      </x:c>
      <x:c r="K982" s="50" t="n">
        <x:f>(K981*(1+Inputs!$B$12))*(1-H982)</x:f>
        <x:v>0</x:v>
      </x:c>
      <x:c r="L982" s="50" t="n">
        <x:f>L981*(1+Inputs!$B$13)+Q982</x:f>
        <x:v>75856.21268797165</x:v>
      </x:c>
      <x:c r="M982" s="50" t="n">
        <x:f>I982+J982+L982</x:f>
        <x:v>2497236.3822772973</x:v>
      </x:c>
      <x:c r="N982" s="50" t="n">
        <x:f>F982+P982</x:f>
        <x:v>600</x:v>
      </x:c>
      <x:c r="O982" s="50" t="n">
        <x:f>IF(B982=1,0,O981+F981+P981)</x:f>
        <x:v>6057.142857142857</x:v>
      </x:c>
      <x:c r="P982" s="50" t="n">
        <x:f>MIN(G982,MAX(0,Inputs!$B$20-O982-F982))</x:f>
        <x:v>0</x:v>
      </x:c>
      <x:c r="Q982" s="50" t="n">
        <x:f>(C982-E982-F982)+(G982-P982)</x:f>
        <x:v>0</x:v>
      </x:c>
    </x:row>
    <x:row r="983">
      <x:c r="A983" s="41" t="n">
        <x:f>IF(B983=1,A982+1,A982)</x:f>
        <x:v>2064</x:v>
      </x:c>
      <x:c r="B983" s="41" t="n">
        <x:f>IF(B982=26,1,B982+1)</x:f>
        <x:v>20</x:v>
      </x:c>
      <x:c r="C983" s="48" t="n">
        <x:f>Inputs!$F$40</x:f>
        <x:v>600</x:v>
      </x:c>
      <x:c r="D983" s="50" t="n">
        <x:f>IF(B983=1,0,D982+E982)</x:f>
        <x:v>8000</x:v>
      </x:c>
      <x:c r="E983" s="50" t="n">
        <x:f>MIN(C983,MAX(0,Inputs!$B$7-D983))</x:f>
        <x:v>0</x:v>
      </x:c>
      <x:c r="F983" s="50" t="n">
        <x:f>MIN(C983-E983,MAX(0,Inputs!$B$20-O983))</x:f>
        <x:v>600</x:v>
      </x:c>
      <x:c r="G983" s="50" t="n">
        <x:f>0</x:f>
        <x:v>0</x:v>
      </x:c>
      <x:c r="H983" s="41" t="n">
        <x:f>0</x:f>
        <x:v>0</x:v>
      </x:c>
      <x:c r="I983" s="50" t="n">
        <x:f>(I982*(1+Inputs!$B$12))+E983</x:f>
        <x:v>1104125.1263256257</x:v>
      </x:c>
      <x:c r="J983" s="50" t="n">
        <x:f>(J982*(1+Inputs!$B$12))+F983+P983</x:f>
        <x:v>1322403.1375877168</x:v>
      </x:c>
      <x:c r="K983" s="50" t="n">
        <x:f>(K982*(1+Inputs!$B$12))*(1-H983)</x:f>
        <x:v>0</x:v>
      </x:c>
      <x:c r="L983" s="50" t="n">
        <x:f>L982*(1+Inputs!$B$13)+Q983</x:f>
        <x:v>75988.93484111523</x:v>
      </x:c>
      <x:c r="M983" s="50" t="n">
        <x:f>I983+J983+L983</x:f>
        <x:v>2502517.1987544578</x:v>
      </x:c>
      <x:c r="N983" s="50" t="n">
        <x:f>F983+P983</x:f>
        <x:v>600</x:v>
      </x:c>
      <x:c r="O983" s="50" t="n">
        <x:f>IF(B983=1,0,O982+F982+P982)</x:f>
        <x:v>6657.142857142857</x:v>
      </x:c>
      <x:c r="P983" s="50" t="n">
        <x:f>MIN(G983,MAX(0,Inputs!$B$20-O983-F983))</x:f>
        <x:v>0</x:v>
      </x:c>
      <x:c r="Q983" s="50" t="n">
        <x:f>(C983-E983-F983)+(G983-P983)</x:f>
        <x:v>0</x:v>
      </x:c>
    </x:row>
    <x:row r="984">
      <x:c r="A984" s="41" t="n">
        <x:f>IF(B984=1,A983+1,A983)</x:f>
        <x:v>2064</x:v>
      </x:c>
      <x:c r="B984" s="41" t="n">
        <x:f>IF(B983=26,1,B983+1)</x:f>
        <x:v>21</x:v>
      </x:c>
      <x:c r="C984" s="48" t="n">
        <x:f>Inputs!$F$40</x:f>
        <x:v>600</x:v>
      </x:c>
      <x:c r="D984" s="50" t="n">
        <x:f>IF(B984=1,0,D983+E983)</x:f>
        <x:v>8000</x:v>
      </x:c>
      <x:c r="E984" s="50" t="n">
        <x:f>MIN(C984,MAX(0,Inputs!$B$7-D984))</x:f>
        <x:v>0</x:v>
      </x:c>
      <x:c r="F984" s="50" t="n">
        <x:f>MIN(C984-E984,MAX(0,Inputs!$B$20-O984))</x:f>
        <x:v>600</x:v>
      </x:c>
      <x:c r="G984" s="50" t="n">
        <x:f>0</x:f>
        <x:v>0</x:v>
      </x:c>
      <x:c r="H984" s="41" t="n">
        <x:f>0</x:f>
        <x:v>0</x:v>
      </x:c>
      <x:c r="I984" s="50" t="n">
        <x:f>(I983*(1+Inputs!$B$12))+E984</x:f>
        <x:v>1106199.011824117</x:v>
      </x:c>
      <x:c r="J984" s="50" t="n">
        <x:f>(J983*(1+Inputs!$B$12))+F984+P984</x:f>
        <x:v>1325487.0161127255</x:v>
      </x:c>
      <x:c r="K984" s="50" t="n">
        <x:f>(K983*(1+Inputs!$B$12))*(1-H984)</x:f>
        <x:v>0</x:v>
      </x:c>
      <x:c r="L984" s="50" t="n">
        <x:f>L983*(1+Inputs!$B$13)+Q984</x:f>
        <x:v>76121.88921215251</x:v>
      </x:c>
      <x:c r="M984" s="50" t="n">
        <x:f>I984+J984+L984</x:f>
        <x:v>2507807.9171489947</x:v>
      </x:c>
      <x:c r="N984" s="50" t="n">
        <x:f>F984+P984</x:f>
        <x:v>600</x:v>
      </x:c>
      <x:c r="O984" s="50" t="n">
        <x:f>IF(B984=1,0,O983+F983+P983)</x:f>
        <x:v>7257.142857142857</x:v>
      </x:c>
      <x:c r="P984" s="50" t="n">
        <x:f>MIN(G984,MAX(0,Inputs!$B$20-O984-F984))</x:f>
        <x:v>0</x:v>
      </x:c>
      <x:c r="Q984" s="50" t="n">
        <x:f>(C984-E984-F984)+(G984-P984)</x:f>
        <x:v>0</x:v>
      </x:c>
    </x:row>
    <x:row r="985">
      <x:c r="A985" s="41" t="n">
        <x:f>IF(B985=1,A984+1,A984)</x:f>
        <x:v>2064</x:v>
      </x:c>
      <x:c r="B985" s="41" t="n">
        <x:f>IF(B984=26,1,B984+1)</x:f>
        <x:v>22</x:v>
      </x:c>
      <x:c r="C985" s="48" t="n">
        <x:f>Inputs!$F$40</x:f>
        <x:v>600</x:v>
      </x:c>
      <x:c r="D985" s="50" t="n">
        <x:f>IF(B985=1,0,D984+E984)</x:f>
        <x:v>8000</x:v>
      </x:c>
      <x:c r="E985" s="50" t="n">
        <x:f>MIN(C985,MAX(0,Inputs!$B$7-D985))</x:f>
        <x:v>0</x:v>
      </x:c>
      <x:c r="F985" s="50" t="n">
        <x:f>MIN(C985-E985,MAX(0,Inputs!$B$20-O985))</x:f>
        <x:v>600</x:v>
      </x:c>
      <x:c r="G985" s="50" t="n">
        <x:f>0</x:f>
        <x:v>0</x:v>
      </x:c>
      <x:c r="H985" s="41" t="n">
        <x:f>0</x:f>
        <x:v>0</x:v>
      </x:c>
      <x:c r="I985" s="50" t="n">
        <x:f>(I984*(1+Inputs!$B$12))+E985</x:f>
        <x:v>1108276.7927154026</x:v>
      </x:c>
      <x:c r="J985" s="50" t="n">
        <x:f>(J984*(1+Inputs!$B$12))+F985+P985</x:f>
        <x:v>1328576.6871070834</x:v>
      </x:c>
      <x:c r="K985" s="50" t="n">
        <x:f>(K984*(1+Inputs!$B$12))*(1-H985)</x:f>
        <x:v>0</x:v>
      </x:c>
      <x:c r="L985" s="50" t="n">
        <x:f>L984*(1+Inputs!$B$13)+Q985</x:f>
        <x:v>76255.07620738455</x:v>
      </x:c>
      <x:c r="M985" s="50" t="n">
        <x:f>I985+J985+L985</x:f>
        <x:v>2513108.55602987</x:v>
      </x:c>
      <x:c r="N985" s="50" t="n">
        <x:f>F985+P985</x:f>
        <x:v>600</x:v>
      </x:c>
      <x:c r="O985" s="50" t="n">
        <x:f>IF(B985=1,0,O984+F984+P984)</x:f>
        <x:v>7857.142857142857</x:v>
      </x:c>
      <x:c r="P985" s="50" t="n">
        <x:f>MIN(G985,MAX(0,Inputs!$B$20-O985-F985))</x:f>
        <x:v>0</x:v>
      </x:c>
      <x:c r="Q985" s="50" t="n">
        <x:f>(C985-E985-F985)+(G985-P985)</x:f>
        <x:v>0</x:v>
      </x:c>
    </x:row>
    <x:row r="986">
      <x:c r="A986" s="41" t="n">
        <x:f>IF(B986=1,A985+1,A985)</x:f>
        <x:v>2064</x:v>
      </x:c>
      <x:c r="B986" s="41" t="n">
        <x:f>IF(B985=26,1,B985+1)</x:f>
        <x:v>23</x:v>
      </x:c>
      <x:c r="C986" s="48" t="n">
        <x:f>Inputs!$F$40</x:f>
        <x:v>600</x:v>
      </x:c>
      <x:c r="D986" s="50" t="n">
        <x:f>IF(B986=1,0,D985+E985)</x:f>
        <x:v>8000</x:v>
      </x:c>
      <x:c r="E986" s="50" t="n">
        <x:f>MIN(C986,MAX(0,Inputs!$B$7-D986))</x:f>
        <x:v>0</x:v>
      </x:c>
      <x:c r="F986" s="50" t="n">
        <x:f>MIN(C986-E986,MAX(0,Inputs!$B$20-O986))</x:f>
        <x:v>600</x:v>
      </x:c>
      <x:c r="G986" s="50" t="n">
        <x:f>0</x:f>
        <x:v>0</x:v>
      </x:c>
      <x:c r="H986" s="41" t="n">
        <x:f>0</x:f>
        <x:v>0</x:v>
      </x:c>
      <x:c r="I986" s="50" t="n">
        <x:f>(I985*(1+Inputs!$B$12))+E986</x:f>
        <x:v>1110358.476316224</x:v>
      </x:c>
      <x:c r="J986" s="50" t="n">
        <x:f>(J985*(1+Inputs!$B$12))+F986+P986</x:f>
        <x:v>1331672.161450824</x:v>
      </x:c>
      <x:c r="K986" s="50" t="n">
        <x:f>(K985*(1+Inputs!$B$12))*(1-H986)</x:f>
        <x:v>0</x:v>
      </x:c>
      <x:c r="L986" s="50" t="n">
        <x:f>L985*(1+Inputs!$B$13)+Q986</x:f>
        <x:v>76388.49623382329</x:v>
      </x:c>
      <x:c r="M986" s="50" t="n">
        <x:f>I986+J986+L986</x:f>
        <x:v>2518419.1340008713</x:v>
      </x:c>
      <x:c r="N986" s="50" t="n">
        <x:f>F986+P986</x:f>
        <x:v>600</x:v>
      </x:c>
      <x:c r="O986" s="50" t="n">
        <x:f>IF(B986=1,0,O985+F985+P985)</x:f>
        <x:v>8457.142857142857</x:v>
      </x:c>
      <x:c r="P986" s="50" t="n">
        <x:f>MIN(G986,MAX(0,Inputs!$B$20-O986-F986))</x:f>
        <x:v>0</x:v>
      </x:c>
      <x:c r="Q986" s="50" t="n">
        <x:f>(C986-E986-F986)+(G986-P986)</x:f>
        <x:v>0</x:v>
      </x:c>
    </x:row>
    <x:row r="987">
      <x:c r="A987" s="41" t="n">
        <x:f>IF(B987=1,A986+1,A986)</x:f>
        <x:v>2064</x:v>
      </x:c>
      <x:c r="B987" s="41" t="n">
        <x:f>IF(B986=26,1,B986+1)</x:f>
        <x:v>24</x:v>
      </x:c>
      <x:c r="C987" s="48" t="n">
        <x:f>Inputs!$F$40</x:f>
        <x:v>600</x:v>
      </x:c>
      <x:c r="D987" s="50" t="n">
        <x:f>IF(B987=1,0,D986+E986)</x:f>
        <x:v>8000</x:v>
      </x:c>
      <x:c r="E987" s="50" t="n">
        <x:f>MIN(C987,MAX(0,Inputs!$B$7-D987))</x:f>
        <x:v>0</x:v>
      </x:c>
      <x:c r="F987" s="50" t="n">
        <x:f>MIN(C987-E987,MAX(0,Inputs!$B$20-O987))</x:f>
        <x:v>600</x:v>
      </x:c>
      <x:c r="G987" s="50" t="n">
        <x:f>0</x:f>
        <x:v>0</x:v>
      </x:c>
      <x:c r="H987" s="41" t="n">
        <x:f>0</x:f>
        <x:v>0</x:v>
      </x:c>
      <x:c r="I987" s="50" t="n">
        <x:f>(I986*(1+Inputs!$B$12))+E987</x:f>
        <x:v>1112444.0699570666</x:v>
      </x:c>
      <x:c r="J987" s="50" t="n">
        <x:f>(J986*(1+Inputs!$B$12))+F987+P987</x:f>
        <x:v>1334773.4500444168</x:v>
      </x:c>
      <x:c r="K987" s="50" t="n">
        <x:f>(K986*(1+Inputs!$B$12))*(1-H987)</x:f>
        <x:v>0</x:v>
      </x:c>
      <x:c r="L987" s="50" t="n">
        <x:f>L986*(1+Inputs!$B$13)+Q987</x:f>
        <x:v>76522.14969919279</x:v>
      </x:c>
      <x:c r="M987" s="50" t="n">
        <x:f>I987+J987+L987</x:f>
        <x:v>2523739.669700676</x:v>
      </x:c>
      <x:c r="N987" s="50" t="n">
        <x:f>F987+P987</x:f>
        <x:v>600</x:v>
      </x:c>
      <x:c r="O987" s="50" t="n">
        <x:f>IF(B987=1,0,O986+F986+P986)</x:f>
        <x:v>9057.142857142857</x:v>
      </x:c>
      <x:c r="P987" s="50" t="n">
        <x:f>MIN(G987,MAX(0,Inputs!$B$20-O987-F987))</x:f>
        <x:v>0</x:v>
      </x:c>
      <x:c r="Q987" s="50" t="n">
        <x:f>(C987-E987-F987)+(G987-P987)</x:f>
        <x:v>0</x:v>
      </x:c>
    </x:row>
    <x:row r="988">
      <x:c r="A988" s="41" t="n">
        <x:f>IF(B988=1,A987+1,A987)</x:f>
        <x:v>2064</x:v>
      </x:c>
      <x:c r="B988" s="41" t="n">
        <x:f>IF(B987=26,1,B987+1)</x:f>
        <x:v>25</x:v>
      </x:c>
      <x:c r="C988" s="48" t="n">
        <x:f>Inputs!$F$40</x:f>
        <x:v>600</x:v>
      </x:c>
      <x:c r="D988" s="50" t="n">
        <x:f>IF(B988=1,0,D987+E987)</x:f>
        <x:v>8000</x:v>
      </x:c>
      <x:c r="E988" s="50" t="n">
        <x:f>MIN(C988,MAX(0,Inputs!$B$7-D988))</x:f>
        <x:v>0</x:v>
      </x:c>
      <x:c r="F988" s="50" t="n">
        <x:f>MIN(C988-E988,MAX(0,Inputs!$B$20-O988))</x:f>
        <x:v>600</x:v>
      </x:c>
      <x:c r="G988" s="50" t="n">
        <x:f>0</x:f>
        <x:v>0</x:v>
      </x:c>
      <x:c r="H988" s="41" t="n">
        <x:f>0</x:f>
        <x:v>0</x:v>
      </x:c>
      <x:c r="I988" s="50" t="n">
        <x:f>(I987*(1+Inputs!$B$12))+E988</x:f>
        <x:v>1114533.580982184</x:v>
      </x:c>
      <x:c r="J988" s="50" t="n">
        <x:f>(J987*(1+Inputs!$B$12))+F988+P988</x:f>
        <x:v>1337880.5638088055</x:v>
      </x:c>
      <x:c r="K988" s="50" t="n">
        <x:f>(K987*(1+Inputs!$B$12))*(1-H988)</x:f>
        <x:v>0</x:v>
      </x:c>
      <x:c r="L988" s="50" t="n">
        <x:f>L987*(1+Inputs!$B$13)+Q988</x:f>
        <x:v>76656.03701193049</x:v>
      </x:c>
      <x:c r="M988" s="50" t="n">
        <x:f>I988+J988+L988</x:f>
        <x:v>2529070.18180292</x:v>
      </x:c>
      <x:c r="N988" s="50" t="n">
        <x:f>F988+P988</x:f>
        <x:v>600</x:v>
      </x:c>
      <x:c r="O988" s="50" t="n">
        <x:f>IF(B988=1,0,O987+F987+P987)</x:f>
        <x:v>9657.142857142857</x:v>
      </x:c>
      <x:c r="P988" s="50" t="n">
        <x:f>MIN(G988,MAX(0,Inputs!$B$20-O988-F988))</x:f>
        <x:v>0</x:v>
      </x:c>
      <x:c r="Q988" s="50" t="n">
        <x:f>(C988-E988-F988)+(G988-P988)</x:f>
        <x:v>0</x:v>
      </x:c>
    </x:row>
    <x:row r="989">
      <x:c r="A989" s="41" t="n">
        <x:f>IF(B989=1,A988+1,A988)</x:f>
        <x:v>2064</x:v>
      </x:c>
      <x:c r="B989" s="41" t="n">
        <x:f>IF(B988=26,1,B988+1)</x:f>
        <x:v>26</x:v>
      </x:c>
      <x:c r="C989" s="48" t="n">
        <x:f>Inputs!$F$40</x:f>
        <x:v>600</x:v>
      </x:c>
      <x:c r="D989" s="50" t="n">
        <x:f>IF(B989=1,0,D988+E988)</x:f>
        <x:v>8000</x:v>
      </x:c>
      <x:c r="E989" s="50" t="n">
        <x:f>MIN(C989,MAX(0,Inputs!$B$7-D989))</x:f>
        <x:v>0</x:v>
      </x:c>
      <x:c r="F989" s="50" t="n">
        <x:f>MIN(C989-E989,MAX(0,Inputs!$B$20-O989))</x:f>
        <x:v>600</x:v>
      </x:c>
      <x:c r="G989" s="50" t="n">
        <x:f>0</x:f>
        <x:v>0</x:v>
      </x:c>
      <x:c r="H989" s="41" t="n">
        <x:f>IF(A989=Inputs!$B$8,1,0)</x:f>
        <x:v>0</x:v>
      </x:c>
      <x:c r="I989" s="50" t="n">
        <x:f>(I988*(1+Inputs!$B$12))+E989</x:f>
        <x:v>1116627.0167496253</x:v>
      </x:c>
      <x:c r="J989" s="50" t="n">
        <x:f>(J988*(1+Inputs!$B$12))+F989+P989</x:f>
        <x:v>1340993.5136854467</x:v>
      </x:c>
      <x:c r="K989" s="50" t="n">
        <x:f>(K988*(1+Inputs!$B$12))*(1-H989)</x:f>
        <x:v>0</x:v>
      </x:c>
      <x:c r="L989" s="50" t="n">
        <x:f>L988*(1+Inputs!$B$13)+Q989</x:f>
        <x:v>76790.15858118846</x:v>
      </x:c>
      <x:c r="M989" s="50" t="n">
        <x:f>I989+J989+L989</x:f>
        <x:v>2534410.6890162607</x:v>
      </x:c>
      <x:c r="N989" s="50" t="n">
        <x:f>F989+P989</x:f>
        <x:v>600</x:v>
      </x:c>
      <x:c r="O989" s="50" t="n">
        <x:f>IF(B989=1,0,O988+F988+P988)</x:f>
        <x:v>10257.142857142857</x:v>
      </x:c>
      <x:c r="P989" s="50" t="n">
        <x:f>MIN(G989,MAX(0,Inputs!$B$20-O989-F989))</x:f>
        <x:v>0</x:v>
      </x:c>
      <x:c r="Q989" s="50" t="n">
        <x:f>(C989-E989-F989)+(G989-P989)</x:f>
        <x:v>0</x:v>
      </x:c>
    </x:row>
    <x:row r="990">
      <x:c r="A990" s="41" t="n">
        <x:f>IF(B990=1,A989+1,A989)</x:f>
        <x:v>2065</x:v>
      </x:c>
      <x:c r="B990" s="41" t="n">
        <x:f>IF(B989=26,1,B989+1)</x:f>
        <x:v>1</x:v>
      </x:c>
      <x:c r="C990" s="48" t="n">
        <x:f>Inputs!$F$41</x:f>
        <x:v>600</x:v>
      </x:c>
      <x:c r="D990" s="50" t="n">
        <x:f>IF(B990=1,0,D989+E989)</x:f>
        <x:v>0</x:v>
      </x:c>
      <x:c r="E990" s="50" t="n">
        <x:f>MIN(C990,MAX(0,Inputs!$B$7-D990))</x:f>
        <x:v>600</x:v>
      </x:c>
      <x:c r="F990" s="50" t="n">
        <x:f>MIN(C990-E990,MAX(0,Inputs!$B$20-O990))</x:f>
        <x:v>0</x:v>
      </x:c>
      <x:c r="G990" s="50" t="n">
        <x:f>0</x:f>
        <x:v>0</x:v>
      </x:c>
      <x:c r="H990" s="41" t="n">
        <x:f>0</x:f>
        <x:v>0</x:v>
      </x:c>
      <x:c r="I990" s="50" t="n">
        <x:f>(I989*(1+Inputs!$B$12))+E990</x:f>
        <x:v>1119324.3846312596</x:v>
      </x:c>
      <x:c r="J990" s="50" t="n">
        <x:f>(J989*(1+Inputs!$B$12))+F990+P990</x:f>
        <x:v>1343512.3106363486</x:v>
      </x:c>
      <x:c r="K990" s="50" t="n">
        <x:f>(K989*(1+Inputs!$B$12))*(1-H990)</x:f>
        <x:v>0</x:v>
      </x:c>
      <x:c r="L990" s="50" t="n">
        <x:f>L989*(1+Inputs!$B$13)+Q990</x:f>
        <x:v>76924.51481683463</x:v>
      </x:c>
      <x:c r="M990" s="50" t="n">
        <x:f>I990+J990+L990</x:f>
        <x:v>2539761.210084443</x:v>
      </x:c>
      <x:c r="N990" s="50" t="n">
        <x:f>F990+P990</x:f>
        <x:v>0</x:v>
      </x:c>
      <x:c r="O990" s="50" t="n">
        <x:f>IF(B990=1,0,O989+F989+P989)</x:f>
        <x:v>0</x:v>
      </x:c>
      <x:c r="P990" s="50" t="n">
        <x:f>MIN(G990,MAX(0,Inputs!$B$20-O990-F990))</x:f>
        <x:v>0</x:v>
      </x:c>
      <x:c r="Q990" s="50" t="n">
        <x:f>(C990-E990-F990)+(G990-P990)</x:f>
        <x:v>0</x:v>
      </x:c>
    </x:row>
    <x:row r="991">
      <x:c r="A991" s="41" t="n">
        <x:f>IF(B991=1,A990+1,A990)</x:f>
        <x:v>2065</x:v>
      </x:c>
      <x:c r="B991" s="41" t="n">
        <x:f>IF(B990=26,1,B990+1)</x:f>
        <x:v>2</x:v>
      </x:c>
      <x:c r="C991" s="48" t="n">
        <x:f>Inputs!$F$41</x:f>
        <x:v>600</x:v>
      </x:c>
      <x:c r="D991" s="50" t="n">
        <x:f>IF(B991=1,0,D990+E990)</x:f>
        <x:v>600</x:v>
      </x:c>
      <x:c r="E991" s="50" t="n">
        <x:f>MIN(C991,MAX(0,Inputs!$B$7-D991))</x:f>
        <x:v>600</x:v>
      </x:c>
      <x:c r="F991" s="50" t="n">
        <x:f>MIN(C991-E991,MAX(0,Inputs!$B$20-O991))</x:f>
        <x:v>0</x:v>
      </x:c>
      <x:c r="G991" s="50" t="n">
        <x:f>0</x:f>
        <x:v>0</x:v>
      </x:c>
      <x:c r="H991" s="41" t="n">
        <x:f>0</x:f>
        <x:v>0</x:v>
      </x:c>
      <x:c r="I991" s="50" t="n">
        <x:f>(I990*(1+Inputs!$B$12))+E991</x:f>
        <x:v>1122026.8189967554</x:v>
      </x:c>
      <x:c r="J991" s="50" t="n">
        <x:f>(J990*(1+Inputs!$B$12))+F991+P991</x:f>
        <x:v>1346035.8386601566</x:v>
      </x:c>
      <x:c r="K991" s="50" t="n">
        <x:f>(K990*(1+Inputs!$B$12))*(1-H991)</x:f>
        <x:v>0</x:v>
      </x:c>
      <x:c r="L991" s="50" t="n">
        <x:f>L990*(1+Inputs!$B$13)+Q991</x:f>
        <x:v>77059.1061294541</x:v>
      </x:c>
      <x:c r="M991" s="50" t="n">
        <x:f>I991+J991+L991</x:f>
        <x:v>2545121.7637863657</x:v>
      </x:c>
      <x:c r="N991" s="50" t="n">
        <x:f>F991+P991</x:f>
        <x:v>0</x:v>
      </x:c>
      <x:c r="O991" s="50" t="n">
        <x:f>IF(B991=1,0,O990+F990+P990)</x:f>
        <x:v>0</x:v>
      </x:c>
      <x:c r="P991" s="50" t="n">
        <x:f>MIN(G991,MAX(0,Inputs!$B$20-O991-F991))</x:f>
        <x:v>0</x:v>
      </x:c>
      <x:c r="Q991" s="50" t="n">
        <x:f>(C991-E991-F991)+(G991-P991)</x:f>
        <x:v>0</x:v>
      </x:c>
    </x:row>
    <x:row r="992">
      <x:c r="A992" s="41" t="n">
        <x:f>IF(B992=1,A991+1,A991)</x:f>
        <x:v>2065</x:v>
      </x:c>
      <x:c r="B992" s="41" t="n">
        <x:f>IF(B991=26,1,B991+1)</x:f>
        <x:v>3</x:v>
      </x:c>
      <x:c r="C992" s="48" t="n">
        <x:f>Inputs!$F$41</x:f>
        <x:v>600</x:v>
      </x:c>
      <x:c r="D992" s="50" t="n">
        <x:f>IF(B992=1,0,D991+E991)</x:f>
        <x:v>1200</x:v>
      </x:c>
      <x:c r="E992" s="50" t="n">
        <x:f>MIN(C992,MAX(0,Inputs!$B$7-D992))</x:f>
        <x:v>600</x:v>
      </x:c>
      <x:c r="F992" s="50" t="n">
        <x:f>MIN(C992-E992,MAX(0,Inputs!$B$20-O992))</x:f>
        <x:v>0</x:v>
      </x:c>
      <x:c r="G992" s="50" t="n">
        <x:f>0</x:f>
        <x:v>0</x:v>
      </x:c>
      <x:c r="H992" s="41" t="n">
        <x:f>0</x:f>
        <x:v>0</x:v>
      </x:c>
      <x:c r="I992" s="50" t="n">
        <x:f>(I991*(1+Inputs!$B$12))+E992</x:f>
        <x:v>1124734.329362523</x:v>
      </x:c>
      <x:c r="J992" s="50" t="n">
        <x:f>(J991*(1+Inputs!$B$12))+F992+P992</x:f>
        <x:v>1348564.106643276</x:v>
      </x:c>
      <x:c r="K992" s="50" t="n">
        <x:f>(K991*(1+Inputs!$B$12))*(1-H992)</x:f>
        <x:v>0</x:v>
      </x:c>
      <x:c r="L992" s="50" t="n">
        <x:f>L991*(1+Inputs!$B$13)+Q992</x:f>
        <x:v>77193.93293035029</x:v>
      </x:c>
      <x:c r="M992" s="50" t="n">
        <x:f>I992+J992+L992</x:f>
        <x:v>2550492.3689361494</x:v>
      </x:c>
      <x:c r="N992" s="50" t="n">
        <x:f>F992+P992</x:f>
        <x:v>0</x:v>
      </x:c>
      <x:c r="O992" s="50" t="n">
        <x:f>IF(B992=1,0,O991+F991+P991)</x:f>
        <x:v>0</x:v>
      </x:c>
      <x:c r="P992" s="50" t="n">
        <x:f>MIN(G992,MAX(0,Inputs!$B$20-O992-F992))</x:f>
        <x:v>0</x:v>
      </x:c>
      <x:c r="Q992" s="50" t="n">
        <x:f>(C992-E992-F992)+(G992-P992)</x:f>
        <x:v>0</x:v>
      </x:c>
    </x:row>
    <x:row r="993">
      <x:c r="A993" s="41" t="n">
        <x:f>IF(B993=1,A992+1,A992)</x:f>
        <x:v>2065</x:v>
      </x:c>
      <x:c r="B993" s="41" t="n">
        <x:f>IF(B992=26,1,B992+1)</x:f>
        <x:v>4</x:v>
      </x:c>
      <x:c r="C993" s="48" t="n">
        <x:f>Inputs!$F$41</x:f>
        <x:v>600</x:v>
      </x:c>
      <x:c r="D993" s="50" t="n">
        <x:f>IF(B993=1,0,D992+E992)</x:f>
        <x:v>1800</x:v>
      </x:c>
      <x:c r="E993" s="50" t="n">
        <x:f>MIN(C993,MAX(0,Inputs!$B$7-D993))</x:f>
        <x:v>600</x:v>
      </x:c>
      <x:c r="F993" s="50" t="n">
        <x:f>MIN(C993-E993,MAX(0,Inputs!$B$20-O993))</x:f>
        <x:v>0</x:v>
      </x:c>
      <x:c r="G993" s="50" t="n">
        <x:f>0</x:f>
        <x:v>0</x:v>
      </x:c>
      <x:c r="H993" s="41" t="n">
        <x:f>0</x:f>
        <x:v>0</x:v>
      </x:c>
      <x:c r="I993" s="50" t="n">
        <x:f>(I992*(1+Inputs!$B$12))+E993</x:f>
        <x:v>1127446.9252628472</x:v>
      </x:c>
      <x:c r="J993" s="50" t="n">
        <x:f>(J992*(1+Inputs!$B$12))+F993+P993</x:f>
        <x:v>1351097.1234888039</x:v>
      </x:c>
      <x:c r="K993" s="50" t="n">
        <x:f>(K992*(1+Inputs!$B$12))*(1-H993)</x:f>
        <x:v>0</x:v>
      </x:c>
      <x:c r="L993" s="50" t="n">
        <x:f>L992*(1+Inputs!$B$13)+Q993</x:f>
        <x:v>77328.9956315463</x:v>
      </x:c>
      <x:c r="M993" s="50" t="n">
        <x:f>I993+J993+L993</x:f>
        <x:v>2555873.0443831976</x:v>
      </x:c>
      <x:c r="N993" s="50" t="n">
        <x:f>F993+P993</x:f>
        <x:v>0</x:v>
      </x:c>
      <x:c r="O993" s="50" t="n">
        <x:f>IF(B993=1,0,O992+F992+P992)</x:f>
        <x:v>0</x:v>
      </x:c>
      <x:c r="P993" s="50" t="n">
        <x:f>MIN(G993,MAX(0,Inputs!$B$20-O993-F993))</x:f>
        <x:v>0</x:v>
      </x:c>
      <x:c r="Q993" s="50" t="n">
        <x:f>(C993-E993-F993)+(G993-P993)</x:f>
        <x:v>0</x:v>
      </x:c>
    </x:row>
    <x:row r="994">
      <x:c r="A994" s="41" t="n">
        <x:f>IF(B994=1,A993+1,A993)</x:f>
        <x:v>2065</x:v>
      </x:c>
      <x:c r="B994" s="41" t="n">
        <x:f>IF(B993=26,1,B993+1)</x:f>
        <x:v>5</x:v>
      </x:c>
      <x:c r="C994" s="48" t="n">
        <x:f>Inputs!$F$41</x:f>
        <x:v>600</x:v>
      </x:c>
      <x:c r="D994" s="50" t="n">
        <x:f>IF(B994=1,0,D993+E993)</x:f>
        <x:v>2400</x:v>
      </x:c>
      <x:c r="E994" s="50" t="n">
        <x:f>MIN(C994,MAX(0,Inputs!$B$7-D994))</x:f>
        <x:v>600</x:v>
      </x:c>
      <x:c r="F994" s="50" t="n">
        <x:f>MIN(C994-E994,MAX(0,Inputs!$B$20-O994))</x:f>
        <x:v>0</x:v>
      </x:c>
      <x:c r="G994" s="50" t="n">
        <x:f>0</x:f>
        <x:v>0</x:v>
      </x:c>
      <x:c r="H994" s="41" t="n">
        <x:f>0</x:f>
        <x:v>0</x:v>
      </x:c>
      <x:c r="I994" s="50" t="n">
        <x:f>(I993*(1+Inputs!$B$12))+E994</x:f>
        <x:v>1130164.6162499208</x:v>
      </x:c>
      <x:c r="J994" s="50" t="n">
        <x:f>(J993*(1+Inputs!$B$12))+F994+P994</x:f>
        <x:v>1353634.8981165597</x:v>
      </x:c>
      <x:c r="K994" s="50" t="n">
        <x:f>(K993*(1+Inputs!$B$12))*(1-H994)</x:f>
        <x:v>0</x:v>
      </x:c>
      <x:c r="L994" s="50" t="n">
        <x:f>L993*(1+Inputs!$B$13)+Q994</x:f>
        <x:v>77464.29464578613</x:v>
      </x:c>
      <x:c r="M994" s="50" t="n">
        <x:f>I994+J994+L994</x:f>
        <x:v>2561263.809012267</x:v>
      </x:c>
      <x:c r="N994" s="50" t="n">
        <x:f>F994+P994</x:f>
        <x:v>0</x:v>
      </x:c>
      <x:c r="O994" s="50" t="n">
        <x:f>IF(B994=1,0,O993+F993+P993)</x:f>
        <x:v>0</x:v>
      </x:c>
      <x:c r="P994" s="50" t="n">
        <x:f>MIN(G994,MAX(0,Inputs!$B$20-O994-F994))</x:f>
        <x:v>0</x:v>
      </x:c>
      <x:c r="Q994" s="50" t="n">
        <x:f>(C994-E994-F994)+(G994-P994)</x:f>
        <x:v>0</x:v>
      </x:c>
    </x:row>
    <x:row r="995">
      <x:c r="A995" s="41" t="n">
        <x:f>IF(B995=1,A994+1,A994)</x:f>
        <x:v>2065</x:v>
      </x:c>
      <x:c r="B995" s="41" t="n">
        <x:f>IF(B994=26,1,B994+1)</x:f>
        <x:v>6</x:v>
      </x:c>
      <x:c r="C995" s="48" t="n">
        <x:f>Inputs!$F$41</x:f>
        <x:v>600</x:v>
      </x:c>
      <x:c r="D995" s="50" t="n">
        <x:f>IF(B995=1,0,D994+E994)</x:f>
        <x:v>3000</x:v>
      </x:c>
      <x:c r="E995" s="50" t="n">
        <x:f>MIN(C995,MAX(0,Inputs!$B$7-D995))</x:f>
        <x:v>600</x:v>
      </x:c>
      <x:c r="F995" s="50" t="n">
        <x:f>MIN(C995-E995,MAX(0,Inputs!$B$20-O995))</x:f>
        <x:v>0</x:v>
      </x:c>
      <x:c r="G995" s="50" t="n">
        <x:f>0</x:f>
        <x:v>0</x:v>
      </x:c>
      <x:c r="H995" s="41" t="n">
        <x:f>0</x:f>
        <x:v>0</x:v>
      </x:c>
      <x:c r="I995" s="50" t="n">
        <x:f>(I994*(1+Inputs!$B$12))+E995</x:f>
        <x:v>1132887.4118938788</x:v>
      </x:c>
      <x:c r="J995" s="50" t="n">
        <x:f>(J994*(1+Inputs!$B$12))+F995+P995</x:f>
        <x:v>1356177.4394631172</x:v>
      </x:c>
      <x:c r="K995" s="50" t="n">
        <x:f>(K994*(1+Inputs!$B$12))*(1-H995)</x:f>
        <x:v>0</x:v>
      </x:c>
      <x:c r="L995" s="50" t="n">
        <x:f>L994*(1+Inputs!$B$13)+Q995</x:f>
        <x:v>77599.8303865359</x:v>
      </x:c>
      <x:c r="M995" s="50" t="n">
        <x:f>I995+J995+L995</x:f>
        <x:v>2566664.681743532</x:v>
      </x:c>
      <x:c r="N995" s="50" t="n">
        <x:f>F995+P995</x:f>
        <x:v>0</x:v>
      </x:c>
      <x:c r="O995" s="50" t="n">
        <x:f>IF(B995=1,0,O994+F994+P994)</x:f>
        <x:v>0</x:v>
      </x:c>
      <x:c r="P995" s="50" t="n">
        <x:f>MIN(G995,MAX(0,Inputs!$B$20-O995-F995))</x:f>
        <x:v>0</x:v>
      </x:c>
      <x:c r="Q995" s="50" t="n">
        <x:f>(C995-E995-F995)+(G995-P995)</x:f>
        <x:v>0</x:v>
      </x:c>
    </x:row>
    <x:row r="996">
      <x:c r="A996" s="41" t="n">
        <x:f>IF(B996=1,A995+1,A995)</x:f>
        <x:v>2065</x:v>
      </x:c>
      <x:c r="B996" s="41" t="n">
        <x:f>IF(B995=26,1,B995+1)</x:f>
        <x:v>7</x:v>
      </x:c>
      <x:c r="C996" s="48" t="n">
        <x:f>Inputs!$F$41</x:f>
        <x:v>600</x:v>
      </x:c>
      <x:c r="D996" s="50" t="n">
        <x:f>IF(B996=1,0,D995+E995)</x:f>
        <x:v>3600</x:v>
      </x:c>
      <x:c r="E996" s="50" t="n">
        <x:f>MIN(C996,MAX(0,Inputs!$B$7-D996))</x:f>
        <x:v>600</x:v>
      </x:c>
      <x:c r="F996" s="50" t="n">
        <x:f>MIN(C996-E996,MAX(0,Inputs!$B$20-O996))</x:f>
        <x:v>0</x:v>
      </x:c>
      <x:c r="G996" s="50" t="n">
        <x:f>0</x:f>
        <x:v>0</x:v>
      </x:c>
      <x:c r="H996" s="41" t="n">
        <x:f>0</x:f>
        <x:v>0</x:v>
      </x:c>
      <x:c r="I996" s="50" t="n">
        <x:f>(I995*(1+Inputs!$B$12))+E996</x:f>
        <x:v>1135615.321782832</x:v>
      </x:c>
      <x:c r="J996" s="50" t="n">
        <x:f>(J995*(1+Inputs!$B$12))+F996+P996</x:f>
        <x:v>1358724.7564818354</x:v>
      </x:c>
      <x:c r="K996" s="50" t="n">
        <x:f>(K995*(1+Inputs!$B$12))*(1-H996)</x:f>
        <x:v>0</x:v>
      </x:c>
      <x:c r="L996" s="50" t="n">
        <x:f>L995*(1+Inputs!$B$13)+Q996</x:f>
        <x:v>77735.6032679852</x:v>
      </x:c>
      <x:c r="M996" s="50" t="n">
        <x:f>I996+J996+L996</x:f>
        <x:v>2572075.681532653</x:v>
      </x:c>
      <x:c r="N996" s="50" t="n">
        <x:f>F996+P996</x:f>
        <x:v>0</x:v>
      </x:c>
      <x:c r="O996" s="50" t="n">
        <x:f>IF(B996=1,0,O995+F995+P995)</x:f>
        <x:v>0</x:v>
      </x:c>
      <x:c r="P996" s="50" t="n">
        <x:f>MIN(G996,MAX(0,Inputs!$B$20-O996-F996))</x:f>
        <x:v>0</x:v>
      </x:c>
      <x:c r="Q996" s="50" t="n">
        <x:f>(C996-E996-F996)+(G996-P996)</x:f>
        <x:v>0</x:v>
      </x:c>
    </x:row>
    <x:row r="997">
      <x:c r="A997" s="41" t="n">
        <x:f>IF(B997=1,A996+1,A996)</x:f>
        <x:v>2065</x:v>
      </x:c>
      <x:c r="B997" s="41" t="n">
        <x:f>IF(B996=26,1,B996+1)</x:f>
        <x:v>8</x:v>
      </x:c>
      <x:c r="C997" s="48" t="n">
        <x:f>Inputs!$F$41</x:f>
        <x:v>600</x:v>
      </x:c>
      <x:c r="D997" s="50" t="n">
        <x:f>IF(B997=1,0,D996+E996)</x:f>
        <x:v>4200</x:v>
      </x:c>
      <x:c r="E997" s="50" t="n">
        <x:f>MIN(C997,MAX(0,Inputs!$B$7-D997))</x:f>
        <x:v>600</x:v>
      </x:c>
      <x:c r="F997" s="50" t="n">
        <x:f>MIN(C997-E997,MAX(0,Inputs!$B$20-O997))</x:f>
        <x:v>0</x:v>
      </x:c>
      <x:c r="G997" s="50" t="n">
        <x:f>0</x:f>
        <x:v>0</x:v>
      </x:c>
      <x:c r="H997" s="41" t="n">
        <x:f>0</x:f>
        <x:v>0</x:v>
      </x:c>
      <x:c r="I997" s="50" t="n">
        <x:f>(I996*(1+Inputs!$B$12))+E997</x:f>
        <x:v>1138348.3555229006</x:v>
      </x:c>
      <x:c r="J997" s="50" t="n">
        <x:f>(J996*(1+Inputs!$B$12))+F997+P997</x:f>
        <x:v>1361276.858142891</x:v>
      </x:c>
      <x:c r="K997" s="50" t="n">
        <x:f>(K996*(1+Inputs!$B$12))*(1-H997)</x:f>
        <x:v>0</x:v>
      </x:c>
      <x:c r="L997" s="50" t="n">
        <x:f>L996*(1+Inputs!$B$13)+Q997</x:f>
        <x:v>77871.6137050483</x:v>
      </x:c>
      <x:c r="M997" s="50" t="n">
        <x:f>I997+J997+L997</x:f>
        <x:v>2577496.82737084</x:v>
      </x:c>
      <x:c r="N997" s="50" t="n">
        <x:f>F997+P997</x:f>
        <x:v>0</x:v>
      </x:c>
      <x:c r="O997" s="50" t="n">
        <x:f>IF(B997=1,0,O996+F996+P996)</x:f>
        <x:v>0</x:v>
      </x:c>
      <x:c r="P997" s="50" t="n">
        <x:f>MIN(G997,MAX(0,Inputs!$B$20-O997-F997))</x:f>
        <x:v>0</x:v>
      </x:c>
      <x:c r="Q997" s="50" t="n">
        <x:f>(C997-E997-F997)+(G997-P997)</x:f>
        <x:v>0</x:v>
      </x:c>
    </x:row>
    <x:row r="998">
      <x:c r="A998" s="41" t="n">
        <x:f>IF(B998=1,A997+1,A997)</x:f>
        <x:v>2065</x:v>
      </x:c>
      <x:c r="B998" s="41" t="n">
        <x:f>IF(B997=26,1,B997+1)</x:f>
        <x:v>9</x:v>
      </x:c>
      <x:c r="C998" s="48" t="n">
        <x:f>Inputs!$F$41</x:f>
        <x:v>600</x:v>
      </x:c>
      <x:c r="D998" s="50" t="n">
        <x:f>IF(B998=1,0,D997+E997)</x:f>
        <x:v>4800</x:v>
      </x:c>
      <x:c r="E998" s="50" t="n">
        <x:f>MIN(C998,MAX(0,Inputs!$B$7-D998))</x:f>
        <x:v>600</x:v>
      </x:c>
      <x:c r="F998" s="50" t="n">
        <x:f>MIN(C998-E998,MAX(0,Inputs!$B$20-O998))</x:f>
        <x:v>0</x:v>
      </x:c>
      <x:c r="G998" s="50" t="n">
        <x:f>SUM(N964:N989)*Inputs!$B$6</x:f>
        <x:v>3257.142857142857</x:v>
      </x:c>
      <x:c r="H998" s="41" t="n">
        <x:f>0</x:f>
        <x:v>0</x:v>
      </x:c>
      <x:c r="I998" s="50" t="n">
        <x:f>(I997*(1+Inputs!$B$12))+E998</x:f>
        <x:v>1141086.5227382476</x:v>
      </x:c>
      <x:c r="J998" s="50" t="n">
        <x:f>(J997*(1+Inputs!$B$12))+F998+P998</x:f>
        <x:v>1367090.8962904522</x:v>
      </x:c>
      <x:c r="K998" s="50" t="n">
        <x:f>(K997*(1+Inputs!$B$12))*(1-H998)</x:f>
        <x:v>0</x:v>
      </x:c>
      <x:c r="L998" s="50" t="n">
        <x:f>L997*(1+Inputs!$B$13)+Q998</x:f>
        <x:v>78007.86211336538</x:v>
      </x:c>
      <x:c r="M998" s="50" t="n">
        <x:f>I998+J998+L998</x:f>
        <x:v>2586185.2811420653</x:v>
      </x:c>
      <x:c r="N998" s="50" t="n">
        <x:f>F998+P998</x:f>
        <x:v>3257.142857142857</x:v>
      </x:c>
      <x:c r="O998" s="50" t="n">
        <x:f>IF(B998=1,0,O997+F997+P997)</x:f>
        <x:v>0</x:v>
      </x:c>
      <x:c r="P998" s="50" t="n">
        <x:f>MIN(G998,MAX(0,Inputs!$B$20-O998-F998))</x:f>
        <x:v>3257.142857142857</x:v>
      </x:c>
      <x:c r="Q998" s="50" t="n">
        <x:f>(C998-E998-F998)+(G998-P998)</x:f>
        <x:v>0</x:v>
      </x:c>
    </x:row>
    <x:row r="999">
      <x:c r="A999" s="41" t="n">
        <x:f>IF(B999=1,A998+1,A998)</x:f>
        <x:v>2065</x:v>
      </x:c>
      <x:c r="B999" s="41" t="n">
        <x:f>IF(B998=26,1,B998+1)</x:f>
        <x:v>10</x:v>
      </x:c>
      <x:c r="C999" s="48" t="n">
        <x:f>Inputs!$F$41</x:f>
        <x:v>600</x:v>
      </x:c>
      <x:c r="D999" s="50" t="n">
        <x:f>IF(B999=1,0,D998+E998)</x:f>
        <x:v>5400</x:v>
      </x:c>
      <x:c r="E999" s="50" t="n">
        <x:f>MIN(C999,MAX(0,Inputs!$B$7-D999))</x:f>
        <x:v>600</x:v>
      </x:c>
      <x:c r="F999" s="50" t="n">
        <x:f>MIN(C999-E999,MAX(0,Inputs!$B$20-O999))</x:f>
        <x:v>0</x:v>
      </x:c>
      <x:c r="G999" s="50" t="n">
        <x:f>0</x:f>
        <x:v>0</x:v>
      </x:c>
      <x:c r="H999" s="41" t="n">
        <x:f>0</x:f>
        <x:v>0</x:v>
      </x:c>
      <x:c r="I999" s="50" t="n">
        <x:f>(I998*(1+Inputs!$B$12))+E999</x:f>
        <x:v>1143829.8330711138</x:v>
      </x:c>
      <x:c r="J999" s="50" t="n">
        <x:f>(J998*(1+Inputs!$B$12))+F999+P999</x:f>
        <x:v>1369658.7121270245</x:v>
      </x:c>
      <x:c r="K999" s="50" t="n">
        <x:f>(K998*(1+Inputs!$B$12))*(1-H999)</x:f>
        <x:v>0</x:v>
      </x:c>
      <x:c r="L999" s="50" t="n">
        <x:f>L998*(1+Inputs!$B$13)+Q999</x:f>
        <x:v>78144.34890930391</x:v>
      </x:c>
      <x:c r="M999" s="50" t="n">
        <x:f>I999+J999+L999</x:f>
        <x:v>2591632.8941074423</x:v>
      </x:c>
      <x:c r="N999" s="50" t="n">
        <x:f>F999+P999</x:f>
        <x:v>0</x:v>
      </x:c>
      <x:c r="O999" s="50" t="n">
        <x:f>IF(B999=1,0,O998+F998+P998)</x:f>
        <x:v>3257.142857142857</x:v>
      </x:c>
      <x:c r="P999" s="50" t="n">
        <x:f>MIN(G999,MAX(0,Inputs!$B$20-O999-F999))</x:f>
        <x:v>0</x:v>
      </x:c>
      <x:c r="Q999" s="50" t="n">
        <x:f>(C999-E999-F999)+(G999-P999)</x:f>
        <x:v>0</x:v>
      </x:c>
    </x:row>
    <x:row r="1000">
      <x:c r="A1000" s="41" t="n">
        <x:f>IF(B1000=1,A999+1,A999)</x:f>
        <x:v>2065</x:v>
      </x:c>
      <x:c r="B1000" s="41" t="n">
        <x:f>IF(B999=26,1,B999+1)</x:f>
        <x:v>11</x:v>
      </x:c>
      <x:c r="C1000" s="48" t="n">
        <x:f>Inputs!$F$41</x:f>
        <x:v>600</x:v>
      </x:c>
      <x:c r="D1000" s="50" t="n">
        <x:f>IF(B1000=1,0,D999+E999)</x:f>
        <x:v>6000</x:v>
      </x:c>
      <x:c r="E1000" s="50" t="n">
        <x:f>MIN(C1000,MAX(0,Inputs!$B$7-D1000))</x:f>
        <x:v>600</x:v>
      </x:c>
      <x:c r="F1000" s="50" t="n">
        <x:f>MIN(C1000-E1000,MAX(0,Inputs!$B$20-O1000))</x:f>
        <x:v>0</x:v>
      </x:c>
      <x:c r="G1000" s="50" t="n">
        <x:f>0</x:f>
        <x:v>0</x:v>
      </x:c>
      <x:c r="H1000" s="41" t="n">
        <x:f>0</x:f>
        <x:v>0</x:v>
      </x:c>
      <x:c r="I1000" s="50" t="n">
        <x:f>(I999*(1+Inputs!$B$12))+E1000</x:f>
        <x:v>1146578.2961818504</x:v>
      </x:c>
      <x:c r="J1000" s="50" t="n">
        <x:f>(J999*(1+Inputs!$B$12))+F1000+P1000</x:f>
        <x:v>1372231.3511089988</x:v>
      </x:c>
      <x:c r="K1000" s="50" t="n">
        <x:f>(K999*(1+Inputs!$B$12))*(1-H1000)</x:f>
        <x:v>0</x:v>
      </x:c>
      <x:c r="L1000" s="50" t="n">
        <x:f>L999*(1+Inputs!$B$13)+Q1000</x:f>
        <x:v>78281.07450995983</x:v>
      </x:c>
      <x:c r="M1000" s="50" t="n">
        <x:f>I1000+J1000+L1000</x:f>
        <x:v>2597090.721800809</x:v>
      </x:c>
      <x:c r="N1000" s="50" t="n">
        <x:f>F1000+P1000</x:f>
        <x:v>0</x:v>
      </x:c>
      <x:c r="O1000" s="50" t="n">
        <x:f>IF(B1000=1,0,O999+F999+P999)</x:f>
        <x:v>3257.142857142857</x:v>
      </x:c>
      <x:c r="P1000" s="50" t="n">
        <x:f>MIN(G1000,MAX(0,Inputs!$B$20-O1000-F1000))</x:f>
        <x:v>0</x:v>
      </x:c>
      <x:c r="Q1000" s="50" t="n">
        <x:f>(C1000-E1000-F1000)+(G1000-P1000)</x:f>
        <x:v>0</x:v>
      </x:c>
    </x:row>
    <x:row r="1001">
      <x:c r="A1001" s="41" t="n">
        <x:f>IF(B1001=1,A1000+1,A1000)</x:f>
        <x:v>2065</x:v>
      </x:c>
      <x:c r="B1001" s="41" t="n">
        <x:f>IF(B1000=26,1,B1000+1)</x:f>
        <x:v>12</x:v>
      </x:c>
      <x:c r="C1001" s="48" t="n">
        <x:f>Inputs!$F$41</x:f>
        <x:v>600</x:v>
      </x:c>
      <x:c r="D1001" s="50" t="n">
        <x:f>IF(B1001=1,0,D1000+E1000)</x:f>
        <x:v>6600</x:v>
      </x:c>
      <x:c r="E1001" s="50" t="n">
        <x:f>MIN(C1001,MAX(0,Inputs!$B$7-D1001))</x:f>
        <x:v>600</x:v>
      </x:c>
      <x:c r="F1001" s="50" t="n">
        <x:f>MIN(C1001-E1001,MAX(0,Inputs!$B$20-O1001))</x:f>
        <x:v>0</x:v>
      </x:c>
      <x:c r="G1001" s="50" t="n">
        <x:f>0</x:f>
        <x:v>0</x:v>
      </x:c>
      <x:c r="H1001" s="41" t="n">
        <x:f>0</x:f>
        <x:v>0</x:v>
      </x:c>
      <x:c r="I1001" s="50" t="n">
        <x:f>(I1000*(1+Inputs!$B$12))+E1001</x:f>
        <x:v>1149331.921748954</x:v>
      </x:c>
      <x:c r="J1001" s="50" t="n">
        <x:f>(J1000*(1+Inputs!$B$12))+F1001+P1001</x:f>
        <x:v>1374808.8222957207</x:v>
      </x:c>
      <x:c r="K1001" s="50" t="n">
        <x:f>(K1000*(1+Inputs!$B$12))*(1-H1001)</x:f>
        <x:v>0</x:v>
      </x:c>
      <x:c r="L1001" s="50" t="n">
        <x:f>L1000*(1+Inputs!$B$13)+Q1001</x:f>
        <x:v>78418.03933315884</x:v>
      </x:c>
      <x:c r="M1001" s="50" t="n">
        <x:f>I1001+J1001+L1001</x:f>
        <x:v>2602558.783377833</x:v>
      </x:c>
      <x:c r="N1001" s="50" t="n">
        <x:f>F1001+P1001</x:f>
        <x:v>0</x:v>
      </x:c>
      <x:c r="O1001" s="50" t="n">
        <x:f>IF(B1001=1,0,O1000+F1000+P1000)</x:f>
        <x:v>3257.142857142857</x:v>
      </x:c>
      <x:c r="P1001" s="50" t="n">
        <x:f>MIN(G1001,MAX(0,Inputs!$B$20-O1001-F1001))</x:f>
        <x:v>0</x:v>
      </x:c>
      <x:c r="Q1001" s="50" t="n">
        <x:f>(C1001-E1001-F1001)+(G1001-P1001)</x:f>
        <x:v>0</x:v>
      </x:c>
    </x:row>
    <x:row r="1002">
      <x:c r="A1002" s="41" t="n">
        <x:f>IF(B1002=1,A1001+1,A1001)</x:f>
        <x:v>2065</x:v>
      </x:c>
      <x:c r="B1002" s="41" t="n">
        <x:f>IF(B1001=26,1,B1001+1)</x:f>
        <x:v>13</x:v>
      </x:c>
      <x:c r="C1002" s="48" t="n">
        <x:f>Inputs!$F$41</x:f>
        <x:v>600</x:v>
      </x:c>
      <x:c r="D1002" s="50" t="n">
        <x:f>IF(B1002=1,0,D1001+E1001)</x:f>
        <x:v>7200</x:v>
      </x:c>
      <x:c r="E1002" s="50" t="n">
        <x:f>MIN(C1002,MAX(0,Inputs!$B$7-D1002))</x:f>
        <x:v>600</x:v>
      </x:c>
      <x:c r="F1002" s="50" t="n">
        <x:f>MIN(C1002-E1002,MAX(0,Inputs!$B$20-O1002))</x:f>
        <x:v>0</x:v>
      </x:c>
      <x:c r="G1002" s="50" t="n">
        <x:f>0</x:f>
        <x:v>0</x:v>
      </x:c>
      <x:c r="H1002" s="41" t="n">
        <x:f>0</x:f>
        <x:v>0</x:v>
      </x:c>
      <x:c r="I1002" s="50" t="n">
        <x:f>(I1001*(1+Inputs!$B$12))+E1002</x:f>
        <x:v>1152090.7194691007</x:v>
      </x:c>
      <x:c r="J1002" s="50" t="n">
        <x:f>(J1001*(1+Inputs!$B$12))+F1002+P1002</x:f>
        <x:v>1377391.1347635526</x:v>
      </x:c>
      <x:c r="K1002" s="50" t="n">
        <x:f>(K1001*(1+Inputs!$B$12))*(1-H1002)</x:f>
        <x:v>0</x:v>
      </x:c>
      <x:c r="L1002" s="50" t="n">
        <x:f>L1001*(1+Inputs!$B$13)+Q1002</x:f>
        <x:v>78555.24379745772</x:v>
      </x:c>
      <x:c r="M1002" s="50" t="n">
        <x:f>I1002+J1002+L1002</x:f>
        <x:v>2608037.098030111</x:v>
      </x:c>
      <x:c r="N1002" s="50" t="n">
        <x:f>F1002+P1002</x:f>
        <x:v>0</x:v>
      </x:c>
      <x:c r="O1002" s="50" t="n">
        <x:f>IF(B1002=1,0,O1001+F1001+P1001)</x:f>
        <x:v>3257.142857142857</x:v>
      </x:c>
      <x:c r="P1002" s="50" t="n">
        <x:f>MIN(G1002,MAX(0,Inputs!$B$20-O1002-F1002))</x:f>
        <x:v>0</x:v>
      </x:c>
      <x:c r="Q1002" s="50" t="n">
        <x:f>(C1002-E1002-F1002)+(G1002-P1002)</x:f>
        <x:v>0</x:v>
      </x:c>
    </x:row>
    <x:row r="1003">
      <x:c r="A1003" s="41" t="n">
        <x:f>IF(B1003=1,A1002+1,A1002)</x:f>
        <x:v>2065</x:v>
      </x:c>
      <x:c r="B1003" s="41" t="n">
        <x:f>IF(B1002=26,1,B1002+1)</x:f>
        <x:v>14</x:v>
      </x:c>
      <x:c r="C1003" s="48" t="n">
        <x:f>Inputs!$F$41</x:f>
        <x:v>600</x:v>
      </x:c>
      <x:c r="D1003" s="50" t="n">
        <x:f>IF(B1003=1,0,D1002+E1002)</x:f>
        <x:v>7800</x:v>
      </x:c>
      <x:c r="E1003" s="50" t="n">
        <x:f>MIN(C1003,MAX(0,Inputs!$B$7-D1003))</x:f>
        <x:v>200</x:v>
      </x:c>
      <x:c r="F1003" s="50" t="n">
        <x:f>MIN(C1003-E1003,MAX(0,Inputs!$B$20-O1003))</x:f>
        <x:v>400</x:v>
      </x:c>
      <x:c r="G1003" s="50" t="n">
        <x:f>0</x:f>
        <x:v>0</x:v>
      </x:c>
      <x:c r="H1003" s="41" t="n">
        <x:f>0</x:f>
        <x:v>0</x:v>
      </x:c>
      <x:c r="I1003" s="50" t="n">
        <x:f>(I1002*(1+Inputs!$B$12))+E1003</x:f>
        <x:v>1154454.6990571793</x:v>
      </x:c>
      <x:c r="J1003" s="50" t="n">
        <x:f>(J1002*(1+Inputs!$B$12))+F1003+P1003</x:f>
        <x:v>1380378.2976059043</x:v>
      </x:c>
      <x:c r="K1003" s="50" t="n">
        <x:f>(K1002*(1+Inputs!$B$12))*(1-H1003)</x:f>
        <x:v>0</x:v>
      </x:c>
      <x:c r="L1003" s="50" t="n">
        <x:f>L1002*(1+Inputs!$B$13)+Q1003</x:f>
        <x:v>78692.68832214555</x:v>
      </x:c>
      <x:c r="M1003" s="50" t="n">
        <x:f>I1003+J1003+L1003</x:f>
        <x:v>2613525.684985229</x:v>
      </x:c>
      <x:c r="N1003" s="50" t="n">
        <x:f>F1003+P1003</x:f>
        <x:v>400</x:v>
      </x:c>
      <x:c r="O1003" s="50" t="n">
        <x:f>IF(B1003=1,0,O1002+F1002+P1002)</x:f>
        <x:v>3257.142857142857</x:v>
      </x:c>
      <x:c r="P1003" s="50" t="n">
        <x:f>MIN(G1003,MAX(0,Inputs!$B$20-O1003-F1003))</x:f>
        <x:v>0</x:v>
      </x:c>
      <x:c r="Q1003" s="50" t="n">
        <x:f>(C1003-E1003-F1003)+(G1003-P1003)</x:f>
        <x:v>0</x:v>
      </x:c>
    </x:row>
    <x:row r="1004">
      <x:c r="A1004" s="41" t="n">
        <x:f>IF(B1004=1,A1003+1,A1003)</x:f>
        <x:v>2065</x:v>
      </x:c>
      <x:c r="B1004" s="41" t="n">
        <x:f>IF(B1003=26,1,B1003+1)</x:f>
        <x:v>15</x:v>
      </x:c>
      <x:c r="C1004" s="48" t="n">
        <x:f>Inputs!$F$41</x:f>
        <x:v>600</x:v>
      </x:c>
      <x:c r="D1004" s="50" t="n">
        <x:f>IF(B1004=1,0,D1003+E1003)</x:f>
        <x:v>8000</x:v>
      </x:c>
      <x:c r="E1004" s="50" t="n">
        <x:f>MIN(C1004,MAX(0,Inputs!$B$7-D1004))</x:f>
        <x:v>0</x:v>
      </x:c>
      <x:c r="F1004" s="50" t="n">
        <x:f>MIN(C1004-E1004,MAX(0,Inputs!$B$20-O1004))</x:f>
        <x:v>600</x:v>
      </x:c>
      <x:c r="G1004" s="50" t="n">
        <x:f>0</x:f>
        <x:v>0</x:v>
      </x:c>
      <x:c r="H1004" s="41" t="n">
        <x:f>0</x:f>
        <x:v>0</x:v>
      </x:c>
      <x:c r="I1004" s="50" t="n">
        <x:f>(I1003*(1+Inputs!$B$12))+E1004</x:f>
        <x:v>1156623.1189236916</x:v>
      </x:c>
      <x:c r="J1004" s="50" t="n">
        <x:f>(J1003*(1+Inputs!$B$12))+F1004+P1004</x:f>
        <x:v>1383571.0712559016</x:v>
      </x:c>
      <x:c r="K1004" s="50" t="n">
        <x:f>(K1003*(1+Inputs!$B$12))*(1-H1004)</x:f>
        <x:v>0</x:v>
      </x:c>
      <x:c r="L1004" s="50" t="n">
        <x:f>L1003*(1+Inputs!$B$13)+Q1004</x:f>
        <x:v>78830.37332724505</x:v>
      </x:c>
      <x:c r="M1004" s="50" t="n">
        <x:f>I1004+J1004+L1004</x:f>
        <x:v>2619024.563506838</x:v>
      </x:c>
      <x:c r="N1004" s="50" t="n">
        <x:f>F1004+P1004</x:f>
        <x:v>600</x:v>
      </x:c>
      <x:c r="O1004" s="50" t="n">
        <x:f>IF(B1004=1,0,O1003+F1003+P1003)</x:f>
        <x:v>3657.142857142857</x:v>
      </x:c>
      <x:c r="P1004" s="50" t="n">
        <x:f>MIN(G1004,MAX(0,Inputs!$B$20-O1004-F1004))</x:f>
        <x:v>0</x:v>
      </x:c>
      <x:c r="Q1004" s="50" t="n">
        <x:f>(C1004-E1004-F1004)+(G1004-P1004)</x:f>
        <x:v>0</x:v>
      </x:c>
    </x:row>
    <x:row r="1005">
      <x:c r="A1005" s="41" t="n">
        <x:f>IF(B1005=1,A1004+1,A1004)</x:f>
        <x:v>2065</x:v>
      </x:c>
      <x:c r="B1005" s="41" t="n">
        <x:f>IF(B1004=26,1,B1004+1)</x:f>
        <x:v>16</x:v>
      </x:c>
      <x:c r="C1005" s="48" t="n">
        <x:f>Inputs!$F$41</x:f>
        <x:v>600</x:v>
      </x:c>
      <x:c r="D1005" s="50" t="n">
        <x:f>IF(B1005=1,0,D1004+E1004)</x:f>
        <x:v>8000</x:v>
      </x:c>
      <x:c r="E1005" s="50" t="n">
        <x:f>MIN(C1005,MAX(0,Inputs!$B$7-D1005))</x:f>
        <x:v>0</x:v>
      </x:c>
      <x:c r="F1005" s="50" t="n">
        <x:f>MIN(C1005-E1005,MAX(0,Inputs!$B$20-O1005))</x:f>
        <x:v>600</x:v>
      </x:c>
      <x:c r="G1005" s="50" t="n">
        <x:f>0</x:f>
        <x:v>0</x:v>
      </x:c>
      <x:c r="H1005" s="41" t="n">
        <x:f>0</x:f>
        <x:v>0</x:v>
      </x:c>
      <x:c r="I1005" s="50" t="n">
        <x:f>(I1004*(1+Inputs!$B$12))+E1005</x:f>
        <x:v>1158795.6117475242</x:v>
      </x:c>
      <x:c r="J1005" s="50" t="n">
        <x:f>(J1004*(1+Inputs!$B$12))+F1005+P1005</x:f>
        <x:v>1386769.841913679</x:v>
      </x:c>
      <x:c r="K1005" s="50" t="n">
        <x:f>(K1004*(1+Inputs!$B$12))*(1-H1005)</x:f>
        <x:v>0</x:v>
      </x:c>
      <x:c r="L1005" s="50" t="n">
        <x:f>L1004*(1+Inputs!$B$13)+Q1005</x:f>
        <x:v>78968.29923351381</x:v>
      </x:c>
      <x:c r="M1005" s="50" t="n">
        <x:f>I1005+J1005+L1005</x:f>
        <x:v>2624533.7528947173</x:v>
      </x:c>
      <x:c r="N1005" s="50" t="n">
        <x:f>F1005+P1005</x:f>
        <x:v>600</x:v>
      </x:c>
      <x:c r="O1005" s="50" t="n">
        <x:f>IF(B1005=1,0,O1004+F1004+P1004)</x:f>
        <x:v>4257.142857142857</x:v>
      </x:c>
      <x:c r="P1005" s="50" t="n">
        <x:f>MIN(G1005,MAX(0,Inputs!$B$20-O1005-F1005))</x:f>
        <x:v>0</x:v>
      </x:c>
      <x:c r="Q1005" s="50" t="n">
        <x:f>(C1005-E1005-F1005)+(G1005-P1005)</x:f>
        <x:v>0</x:v>
      </x:c>
    </x:row>
    <x:row r="1006">
      <x:c r="A1006" s="41" t="n">
        <x:f>IF(B1006=1,A1005+1,A1005)</x:f>
        <x:v>2065</x:v>
      </x:c>
      <x:c r="B1006" s="41" t="n">
        <x:f>IF(B1005=26,1,B1005+1)</x:f>
        <x:v>17</x:v>
      </x:c>
      <x:c r="C1006" s="48" t="n">
        <x:f>Inputs!$F$41</x:f>
        <x:v>600</x:v>
      </x:c>
      <x:c r="D1006" s="50" t="n">
        <x:f>IF(B1006=1,0,D1005+E1005)</x:f>
        <x:v>8000</x:v>
      </x:c>
      <x:c r="E1006" s="50" t="n">
        <x:f>MIN(C1006,MAX(0,Inputs!$B$7-D1006))</x:f>
        <x:v>0</x:v>
      </x:c>
      <x:c r="F1006" s="50" t="n">
        <x:f>MIN(C1006-E1006,MAX(0,Inputs!$B$20-O1006))</x:f>
        <x:v>600</x:v>
      </x:c>
      <x:c r="G1006" s="50" t="n">
        <x:f>0</x:f>
        <x:v>0</x:v>
      </x:c>
      <x:c r="H1006" s="41" t="n">
        <x:f>0</x:f>
        <x:v>0</x:v>
      </x:c>
      <x:c r="I1006" s="50" t="n">
        <x:f>(I1005*(1+Inputs!$B$12))+E1006</x:f>
        <x:v>1160972.1851789397</x:v>
      </x:c>
      <x:c r="J1006" s="50" t="n">
        <x:f>(J1005*(1+Inputs!$B$12))+F1006+P1006</x:f>
        <x:v>1389974.6208434554</x:v>
      </x:c>
      <x:c r="K1006" s="50" t="n">
        <x:f>(K1005*(1+Inputs!$B$12))*(1-H1006)</x:f>
        <x:v>0</x:v>
      </x:c>
      <x:c r="L1006" s="50" t="n">
        <x:f>L1005*(1+Inputs!$B$13)+Q1006</x:f>
        <x:v>79106.4664624456</x:v>
      </x:c>
      <x:c r="M1006" s="50" t="n">
        <x:f>I1006+J1006+L1006</x:f>
        <x:v>2630053.272484841</x:v>
      </x:c>
      <x:c r="N1006" s="50" t="n">
        <x:f>F1006+P1006</x:f>
        <x:v>600</x:v>
      </x:c>
      <x:c r="O1006" s="50" t="n">
        <x:f>IF(B1006=1,0,O1005+F1005+P1005)</x:f>
        <x:v>4857.142857142857</x:v>
      </x:c>
      <x:c r="P1006" s="50" t="n">
        <x:f>MIN(G1006,MAX(0,Inputs!$B$20-O1006-F1006))</x:f>
        <x:v>0</x:v>
      </x:c>
      <x:c r="Q1006" s="50" t="n">
        <x:f>(C1006-E1006-F1006)+(G1006-P1006)</x:f>
        <x:v>0</x:v>
      </x:c>
    </x:row>
    <x:row r="1007">
      <x:c r="A1007" s="41" t="n">
        <x:f>IF(B1007=1,A1006+1,A1006)</x:f>
        <x:v>2065</x:v>
      </x:c>
      <x:c r="B1007" s="41" t="n">
        <x:f>IF(B1006=26,1,B1006+1)</x:f>
        <x:v>18</x:v>
      </x:c>
      <x:c r="C1007" s="48" t="n">
        <x:f>Inputs!$F$41</x:f>
        <x:v>600</x:v>
      </x:c>
      <x:c r="D1007" s="50" t="n">
        <x:f>IF(B1007=1,0,D1006+E1006)</x:f>
        <x:v>8000</x:v>
      </x:c>
      <x:c r="E1007" s="50" t="n">
        <x:f>MIN(C1007,MAX(0,Inputs!$B$7-D1007))</x:f>
        <x:v>0</x:v>
      </x:c>
      <x:c r="F1007" s="50" t="n">
        <x:f>MIN(C1007-E1007,MAX(0,Inputs!$B$20-O1007))</x:f>
        <x:v>600</x:v>
      </x:c>
      <x:c r="G1007" s="50" t="n">
        <x:f>0</x:f>
        <x:v>0</x:v>
      </x:c>
      <x:c r="H1007" s="41" t="n">
        <x:f>0</x:f>
        <x:v>0</x:v>
      </x:c>
      <x:c r="I1007" s="50" t="n">
        <x:f>(I1006*(1+Inputs!$B$12))+E1007</x:f>
        <x:v>1163152.84688257</x:v>
      </x:c>
      <x:c r="J1007" s="50" t="n">
        <x:f>(J1006*(1+Inputs!$B$12))+F1007+P1007</x:f>
        <x:v>1393185.419330608</x:v>
      </x:c>
      <x:c r="K1007" s="50" t="n">
        <x:f>(K1006*(1+Inputs!$B$12))*(1-H1007)</x:f>
        <x:v>0</x:v>
      </x:c>
      <x:c r="L1007" s="50" t="n">
        <x:f>L1006*(1+Inputs!$B$13)+Q1007</x:f>
        <x:v>79244.8754362717</x:v>
      </x:c>
      <x:c r="M1007" s="50" t="n">
        <x:f>I1007+J1007+L1007</x:f>
        <x:v>2635583.1416494497</x:v>
      </x:c>
      <x:c r="N1007" s="50" t="n">
        <x:f>F1007+P1007</x:f>
        <x:v>600</x:v>
      </x:c>
      <x:c r="O1007" s="50" t="n">
        <x:f>IF(B1007=1,0,O1006+F1006+P1006)</x:f>
        <x:v>5457.142857142857</x:v>
      </x:c>
      <x:c r="P1007" s="50" t="n">
        <x:f>MIN(G1007,MAX(0,Inputs!$B$20-O1007-F1007))</x:f>
        <x:v>0</x:v>
      </x:c>
      <x:c r="Q1007" s="50" t="n">
        <x:f>(C1007-E1007-F1007)+(G1007-P1007)</x:f>
        <x:v>0</x:v>
      </x:c>
    </x:row>
    <x:row r="1008">
      <x:c r="A1008" s="41" t="n">
        <x:f>IF(B1008=1,A1007+1,A1007)</x:f>
        <x:v>2065</x:v>
      </x:c>
      <x:c r="B1008" s="41" t="n">
        <x:f>IF(B1007=26,1,B1007+1)</x:f>
        <x:v>19</x:v>
      </x:c>
      <x:c r="C1008" s="48" t="n">
        <x:f>Inputs!$F$41</x:f>
        <x:v>600</x:v>
      </x:c>
      <x:c r="D1008" s="50" t="n">
        <x:f>IF(B1008=1,0,D1007+E1007)</x:f>
        <x:v>8000</x:v>
      </x:c>
      <x:c r="E1008" s="50" t="n">
        <x:f>MIN(C1008,MAX(0,Inputs!$B$7-D1008))</x:f>
        <x:v>0</x:v>
      </x:c>
      <x:c r="F1008" s="50" t="n">
        <x:f>MIN(C1008-E1008,MAX(0,Inputs!$B$20-O1008))</x:f>
        <x:v>600</x:v>
      </x:c>
      <x:c r="G1008" s="50" t="n">
        <x:f>0</x:f>
        <x:v>0</x:v>
      </x:c>
      <x:c r="H1008" s="41" t="n">
        <x:f>0</x:f>
        <x:v>0</x:v>
      </x:c>
      <x:c r="I1008" s="50" t="n">
        <x:f>(I1007*(1+Inputs!$B$12))+E1008</x:f>
        <x:v>1165337.6045374442</x:v>
      </x:c>
      <x:c r="J1008" s="50" t="n">
        <x:f>(J1007*(1+Inputs!$B$12))+F1008+P1008</x:f>
        <x:v>1396402.2486817113</x:v>
      </x:c>
      <x:c r="K1008" s="50" t="n">
        <x:f>(K1007*(1+Inputs!$B$12))*(1-H1008)</x:f>
        <x:v>0</x:v>
      </x:c>
      <x:c r="L1008" s="50" t="n">
        <x:f>L1007*(1+Inputs!$B$13)+Q1008</x:f>
        <x:v>79383.5265779621</x:v>
      </x:c>
      <x:c r="M1008" s="50" t="n">
        <x:f>I1008+J1008+L1008</x:f>
        <x:v>2641123.3797971173</x:v>
      </x:c>
      <x:c r="N1008" s="50" t="n">
        <x:f>F1008+P1008</x:f>
        <x:v>600</x:v>
      </x:c>
      <x:c r="O1008" s="50" t="n">
        <x:f>IF(B1008=1,0,O1007+F1007+P1007)</x:f>
        <x:v>6057.142857142857</x:v>
      </x:c>
      <x:c r="P1008" s="50" t="n">
        <x:f>MIN(G1008,MAX(0,Inputs!$B$20-O1008-F1008))</x:f>
        <x:v>0</x:v>
      </x:c>
      <x:c r="Q1008" s="50" t="n">
        <x:f>(C1008-E1008-F1008)+(G1008-P1008)</x:f>
        <x:v>0</x:v>
      </x:c>
    </x:row>
    <x:row r="1009">
      <x:c r="A1009" s="41" t="n">
        <x:f>IF(B1009=1,A1008+1,A1008)</x:f>
        <x:v>2065</x:v>
      </x:c>
      <x:c r="B1009" s="41" t="n">
        <x:f>IF(B1008=26,1,B1008+1)</x:f>
        <x:v>20</x:v>
      </x:c>
      <x:c r="C1009" s="48" t="n">
        <x:f>Inputs!$F$41</x:f>
        <x:v>600</x:v>
      </x:c>
      <x:c r="D1009" s="50" t="n">
        <x:f>IF(B1009=1,0,D1008+E1008)</x:f>
        <x:v>8000</x:v>
      </x:c>
      <x:c r="E1009" s="50" t="n">
        <x:f>MIN(C1009,MAX(0,Inputs!$B$7-D1009))</x:f>
        <x:v>0</x:v>
      </x:c>
      <x:c r="F1009" s="50" t="n">
        <x:f>MIN(C1009-E1009,MAX(0,Inputs!$B$20-O1009))</x:f>
        <x:v>600</x:v>
      </x:c>
      <x:c r="G1009" s="50" t="n">
        <x:f>0</x:f>
        <x:v>0</x:v>
      </x:c>
      <x:c r="H1009" s="41" t="n">
        <x:f>0</x:f>
        <x:v>0</x:v>
      </x:c>
      <x:c r="I1009" s="50" t="n">
        <x:f>(I1008*(1+Inputs!$B$12))+E1009</x:f>
        <x:v>1167526.4658370141</x:v>
      </x:c>
      <x:c r="J1009" s="50" t="n">
        <x:f>(J1008*(1+Inputs!$B$12))+F1009+P1009</x:f>
        <x:v>1399625.1202245762</x:v>
      </x:c>
      <x:c r="K1009" s="50" t="n">
        <x:f>(K1008*(1+Inputs!$B$12))*(1-H1009)</x:f>
        <x:v>0</x:v>
      </x:c>
      <x:c r="L1009" s="50" t="n">
        <x:f>L1008*(1+Inputs!$B$13)+Q1009</x:f>
        <x:v>79522.42031122684</x:v>
      </x:c>
      <x:c r="M1009" s="50" t="n">
        <x:f>I1009+J1009+L1009</x:f>
        <x:v>2646674.0063728173</x:v>
      </x:c>
      <x:c r="N1009" s="50" t="n">
        <x:f>F1009+P1009</x:f>
        <x:v>600</x:v>
      </x:c>
      <x:c r="O1009" s="50" t="n">
        <x:f>IF(B1009=1,0,O1008+F1008+P1008)</x:f>
        <x:v>6657.142857142857</x:v>
      </x:c>
      <x:c r="P1009" s="50" t="n">
        <x:f>MIN(G1009,MAX(0,Inputs!$B$20-O1009-F1009))</x:f>
        <x:v>0</x:v>
      </x:c>
      <x:c r="Q1009" s="50" t="n">
        <x:f>(C1009-E1009-F1009)+(G1009-P1009)</x:f>
        <x:v>0</x:v>
      </x:c>
    </x:row>
    <x:row r="1010">
      <x:c r="A1010" s="41" t="n">
        <x:f>IF(B1010=1,A1009+1,A1009)</x:f>
        <x:v>2065</x:v>
      </x:c>
      <x:c r="B1010" s="41" t="n">
        <x:f>IF(B1009=26,1,B1009+1)</x:f>
        <x:v>21</x:v>
      </x:c>
      <x:c r="C1010" s="48" t="n">
        <x:f>Inputs!$F$41</x:f>
        <x:v>600</x:v>
      </x:c>
      <x:c r="D1010" s="50" t="n">
        <x:f>IF(B1010=1,0,D1009+E1009)</x:f>
        <x:v>8000</x:v>
      </x:c>
      <x:c r="E1010" s="50" t="n">
        <x:f>MIN(C1010,MAX(0,Inputs!$B$7-D1010))</x:f>
        <x:v>0</x:v>
      </x:c>
      <x:c r="F1010" s="50" t="n">
        <x:f>MIN(C1010-E1010,MAX(0,Inputs!$B$20-O1010))</x:f>
        <x:v>600</x:v>
      </x:c>
      <x:c r="G1010" s="50" t="n">
        <x:f>0</x:f>
        <x:v>0</x:v>
      </x:c>
      <x:c r="H1010" s="41" t="n">
        <x:f>0</x:f>
        <x:v>0</x:v>
      </x:c>
      <x:c r="I1010" s="50" t="n">
        <x:f>(I1009*(1+Inputs!$B$12))+E1010</x:f>
        <x:v>1169719.4384891826</x:v>
      </x:c>
      <x:c r="J1010" s="50" t="n">
        <x:f>(J1009*(1+Inputs!$B$12))+F1010+P1010</x:f>
        <x:v>1402854.0453082917</x:v>
      </x:c>
      <x:c r="K1010" s="50" t="n">
        <x:f>(K1009*(1+Inputs!$B$12))*(1-H1010)</x:f>
        <x:v>0</x:v>
      </x:c>
      <x:c r="L1010" s="50" t="n">
        <x:f>L1009*(1+Inputs!$B$13)+Q1010</x:f>
        <x:v>79661.55706051737</x:v>
      </x:c>
      <x:c r="M1010" s="50" t="n">
        <x:f>I1010+J1010+L1010</x:f>
        <x:v>2652235.0408579917</x:v>
      </x:c>
      <x:c r="N1010" s="50" t="n">
        <x:f>F1010+P1010</x:f>
        <x:v>600</x:v>
      </x:c>
      <x:c r="O1010" s="50" t="n">
        <x:f>IF(B1010=1,0,O1009+F1009+P1009)</x:f>
        <x:v>7257.142857142857</x:v>
      </x:c>
      <x:c r="P1010" s="50" t="n">
        <x:f>MIN(G1010,MAX(0,Inputs!$B$20-O1010-F1010))</x:f>
        <x:v>0</x:v>
      </x:c>
      <x:c r="Q1010" s="50" t="n">
        <x:f>(C1010-E1010-F1010)+(G1010-P1010)</x:f>
        <x:v>0</x:v>
      </x:c>
    </x:row>
    <x:row r="1011">
      <x:c r="A1011" s="41" t="n">
        <x:f>IF(B1011=1,A1010+1,A1010)</x:f>
        <x:v>2065</x:v>
      </x:c>
      <x:c r="B1011" s="41" t="n">
        <x:f>IF(B1010=26,1,B1010+1)</x:f>
        <x:v>22</x:v>
      </x:c>
      <x:c r="C1011" s="48" t="n">
        <x:f>Inputs!$F$41</x:f>
        <x:v>600</x:v>
      </x:c>
      <x:c r="D1011" s="50" t="n">
        <x:f>IF(B1011=1,0,D1010+E1010)</x:f>
        <x:v>8000</x:v>
      </x:c>
      <x:c r="E1011" s="50" t="n">
        <x:f>MIN(C1011,MAX(0,Inputs!$B$7-D1011))</x:f>
        <x:v>0</x:v>
      </x:c>
      <x:c r="F1011" s="50" t="n">
        <x:f>MIN(C1011-E1011,MAX(0,Inputs!$B$20-O1011))</x:f>
        <x:v>600</x:v>
      </x:c>
      <x:c r="G1011" s="50" t="n">
        <x:f>0</x:f>
        <x:v>0</x:v>
      </x:c>
      <x:c r="H1011" s="41" t="n">
        <x:f>0</x:f>
        <x:v>0</x:v>
      </x:c>
      <x:c r="I1011" s="50" t="n">
        <x:f>(I1010*(1+Inputs!$B$12))+E1011</x:f>
        <x:v>1171916.5302163304</x:v>
      </x:c>
      <x:c r="J1011" s="50" t="n">
        <x:f>(J1010*(1+Inputs!$B$12))+F1011+P1011</x:f>
        <x:v>1406089.0353032632</x:v>
      </x:c>
      <x:c r="K1011" s="50" t="n">
        <x:f>(K1010*(1+Inputs!$B$12))*(1-H1011)</x:f>
        <x:v>0</x:v>
      </x:c>
      <x:c r="L1011" s="50" t="n">
        <x:f>L1010*(1+Inputs!$B$13)+Q1011</x:f>
        <x:v>79800.9372510277</x:v>
      </x:c>
      <x:c r="M1011" s="50" t="n">
        <x:f>I1011+J1011+L1011</x:f>
        <x:v>2657806.5027706213</x:v>
      </x:c>
      <x:c r="N1011" s="50" t="n">
        <x:f>F1011+P1011</x:f>
        <x:v>600</x:v>
      </x:c>
      <x:c r="O1011" s="50" t="n">
        <x:f>IF(B1011=1,0,O1010+F1010+P1010)</x:f>
        <x:v>7857.142857142857</x:v>
      </x:c>
      <x:c r="P1011" s="50" t="n">
        <x:f>MIN(G1011,MAX(0,Inputs!$B$20-O1011-F1011))</x:f>
        <x:v>0</x:v>
      </x:c>
      <x:c r="Q1011" s="50" t="n">
        <x:f>(C1011-E1011-F1011)+(G1011-P1011)</x:f>
        <x:v>0</x:v>
      </x:c>
    </x:row>
    <x:row r="1012">
      <x:c r="A1012" s="41" t="n">
        <x:f>IF(B1012=1,A1011+1,A1011)</x:f>
        <x:v>2065</x:v>
      </x:c>
      <x:c r="B1012" s="41" t="n">
        <x:f>IF(B1011=26,1,B1011+1)</x:f>
        <x:v>23</x:v>
      </x:c>
      <x:c r="C1012" s="48" t="n">
        <x:f>Inputs!$F$41</x:f>
        <x:v>600</x:v>
      </x:c>
      <x:c r="D1012" s="50" t="n">
        <x:f>IF(B1012=1,0,D1011+E1011)</x:f>
        <x:v>8000</x:v>
      </x:c>
      <x:c r="E1012" s="50" t="n">
        <x:f>MIN(C1012,MAX(0,Inputs!$B$7-D1012))</x:f>
        <x:v>0</x:v>
      </x:c>
      <x:c r="F1012" s="50" t="n">
        <x:f>MIN(C1012-E1012,MAX(0,Inputs!$B$20-O1012))</x:f>
        <x:v>600</x:v>
      </x:c>
      <x:c r="G1012" s="50" t="n">
        <x:f>0</x:f>
        <x:v>0</x:v>
      </x:c>
      <x:c r="H1012" s="41" t="n">
        <x:f>0</x:f>
        <x:v>0</x:v>
      </x:c>
      <x:c r="I1012" s="50" t="n">
        <x:f>(I1011*(1+Inputs!$B$12))+E1012</x:f>
        <x:v>1174117.7487553433</x:v>
      </x:c>
      <x:c r="J1012" s="50" t="n">
        <x:f>(J1011*(1+Inputs!$B$12))+F1012+P1012</x:f>
        <x:v>1409330.1016012537</x:v>
      </x:c>
      <x:c r="K1012" s="50" t="n">
        <x:f>(K1011*(1+Inputs!$B$12))*(1-H1012)</x:f>
        <x:v>0</x:v>
      </x:c>
      <x:c r="L1012" s="50" t="n">
        <x:f>L1011*(1+Inputs!$B$13)+Q1012</x:f>
        <x:v>79940.56130869585</x:v>
      </x:c>
      <x:c r="M1012" s="50" t="n">
        <x:f>I1012+J1012+L1012</x:f>
        <x:v>2663388.411665293</x:v>
      </x:c>
      <x:c r="N1012" s="50" t="n">
        <x:f>F1012+P1012</x:f>
        <x:v>600</x:v>
      </x:c>
      <x:c r="O1012" s="50" t="n">
        <x:f>IF(B1012=1,0,O1011+F1011+P1011)</x:f>
        <x:v>8457.142857142857</x:v>
      </x:c>
      <x:c r="P1012" s="50" t="n">
        <x:f>MIN(G1012,MAX(0,Inputs!$B$20-O1012-F1012))</x:f>
        <x:v>0</x:v>
      </x:c>
      <x:c r="Q1012" s="50" t="n">
        <x:f>(C1012-E1012-F1012)+(G1012-P1012)</x:f>
        <x:v>0</x:v>
      </x:c>
    </x:row>
    <x:row r="1013">
      <x:c r="A1013" s="41" t="n">
        <x:f>IF(B1013=1,A1012+1,A1012)</x:f>
        <x:v>2065</x:v>
      </x:c>
      <x:c r="B1013" s="41" t="n">
        <x:f>IF(B1012=26,1,B1012+1)</x:f>
        <x:v>24</x:v>
      </x:c>
      <x:c r="C1013" s="48" t="n">
        <x:f>Inputs!$F$41</x:f>
        <x:v>600</x:v>
      </x:c>
      <x:c r="D1013" s="50" t="n">
        <x:f>IF(B1013=1,0,D1012+E1012)</x:f>
        <x:v>8000</x:v>
      </x:c>
      <x:c r="E1013" s="50" t="n">
        <x:f>MIN(C1013,MAX(0,Inputs!$B$7-D1013))</x:f>
        <x:v>0</x:v>
      </x:c>
      <x:c r="F1013" s="50" t="n">
        <x:f>MIN(C1013-E1013,MAX(0,Inputs!$B$20-O1013))</x:f>
        <x:v>600</x:v>
      </x:c>
      <x:c r="G1013" s="50" t="n">
        <x:f>0</x:f>
        <x:v>0</x:v>
      </x:c>
      <x:c r="H1013" s="41" t="n">
        <x:f>0</x:f>
        <x:v>0</x:v>
      </x:c>
      <x:c r="I1013" s="50" t="n">
        <x:f>(I1012*(1+Inputs!$B$12))+E1013</x:f>
        <x:v>1176323.1018576392</x:v>
      </x:c>
      <x:c r="J1013" s="50" t="n">
        <x:f>(J1012*(1+Inputs!$B$12))+F1013+P1013</x:f>
        <x:v>1412577.2556154232</x:v>
      </x:c>
      <x:c r="K1013" s="50" t="n">
        <x:f>(K1012*(1+Inputs!$B$12))*(1-H1013)</x:f>
        <x:v>0</x:v>
      </x:c>
      <x:c r="L1013" s="50" t="n">
        <x:f>L1012*(1+Inputs!$B$13)+Q1013</x:f>
        <x:v>80080.42966020503</x:v>
      </x:c>
      <x:c r="M1013" s="50" t="n">
        <x:f>I1013+J1013+L1013</x:f>
        <x:v>2668980.787133267</x:v>
      </x:c>
      <x:c r="N1013" s="50" t="n">
        <x:f>F1013+P1013</x:f>
        <x:v>600</x:v>
      </x:c>
      <x:c r="O1013" s="50" t="n">
        <x:f>IF(B1013=1,0,O1012+F1012+P1012)</x:f>
        <x:v>9057.142857142857</x:v>
      </x:c>
      <x:c r="P1013" s="50" t="n">
        <x:f>MIN(G1013,MAX(0,Inputs!$B$20-O1013-F1013))</x:f>
        <x:v>0</x:v>
      </x:c>
      <x:c r="Q1013" s="50" t="n">
        <x:f>(C1013-E1013-F1013)+(G1013-P1013)</x:f>
        <x:v>0</x:v>
      </x:c>
    </x:row>
    <x:row r="1014">
      <x:c r="A1014" s="41" t="n">
        <x:f>IF(B1014=1,A1013+1,A1013)</x:f>
        <x:v>2065</x:v>
      </x:c>
      <x:c r="B1014" s="41" t="n">
        <x:f>IF(B1013=26,1,B1013+1)</x:f>
        <x:v>25</x:v>
      </x:c>
      <x:c r="C1014" s="48" t="n">
        <x:f>Inputs!$F$41</x:f>
        <x:v>600</x:v>
      </x:c>
      <x:c r="D1014" s="50" t="n">
        <x:f>IF(B1014=1,0,D1013+E1013)</x:f>
        <x:v>8000</x:v>
      </x:c>
      <x:c r="E1014" s="50" t="n">
        <x:f>MIN(C1014,MAX(0,Inputs!$B$7-D1014))</x:f>
        <x:v>0</x:v>
      </x:c>
      <x:c r="F1014" s="50" t="n">
        <x:f>MIN(C1014-E1014,MAX(0,Inputs!$B$20-O1014))</x:f>
        <x:v>600</x:v>
      </x:c>
      <x:c r="G1014" s="50" t="n">
        <x:f>0</x:f>
        <x:v>0</x:v>
      </x:c>
      <x:c r="H1014" s="41" t="n">
        <x:f>0</x:f>
        <x:v>0</x:v>
      </x:c>
      <x:c r="I1014" s="50" t="n">
        <x:f>(I1013*(1+Inputs!$B$12))+E1014</x:f>
        <x:v>1178532.5972891953</x:v>
      </x:c>
      <x:c r="J1014" s="50" t="n">
        <x:f>(J1013*(1+Inputs!$B$12))+F1014+P1014</x:f>
        <x:v>1415830.5087803688</x:v>
      </x:c>
      <x:c r="K1014" s="50" t="n">
        <x:f>(K1013*(1+Inputs!$B$12))*(1-H1014)</x:f>
        <x:v>0</x:v>
      </x:c>
      <x:c r="L1014" s="50" t="n">
        <x:f>L1013*(1+Inputs!$B$13)+Q1014</x:f>
        <x:v>80220.54273298504</x:v>
      </x:c>
      <x:c r="M1014" s="50" t="n">
        <x:f>I1014+J1014+L1014</x:f>
        <x:v>2674583.648802549</x:v>
      </x:c>
      <x:c r="N1014" s="50" t="n">
        <x:f>F1014+P1014</x:f>
        <x:v>600</x:v>
      </x:c>
      <x:c r="O1014" s="50" t="n">
        <x:f>IF(B1014=1,0,O1013+F1013+P1013)</x:f>
        <x:v>9657.142857142857</x:v>
      </x:c>
      <x:c r="P1014" s="50" t="n">
        <x:f>MIN(G1014,MAX(0,Inputs!$B$20-O1014-F1014))</x:f>
        <x:v>0</x:v>
      </x:c>
      <x:c r="Q1014" s="50" t="n">
        <x:f>(C1014-E1014-F1014)+(G1014-P1014)</x:f>
        <x:v>0</x:v>
      </x:c>
    </x:row>
    <x:row r="1015">
      <x:c r="A1015" s="41" t="n">
        <x:f>IF(B1015=1,A1014+1,A1014)</x:f>
        <x:v>2065</x:v>
      </x:c>
      <x:c r="B1015" s="41" t="n">
        <x:f>IF(B1014=26,1,B1014+1)</x:f>
        <x:v>26</x:v>
      </x:c>
      <x:c r="C1015" s="48" t="n">
        <x:f>Inputs!$F$41</x:f>
        <x:v>600</x:v>
      </x:c>
      <x:c r="D1015" s="50" t="n">
        <x:f>IF(B1015=1,0,D1014+E1014)</x:f>
        <x:v>8000</x:v>
      </x:c>
      <x:c r="E1015" s="50" t="n">
        <x:f>MIN(C1015,MAX(0,Inputs!$B$7-D1015))</x:f>
        <x:v>0</x:v>
      </x:c>
      <x:c r="F1015" s="50" t="n">
        <x:f>MIN(C1015-E1015,MAX(0,Inputs!$B$20-O1015))</x:f>
        <x:v>600</x:v>
      </x:c>
      <x:c r="G1015" s="50" t="n">
        <x:f>0</x:f>
        <x:v>0</x:v>
      </x:c>
      <x:c r="H1015" s="41" t="n">
        <x:f>IF(A1015=Inputs!$B$8,1,0)</x:f>
        <x:v>0</x:v>
      </x:c>
      <x:c r="I1015" s="50" t="n">
        <x:f>(I1014*(1+Inputs!$B$12))+E1015</x:f>
        <x:v>1180746.2428305761</x:v>
      </x:c>
      <x:c r="J1015" s="50" t="n">
        <x:f>(J1014*(1+Inputs!$B$12))+F1015+P1015</x:f>
        <x:v>1419089.872552166</x:v>
      </x:c>
      <x:c r="K1015" s="50" t="n">
        <x:f>(K1014*(1+Inputs!$B$12))*(1-H1015)</x:f>
        <x:v>0</x:v>
      </x:c>
      <x:c r="L1015" s="50" t="n">
        <x:f>L1014*(1+Inputs!$B$13)+Q1015</x:f>
        <x:v>80360.9009552135</x:v>
      </x:c>
      <x:c r="M1015" s="50" t="n">
        <x:f>I1015+J1015+L1015</x:f>
        <x:v>2680197.016337956</x:v>
      </x:c>
      <x:c r="N1015" s="50" t="n">
        <x:f>F1015+P1015</x:f>
        <x:v>600</x:v>
      </x:c>
      <x:c r="O1015" s="50" t="n">
        <x:f>IF(B1015=1,0,O1014+F1014+P1014)</x:f>
        <x:v>10257.142857142857</x:v>
      </x:c>
      <x:c r="P1015" s="50" t="n">
        <x:f>MIN(G1015,MAX(0,Inputs!$B$20-O1015-F1015))</x:f>
        <x:v>0</x:v>
      </x:c>
      <x:c r="Q1015" s="50" t="n">
        <x:f>(C1015-E1015-F1015)+(G1015-P1015)</x:f>
        <x:v>0</x:v>
      </x:c>
    </x:row>
    <x:row r="1016">
      <x:c r="A1016" s="41" t="n">
        <x:f>IF(B1016=1,A1015+1,A1015)</x:f>
        <x:v>2066</x:v>
      </x:c>
      <x:c r="B1016" s="41" t="n">
        <x:f>IF(B1015=26,1,B1015+1)</x:f>
        <x:v>1</x:v>
      </x:c>
      <x:c r="C1016" s="48" t="n">
        <x:f>Inputs!$F$42</x:f>
        <x:v>600</x:v>
      </x:c>
      <x:c r="D1016" s="50" t="n">
        <x:f>IF(B1016=1,0,D1015+E1015)</x:f>
        <x:v>0</x:v>
      </x:c>
      <x:c r="E1016" s="50" t="n">
        <x:f>MIN(C1016,MAX(0,Inputs!$B$7-D1016))</x:f>
        <x:v>600</x:v>
      </x:c>
      <x:c r="F1016" s="50" t="n">
        <x:f>MIN(C1016-E1016,MAX(0,Inputs!$B$20-O1016))</x:f>
        <x:v>0</x:v>
      </x:c>
      <x:c r="G1016" s="50" t="n">
        <x:f>0</x:f>
        <x:v>0</x:v>
      </x:c>
      <x:c r="H1016" s="41" t="n">
        <x:f>0</x:f>
        <x:v>0</x:v>
      </x:c>
      <x:c r="I1016" s="50" t="n">
        <x:f>(I1015*(1+Inputs!$B$12))+E1016</x:f>
        <x:v>1183564.0462769605</x:v>
      </x:c>
      <x:c r="J1016" s="50" t="n">
        <x:f>(J1015*(1+Inputs!$B$12))+F1016+P1016</x:f>
        <x:v>1421755.3584084075</x:v>
      </x:c>
      <x:c r="K1016" s="50" t="n">
        <x:f>(K1015*(1+Inputs!$B$12))*(1-H1016)</x:f>
        <x:v>0</x:v>
      </x:c>
      <x:c r="L1016" s="50" t="n">
        <x:f>L1015*(1+Inputs!$B$13)+Q1016</x:f>
        <x:v>80501.50475581722</x:v>
      </x:c>
      <x:c r="M1016" s="50" t="n">
        <x:f>I1016+J1016+L1016</x:f>
        <x:v>2685820.909441185</x:v>
      </x:c>
      <x:c r="N1016" s="50" t="n">
        <x:f>F1016+P1016</x:f>
        <x:v>0</x:v>
      </x:c>
      <x:c r="O1016" s="50" t="n">
        <x:f>IF(B1016=1,0,O1015+F1015+P1015)</x:f>
        <x:v>0</x:v>
      </x:c>
      <x:c r="P1016" s="50" t="n">
        <x:f>MIN(G1016,MAX(0,Inputs!$B$20-O1016-F1016))</x:f>
        <x:v>0</x:v>
      </x:c>
      <x:c r="Q1016" s="50" t="n">
        <x:f>(C1016-E1016-F1016)+(G1016-P1016)</x:f>
        <x:v>0</x:v>
      </x:c>
    </x:row>
    <x:row r="1017">
      <x:c r="A1017" s="41" t="n">
        <x:f>IF(B1017=1,A1016+1,A1016)</x:f>
        <x:v>2066</x:v>
      </x:c>
      <x:c r="B1017" s="41" t="n">
        <x:f>IF(B1016=26,1,B1016+1)</x:f>
        <x:v>2</x:v>
      </x:c>
      <x:c r="C1017" s="48" t="n">
        <x:f>Inputs!$F$42</x:f>
        <x:v>600</x:v>
      </x:c>
      <x:c r="D1017" s="50" t="n">
        <x:f>IF(B1017=1,0,D1016+E1016)</x:f>
        <x:v>600</x:v>
      </x:c>
      <x:c r="E1017" s="50" t="n">
        <x:f>MIN(C1017,MAX(0,Inputs!$B$7-D1017))</x:f>
        <x:v>600</x:v>
      </x:c>
      <x:c r="F1017" s="50" t="n">
        <x:f>MIN(C1017-E1017,MAX(0,Inputs!$B$20-O1017))</x:f>
        <x:v>0</x:v>
      </x:c>
      <x:c r="G1017" s="50" t="n">
        <x:f>0</x:f>
        <x:v>0</x:v>
      </x:c>
      <x:c r="H1017" s="41" t="n">
        <x:f>0</x:f>
        <x:v>0</x:v>
      </x:c>
      <x:c r="I1017" s="50" t="n">
        <x:f>(I1016*(1+Inputs!$B$12))+E1017</x:f>
        <x:v>1186387.1424221213</x:v>
      </x:c>
      <x:c r="J1017" s="50" t="n">
        <x:f>(J1016*(1+Inputs!$B$12))+F1017+P1017</x:f>
        <x:v>1424425.8508642924</x:v>
      </x:c>
      <x:c r="K1017" s="50" t="n">
        <x:f>(K1016*(1+Inputs!$B$12))*(1-H1017)</x:f>
        <x:v>0</x:v>
      </x:c>
      <x:c r="L1017" s="50" t="n">
        <x:f>L1016*(1+Inputs!$B$13)+Q1017</x:f>
        <x:v>80642.3545644735</x:v>
      </x:c>
      <x:c r="M1017" s="50" t="n">
        <x:f>I1017+J1017+L1017</x:f>
        <x:v>2691455.347850887</x:v>
      </x:c>
      <x:c r="N1017" s="50" t="n">
        <x:f>F1017+P1017</x:f>
        <x:v>0</x:v>
      </x:c>
      <x:c r="O1017" s="50" t="n">
        <x:f>IF(B1017=1,0,O1016+F1016+P1016)</x:f>
        <x:v>0</x:v>
      </x:c>
      <x:c r="P1017" s="50" t="n">
        <x:f>MIN(G1017,MAX(0,Inputs!$B$20-O1017-F1017))</x:f>
        <x:v>0</x:v>
      </x:c>
      <x:c r="Q1017" s="50" t="n">
        <x:f>(C1017-E1017-F1017)+(G1017-P1017)</x:f>
        <x:v>0</x:v>
      </x:c>
    </x:row>
    <x:row r="1018">
      <x:c r="A1018" s="41" t="n">
        <x:f>IF(B1018=1,A1017+1,A1017)</x:f>
        <x:v>2066</x:v>
      </x:c>
      <x:c r="B1018" s="41" t="n">
        <x:f>IF(B1017=26,1,B1017+1)</x:f>
        <x:v>3</x:v>
      </x:c>
      <x:c r="C1018" s="48" t="n">
        <x:f>Inputs!$F$42</x:f>
        <x:v>600</x:v>
      </x:c>
      <x:c r="D1018" s="50" t="n">
        <x:f>IF(B1018=1,0,D1017+E1017)</x:f>
        <x:v>1200</x:v>
      </x:c>
      <x:c r="E1018" s="50" t="n">
        <x:f>MIN(C1018,MAX(0,Inputs!$B$7-D1018))</x:f>
        <x:v>600</x:v>
      </x:c>
      <x:c r="F1018" s="50" t="n">
        <x:f>MIN(C1018-E1018,MAX(0,Inputs!$B$20-O1018))</x:f>
        <x:v>0</x:v>
      </x:c>
      <x:c r="G1018" s="50" t="n">
        <x:f>0</x:f>
        <x:v>0</x:v>
      </x:c>
      <x:c r="H1018" s="41" t="n">
        <x:f>0</x:f>
        <x:v>0</x:v>
      </x:c>
      <x:c r="I1018" s="50" t="n">
        <x:f>(I1017*(1+Inputs!$B$12))+E1018</x:f>
        <x:v>1189215.5412073692</x:v>
      </x:c>
      <x:c r="J1018" s="50" t="n">
        <x:f>(J1017*(1+Inputs!$B$12))+F1018+P1018</x:f>
        <x:v>1427101.3593237498</x:v>
      </x:c>
      <x:c r="K1018" s="50" t="n">
        <x:f>(K1017*(1+Inputs!$B$12))*(1-H1018)</x:f>
        <x:v>0</x:v>
      </x:c>
      <x:c r="L1018" s="50" t="n">
        <x:f>L1017*(1+Inputs!$B$13)+Q1018</x:f>
        <x:v>80783.45081161137</x:v>
      </x:c>
      <x:c r="M1018" s="50" t="n">
        <x:f>I1018+J1018+L1018</x:f>
        <x:v>2697100.35134273</x:v>
      </x:c>
      <x:c r="N1018" s="50" t="n">
        <x:f>F1018+P1018</x:f>
        <x:v>0</x:v>
      </x:c>
      <x:c r="O1018" s="50" t="n">
        <x:f>IF(B1018=1,0,O1017+F1017+P1017)</x:f>
        <x:v>0</x:v>
      </x:c>
      <x:c r="P1018" s="50" t="n">
        <x:f>MIN(G1018,MAX(0,Inputs!$B$20-O1018-F1018))</x:f>
        <x:v>0</x:v>
      </x:c>
      <x:c r="Q1018" s="50" t="n">
        <x:f>(C1018-E1018-F1018)+(G1018-P1018)</x:f>
        <x:v>0</x:v>
      </x:c>
    </x:row>
    <x:row r="1019">
      <x:c r="A1019" s="41" t="n">
        <x:f>IF(B1019=1,A1018+1,A1018)</x:f>
        <x:v>2066</x:v>
      </x:c>
      <x:c r="B1019" s="41" t="n">
        <x:f>IF(B1018=26,1,B1018+1)</x:f>
        <x:v>4</x:v>
      </x:c>
      <x:c r="C1019" s="48" t="n">
        <x:f>Inputs!$F$42</x:f>
        <x:v>600</x:v>
      </x:c>
      <x:c r="D1019" s="50" t="n">
        <x:f>IF(B1019=1,0,D1018+E1018)</x:f>
        <x:v>1800</x:v>
      </x:c>
      <x:c r="E1019" s="50" t="n">
        <x:f>MIN(C1019,MAX(0,Inputs!$B$7-D1019))</x:f>
        <x:v>600</x:v>
      </x:c>
      <x:c r="F1019" s="50" t="n">
        <x:f>MIN(C1019-E1019,MAX(0,Inputs!$B$20-O1019))</x:f>
        <x:v>0</x:v>
      </x:c>
      <x:c r="G1019" s="50" t="n">
        <x:f>0</x:f>
        <x:v>0</x:v>
      </x:c>
      <x:c r="H1019" s="41" t="n">
        <x:f>0</x:f>
        <x:v>0</x:v>
      </x:c>
      <x:c r="I1019" s="50" t="n">
        <x:f>(I1018*(1+Inputs!$B$12))+E1019</x:f>
        <x:v>1192049.2525926884</x:v>
      </x:c>
      <x:c r="J1019" s="50" t="n">
        <x:f>(J1018*(1+Inputs!$B$12))+F1019+P1019</x:f>
        <x:v>1429781.8932083722</x:v>
      </x:c>
      <x:c r="K1019" s="50" t="n">
        <x:f>(K1018*(1+Inputs!$B$12))*(1-H1019)</x:f>
        <x:v>0</x:v>
      </x:c>
      <x:c r="L1019" s="50" t="n">
        <x:f>L1018*(1+Inputs!$B$13)+Q1019</x:f>
        <x:v>80924.793928413</x:v>
      </x:c>
      <x:c r="M1019" s="50" t="n">
        <x:f>I1019+J1019+L1019</x:f>
        <x:v>2702755.939729474</x:v>
      </x:c>
      <x:c r="N1019" s="50" t="n">
        <x:f>F1019+P1019</x:f>
        <x:v>0</x:v>
      </x:c>
      <x:c r="O1019" s="50" t="n">
        <x:f>IF(B1019=1,0,O1018+F1018+P1018)</x:f>
        <x:v>0</x:v>
      </x:c>
      <x:c r="P1019" s="50" t="n">
        <x:f>MIN(G1019,MAX(0,Inputs!$B$20-O1019-F1019))</x:f>
        <x:v>0</x:v>
      </x:c>
      <x:c r="Q1019" s="50" t="n">
        <x:f>(C1019-E1019-F1019)+(G1019-P1019)</x:f>
        <x:v>0</x:v>
      </x:c>
    </x:row>
    <x:row r="1020">
      <x:c r="A1020" s="41" t="n">
        <x:f>IF(B1020=1,A1019+1,A1019)</x:f>
        <x:v>2066</x:v>
      </x:c>
      <x:c r="B1020" s="41" t="n">
        <x:f>IF(B1019=26,1,B1019+1)</x:f>
        <x:v>5</x:v>
      </x:c>
      <x:c r="C1020" s="48" t="n">
        <x:f>Inputs!$F$42</x:f>
        <x:v>600</x:v>
      </x:c>
      <x:c r="D1020" s="50" t="n">
        <x:f>IF(B1020=1,0,D1019+E1019)</x:f>
        <x:v>2400</x:v>
      </x:c>
      <x:c r="E1020" s="50" t="n">
        <x:f>MIN(C1020,MAX(0,Inputs!$B$7-D1020))</x:f>
        <x:v>600</x:v>
      </x:c>
      <x:c r="F1020" s="50" t="n">
        <x:f>MIN(C1020-E1020,MAX(0,Inputs!$B$20-O1020))</x:f>
        <x:v>0</x:v>
      </x:c>
      <x:c r="G1020" s="50" t="n">
        <x:f>0</x:f>
        <x:v>0</x:v>
      </x:c>
      <x:c r="H1020" s="41" t="n">
        <x:f>0</x:f>
        <x:v>0</x:v>
      </x:c>
      <x:c r="I1020" s="50" t="n">
        <x:f>(I1019*(1+Inputs!$B$12))+E1020</x:f>
        <x:v>1194888.2865567703</x:v>
      </x:c>
      <x:c r="J1020" s="50" t="n">
        <x:f>(J1019*(1+Inputs!$B$12))+F1020+P1020</x:f>
        <x:v>1432467.4619574489</x:v>
      </x:c>
      <x:c r="K1020" s="50" t="n">
        <x:f>(K1019*(1+Inputs!$B$12))*(1-H1020)</x:f>
        <x:v>0</x:v>
      </x:c>
      <x:c r="L1020" s="50" t="n">
        <x:f>L1019*(1+Inputs!$B$13)+Q1020</x:f>
        <x:v>81066.38434681497</x:v>
      </x:c>
      <x:c r="M1020" s="50" t="n">
        <x:f>I1020+J1020+L1020</x:f>
        <x:v>2708422.132861034</x:v>
      </x:c>
      <x:c r="N1020" s="50" t="n">
        <x:f>F1020+P1020</x:f>
        <x:v>0</x:v>
      </x:c>
      <x:c r="O1020" s="50" t="n">
        <x:f>IF(B1020=1,0,O1019+F1019+P1019)</x:f>
        <x:v>0</x:v>
      </x:c>
      <x:c r="P1020" s="50" t="n">
        <x:f>MIN(G1020,MAX(0,Inputs!$B$20-O1020-F1020))</x:f>
        <x:v>0</x:v>
      </x:c>
      <x:c r="Q1020" s="50" t="n">
        <x:f>(C1020-E1020-F1020)+(G1020-P1020)</x:f>
        <x:v>0</x:v>
      </x:c>
    </x:row>
    <x:row r="1021">
      <x:c r="A1021" s="41" t="n">
        <x:f>IF(B1021=1,A1020+1,A1020)</x:f>
        <x:v>2066</x:v>
      </x:c>
      <x:c r="B1021" s="41" t="n">
        <x:f>IF(B1020=26,1,B1020+1)</x:f>
        <x:v>6</x:v>
      </x:c>
      <x:c r="C1021" s="48" t="n">
        <x:f>Inputs!$F$42</x:f>
        <x:v>600</x:v>
      </x:c>
      <x:c r="D1021" s="50" t="n">
        <x:f>IF(B1021=1,0,D1020+E1020)</x:f>
        <x:v>3000</x:v>
      </x:c>
      <x:c r="E1021" s="50" t="n">
        <x:f>MIN(C1021,MAX(0,Inputs!$B$7-D1021))</x:f>
        <x:v>600</x:v>
      </x:c>
      <x:c r="F1021" s="50" t="n">
        <x:f>MIN(C1021-E1021,MAX(0,Inputs!$B$20-O1021))</x:f>
        <x:v>0</x:v>
      </x:c>
      <x:c r="G1021" s="50" t="n">
        <x:f>0</x:f>
        <x:v>0</x:v>
      </x:c>
      <x:c r="H1021" s="41" t="n">
        <x:f>0</x:f>
        <x:v>0</x:v>
      </x:c>
      <x:c r="I1021" s="50" t="n">
        <x:f>(I1020*(1+Inputs!$B$12))+E1021</x:f>
        <x:v>1197732.65309705</x:v>
      </x:c>
      <x:c r="J1021" s="50" t="n">
        <x:f>(J1020*(1+Inputs!$B$12))+F1021+P1021</x:f>
        <x:v>1435158.0750279988</x:v>
      </x:c>
      <x:c r="K1021" s="50" t="n">
        <x:f>(K1020*(1+Inputs!$B$12))*(1-H1021)</x:f>
        <x:v>0</x:v>
      </x:c>
      <x:c r="L1021" s="50" t="n">
        <x:f>L1020*(1+Inputs!$B$13)+Q1021</x:f>
        <x:v>81208.22249950962</x:v>
      </x:c>
      <x:c r="M1021" s="50" t="n">
        <x:f>I1021+J1021+L1021</x:f>
        <x:v>2714098.9506245586</x:v>
      </x:c>
      <x:c r="N1021" s="50" t="n">
        <x:f>F1021+P1021</x:f>
        <x:v>0</x:v>
      </x:c>
      <x:c r="O1021" s="50" t="n">
        <x:f>IF(B1021=1,0,O1020+F1020+P1020)</x:f>
        <x:v>0</x:v>
      </x:c>
      <x:c r="P1021" s="50" t="n">
        <x:f>MIN(G1021,MAX(0,Inputs!$B$20-O1021-F1021))</x:f>
        <x:v>0</x:v>
      </x:c>
      <x:c r="Q1021" s="50" t="n">
        <x:f>(C1021-E1021-F1021)+(G1021-P1021)</x:f>
        <x:v>0</x:v>
      </x:c>
    </x:row>
    <x:row r="1022">
      <x:c r="A1022" s="41" t="n">
        <x:f>IF(B1022=1,A1021+1,A1021)</x:f>
        <x:v>2066</x:v>
      </x:c>
      <x:c r="B1022" s="41" t="n">
        <x:f>IF(B1021=26,1,B1021+1)</x:f>
        <x:v>7</x:v>
      </x:c>
      <x:c r="C1022" s="48" t="n">
        <x:f>Inputs!$F$42</x:f>
        <x:v>600</x:v>
      </x:c>
      <x:c r="D1022" s="50" t="n">
        <x:f>IF(B1022=1,0,D1021+E1021)</x:f>
        <x:v>3600</x:v>
      </x:c>
      <x:c r="E1022" s="50" t="n">
        <x:f>MIN(C1022,MAX(0,Inputs!$B$7-D1022))</x:f>
        <x:v>600</x:v>
      </x:c>
      <x:c r="F1022" s="50" t="n">
        <x:f>MIN(C1022-E1022,MAX(0,Inputs!$B$20-O1022))</x:f>
        <x:v>0</x:v>
      </x:c>
      <x:c r="G1022" s="50" t="n">
        <x:f>0</x:f>
        <x:v>0</x:v>
      </x:c>
      <x:c r="H1022" s="41" t="n">
        <x:f>0</x:f>
        <x:v>0</x:v>
      </x:c>
      <x:c r="I1022" s="50" t="n">
        <x:f>(I1021*(1+Inputs!$B$12))+E1022</x:f>
        <x:v>1200582.3622297402</x:v>
      </x:c>
      <x:c r="J1022" s="50" t="n">
        <x:f>(J1021*(1+Inputs!$B$12))+F1022+P1022</x:f>
        <x:v>1437853.7418948042</x:v>
      </x:c>
      <x:c r="K1022" s="50" t="n">
        <x:f>(K1021*(1+Inputs!$B$12))*(1-H1022)</x:f>
        <x:v>0</x:v>
      </x:c>
      <x:c r="L1022" s="50" t="n">
        <x:f>L1021*(1+Inputs!$B$13)+Q1022</x:f>
        <x:v>81350.30881994632</x:v>
      </x:c>
      <x:c r="M1022" s="50" t="n">
        <x:f>I1022+J1022+L1022</x:f>
        <x:v>2719786.4129444906</x:v>
      </x:c>
      <x:c r="N1022" s="50" t="n">
        <x:f>F1022+P1022</x:f>
        <x:v>0</x:v>
      </x:c>
      <x:c r="O1022" s="50" t="n">
        <x:f>IF(B1022=1,0,O1021+F1021+P1021)</x:f>
        <x:v>0</x:v>
      </x:c>
      <x:c r="P1022" s="50" t="n">
        <x:f>MIN(G1022,MAX(0,Inputs!$B$20-O1022-F1022))</x:f>
        <x:v>0</x:v>
      </x:c>
      <x:c r="Q1022" s="50" t="n">
        <x:f>(C1022-E1022-F1022)+(G1022-P1022)</x:f>
        <x:v>0</x:v>
      </x:c>
    </x:row>
    <x:row r="1023">
      <x:c r="A1023" s="41" t="n">
        <x:f>IF(B1023=1,A1022+1,A1022)</x:f>
        <x:v>2066</x:v>
      </x:c>
      <x:c r="B1023" s="41" t="n">
        <x:f>IF(B1022=26,1,B1022+1)</x:f>
        <x:v>8</x:v>
      </x:c>
      <x:c r="C1023" s="48" t="n">
        <x:f>Inputs!$F$42</x:f>
        <x:v>600</x:v>
      </x:c>
      <x:c r="D1023" s="50" t="n">
        <x:f>IF(B1023=1,0,D1022+E1022)</x:f>
        <x:v>4200</x:v>
      </x:c>
      <x:c r="E1023" s="50" t="n">
        <x:f>MIN(C1023,MAX(0,Inputs!$B$7-D1023))</x:f>
        <x:v>600</x:v>
      </x:c>
      <x:c r="F1023" s="50" t="n">
        <x:f>MIN(C1023-E1023,MAX(0,Inputs!$B$20-O1023))</x:f>
        <x:v>0</x:v>
      </x:c>
      <x:c r="G1023" s="50" t="n">
        <x:f>0</x:f>
        <x:v>0</x:v>
      </x:c>
      <x:c r="H1023" s="41" t="n">
        <x:f>0</x:f>
        <x:v>0</x:v>
      </x:c>
      <x:c r="I1023" s="50" t="n">
        <x:f>(I1022*(1+Inputs!$B$12))+E1023</x:f>
        <x:v>1203437.4239898676</x:v>
      </x:c>
      <x:c r="J1023" s="50" t="n">
        <x:f>(J1022*(1+Inputs!$B$12))+F1023+P1023</x:f>
        <x:v>1440554.472050444</x:v>
      </x:c>
      <x:c r="K1023" s="50" t="n">
        <x:f>(K1022*(1+Inputs!$B$12))*(1-H1023)</x:f>
        <x:v>0</x:v>
      </x:c>
      <x:c r="L1023" s="50" t="n">
        <x:f>L1022*(1+Inputs!$B$13)+Q1023</x:f>
        <x:v>81492.64374233285</x:v>
      </x:c>
      <x:c r="M1023" s="50" t="n">
        <x:f>I1023+J1023+L1023</x:f>
        <x:v>2725484.5397826442</x:v>
      </x:c>
      <x:c r="N1023" s="50" t="n">
        <x:f>F1023+P1023</x:f>
        <x:v>0</x:v>
      </x:c>
      <x:c r="O1023" s="50" t="n">
        <x:f>IF(B1023=1,0,O1022+F1022+P1022)</x:f>
        <x:v>0</x:v>
      </x:c>
      <x:c r="P1023" s="50" t="n">
        <x:f>MIN(G1023,MAX(0,Inputs!$B$20-O1023-F1023))</x:f>
        <x:v>0</x:v>
      </x:c>
      <x:c r="Q1023" s="50" t="n">
        <x:f>(C1023-E1023-F1023)+(G1023-P1023)</x:f>
        <x:v>0</x:v>
      </x:c>
    </x:row>
    <x:row r="1024">
      <x:c r="A1024" s="41" t="n">
        <x:f>IF(B1024=1,A1023+1,A1023)</x:f>
        <x:v>2066</x:v>
      </x:c>
      <x:c r="B1024" s="41" t="n">
        <x:f>IF(B1023=26,1,B1023+1)</x:f>
        <x:v>9</x:v>
      </x:c>
      <x:c r="C1024" s="48" t="n">
        <x:f>Inputs!$F$42</x:f>
        <x:v>600</x:v>
      </x:c>
      <x:c r="D1024" s="50" t="n">
        <x:f>IF(B1024=1,0,D1023+E1023)</x:f>
        <x:v>4800</x:v>
      </x:c>
      <x:c r="E1024" s="50" t="n">
        <x:f>MIN(C1024,MAX(0,Inputs!$B$7-D1024))</x:f>
        <x:v>600</x:v>
      </x:c>
      <x:c r="F1024" s="50" t="n">
        <x:f>MIN(C1024-E1024,MAX(0,Inputs!$B$20-O1024))</x:f>
        <x:v>0</x:v>
      </x:c>
      <x:c r="G1024" s="50" t="n">
        <x:f>SUM(N990:N1015)*Inputs!$B$6</x:f>
        <x:v>3257.142857142857</x:v>
      </x:c>
      <x:c r="H1024" s="41" t="n">
        <x:f>0</x:f>
        <x:v>0</x:v>
      </x:c>
      <x:c r="I1024" s="50" t="n">
        <x:f>(I1023*(1+Inputs!$B$12))+E1024</x:f>
        <x:v>1206297.8484313074</x:v>
      </x:c>
      <x:c r="J1024" s="50" t="n">
        <x:f>(J1023*(1+Inputs!$B$12))+F1024+P1024</x:f>
        <x:v>1446517.4178624698</x:v>
      </x:c>
      <x:c r="K1024" s="50" t="n">
        <x:f>(K1023*(1+Inputs!$B$12))*(1-H1024)</x:f>
        <x:v>0</x:v>
      </x:c>
      <x:c r="L1024" s="50" t="n">
        <x:f>L1023*(1+Inputs!$B$13)+Q1024</x:f>
        <x:v>81635.22770163669</x:v>
      </x:c>
      <x:c r="M1024" s="50" t="n">
        <x:f>I1024+J1024+L1024</x:f>
        <x:v>2734450.4939954136</x:v>
      </x:c>
      <x:c r="N1024" s="50" t="n">
        <x:f>F1024+P1024</x:f>
        <x:v>3257.142857142857</x:v>
      </x:c>
      <x:c r="O1024" s="50" t="n">
        <x:f>IF(B1024=1,0,O1023+F1023+P1023)</x:f>
        <x:v>0</x:v>
      </x:c>
      <x:c r="P1024" s="50" t="n">
        <x:f>MIN(G1024,MAX(0,Inputs!$B$20-O1024-F1024))</x:f>
        <x:v>3257.142857142857</x:v>
      </x:c>
      <x:c r="Q1024" s="50" t="n">
        <x:f>(C1024-E1024-F1024)+(G1024-P1024)</x:f>
        <x:v>0</x:v>
      </x:c>
    </x:row>
    <x:row r="1025">
      <x:c r="A1025" s="41" t="n">
        <x:f>IF(B1025=1,A1024+1,A1024)</x:f>
        <x:v>2066</x:v>
      </x:c>
      <x:c r="B1025" s="41" t="n">
        <x:f>IF(B1024=26,1,B1024+1)</x:f>
        <x:v>10</x:v>
      </x:c>
      <x:c r="C1025" s="48" t="n">
        <x:f>Inputs!$F$42</x:f>
        <x:v>600</x:v>
      </x:c>
      <x:c r="D1025" s="50" t="n">
        <x:f>IF(B1025=1,0,D1024+E1024)</x:f>
        <x:v>5400</x:v>
      </x:c>
      <x:c r="E1025" s="50" t="n">
        <x:f>MIN(C1025,MAX(0,Inputs!$B$7-D1025))</x:f>
        <x:v>600</x:v>
      </x:c>
      <x:c r="F1025" s="50" t="n">
        <x:f>MIN(C1025-E1025,MAX(0,Inputs!$B$20-O1025))</x:f>
        <x:v>0</x:v>
      </x:c>
      <x:c r="G1025" s="50" t="n">
        <x:f>0</x:f>
        <x:v>0</x:v>
      </x:c>
      <x:c r="H1025" s="41" t="n">
        <x:f>0</x:f>
        <x:v>0</x:v>
      </x:c>
      <x:c r="I1025" s="50" t="n">
        <x:f>(I1024*(1+Inputs!$B$12))+E1025</x:f>
        <x:v>1209163.6456268195</x:v>
      </x:c>
      <x:c r="J1025" s="50" t="n">
        <x:f>(J1024*(1+Inputs!$B$12))+F1025+P1025</x:f>
        <x:v>1449234.4210577537</x:v>
      </x:c>
      <x:c r="K1025" s="50" t="n">
        <x:f>(K1024*(1+Inputs!$B$12))*(1-H1025)</x:f>
        <x:v>0</x:v>
      </x:c>
      <x:c r="L1025" s="50" t="n">
        <x:f>L1024*(1+Inputs!$B$13)+Q1025</x:f>
        <x:v>81778.06113358637</x:v>
      </x:c>
      <x:c r="M1025" s="50" t="n">
        <x:f>I1025+J1025+L1025</x:f>
        <x:v>2740176.1278181593</x:v>
      </x:c>
      <x:c r="N1025" s="50" t="n">
        <x:f>F1025+P1025</x:f>
        <x:v>0</x:v>
      </x:c>
      <x:c r="O1025" s="50" t="n">
        <x:f>IF(B1025=1,0,O1024+F1024+P1024)</x:f>
        <x:v>3257.142857142857</x:v>
      </x:c>
      <x:c r="P1025" s="50" t="n">
        <x:f>MIN(G1025,MAX(0,Inputs!$B$20-O1025-F1025))</x:f>
        <x:v>0</x:v>
      </x:c>
      <x:c r="Q1025" s="50" t="n">
        <x:f>(C1025-E1025-F1025)+(G1025-P1025)</x:f>
        <x:v>0</x:v>
      </x:c>
    </x:row>
    <x:row r="1026">
      <x:c r="A1026" s="41" t="n">
        <x:f>IF(B1026=1,A1025+1,A1025)</x:f>
        <x:v>2066</x:v>
      </x:c>
      <x:c r="B1026" s="41" t="n">
        <x:f>IF(B1025=26,1,B1025+1)</x:f>
        <x:v>11</x:v>
      </x:c>
      <x:c r="C1026" s="48" t="n">
        <x:f>Inputs!$F$42</x:f>
        <x:v>600</x:v>
      </x:c>
      <x:c r="D1026" s="50" t="n">
        <x:f>IF(B1026=1,0,D1025+E1025)</x:f>
        <x:v>6000</x:v>
      </x:c>
      <x:c r="E1026" s="50" t="n">
        <x:f>MIN(C1026,MAX(0,Inputs!$B$7-D1026))</x:f>
        <x:v>600</x:v>
      </x:c>
      <x:c r="F1026" s="50" t="n">
        <x:f>MIN(C1026-E1026,MAX(0,Inputs!$B$20-O1026))</x:f>
        <x:v>0</x:v>
      </x:c>
      <x:c r="G1026" s="50" t="n">
        <x:f>0</x:f>
        <x:v>0</x:v>
      </x:c>
      <x:c r="H1026" s="41" t="n">
        <x:f>0</x:f>
        <x:v>0</x:v>
      </x:c>
      <x:c r="I1026" s="50" t="n">
        <x:f>(I1025*(1+Inputs!$B$12))+E1026</x:f>
        <x:v>1212034.825668083</x:v>
      </x:c>
      <x:c r="J1026" s="50" t="n">
        <x:f>(J1025*(1+Inputs!$B$12))+F1026+P1026</x:f>
        <x:v>1451956.5276180385</x:v>
      </x:c>
      <x:c r="K1026" s="50" t="n">
        <x:f>(K1025*(1+Inputs!$B$12))*(1-H1026)</x:f>
        <x:v>0</x:v>
      </x:c>
      <x:c r="L1026" s="50" t="n">
        <x:f>L1025*(1+Inputs!$B$13)+Q1026</x:f>
        <x:v>81921.14447467278</x:v>
      </x:c>
      <x:c r="M1026" s="50" t="n">
        <x:f>I1026+J1026+L1026</x:f>
        <x:v>2745912.497760794</x:v>
      </x:c>
      <x:c r="N1026" s="50" t="n">
        <x:f>F1026+P1026</x:f>
        <x:v>0</x:v>
      </x:c>
      <x:c r="O1026" s="50" t="n">
        <x:f>IF(B1026=1,0,O1025+F1025+P1025)</x:f>
        <x:v>3257.142857142857</x:v>
      </x:c>
      <x:c r="P1026" s="50" t="n">
        <x:f>MIN(G1026,MAX(0,Inputs!$B$20-O1026-F1026))</x:f>
        <x:v>0</x:v>
      </x:c>
      <x:c r="Q1026" s="50" t="n">
        <x:f>(C1026-E1026-F1026)+(G1026-P1026)</x:f>
        <x:v>0</x:v>
      </x:c>
    </x:row>
    <x:row r="1027">
      <x:c r="A1027" s="41" t="n">
        <x:f>IF(B1027=1,A1026+1,A1026)</x:f>
        <x:v>2066</x:v>
      </x:c>
      <x:c r="B1027" s="41" t="n">
        <x:f>IF(B1026=26,1,B1026+1)</x:f>
        <x:v>12</x:v>
      </x:c>
      <x:c r="C1027" s="48" t="n">
        <x:f>Inputs!$F$42</x:f>
        <x:v>600</x:v>
      </x:c>
      <x:c r="D1027" s="50" t="n">
        <x:f>IF(B1027=1,0,D1026+E1026)</x:f>
        <x:v>6600</x:v>
      </x:c>
      <x:c r="E1027" s="50" t="n">
        <x:f>MIN(C1027,MAX(0,Inputs!$B$7-D1027))</x:f>
        <x:v>600</x:v>
      </x:c>
      <x:c r="F1027" s="50" t="n">
        <x:f>MIN(C1027-E1027,MAX(0,Inputs!$B$20-O1027))</x:f>
        <x:v>0</x:v>
      </x:c>
      <x:c r="G1027" s="50" t="n">
        <x:f>0</x:f>
        <x:v>0</x:v>
      </x:c>
      <x:c r="H1027" s="41" t="n">
        <x:f>0</x:f>
        <x:v>0</x:v>
      </x:c>
      <x:c r="I1027" s="50" t="n">
        <x:f>(I1026*(1+Inputs!$B$12))+E1027</x:f>
        <x:v>1214911.3986657327</x:v>
      </x:c>
      <x:c r="J1027" s="50" t="n">
        <x:f>(J1026*(1+Inputs!$B$12))+F1027+P1027</x:f>
        <x:v>1454683.747129008</x:v>
      </x:c>
      <x:c r="K1027" s="50" t="n">
        <x:f>(K1026*(1+Inputs!$B$12))*(1-H1027)</x:f>
        <x:v>0</x:v>
      </x:c>
      <x:c r="L1027" s="50" t="n">
        <x:f>L1026*(1+Inputs!$B$13)+Q1027</x:f>
        <x:v>82064.47816215054</x:v>
      </x:c>
      <x:c r="M1027" s="50" t="n">
        <x:f>I1027+J1027+L1027</x:f>
        <x:v>2751659.6239568912</x:v>
      </x:c>
      <x:c r="N1027" s="50" t="n">
        <x:f>F1027+P1027</x:f>
        <x:v>0</x:v>
      </x:c>
      <x:c r="O1027" s="50" t="n">
        <x:f>IF(B1027=1,0,O1026+F1026+P1026)</x:f>
        <x:v>3257.142857142857</x:v>
      </x:c>
      <x:c r="P1027" s="50" t="n">
        <x:f>MIN(G1027,MAX(0,Inputs!$B$20-O1027-F1027))</x:f>
        <x:v>0</x:v>
      </x:c>
      <x:c r="Q1027" s="50" t="n">
        <x:f>(C1027-E1027-F1027)+(G1027-P1027)</x:f>
        <x:v>0</x:v>
      </x:c>
    </x:row>
    <x:row r="1028">
      <x:c r="A1028" s="41" t="n">
        <x:f>IF(B1028=1,A1027+1,A1027)</x:f>
        <x:v>2066</x:v>
      </x:c>
      <x:c r="B1028" s="41" t="n">
        <x:f>IF(B1027=26,1,B1027+1)</x:f>
        <x:v>13</x:v>
      </x:c>
      <x:c r="C1028" s="48" t="n">
        <x:f>Inputs!$F$42</x:f>
        <x:v>600</x:v>
      </x:c>
      <x:c r="D1028" s="50" t="n">
        <x:f>IF(B1028=1,0,D1027+E1027)</x:f>
        <x:v>7200</x:v>
      </x:c>
      <x:c r="E1028" s="50" t="n">
        <x:f>MIN(C1028,MAX(0,Inputs!$B$7-D1028))</x:f>
        <x:v>600</x:v>
      </x:c>
      <x:c r="F1028" s="50" t="n">
        <x:f>MIN(C1028-E1028,MAX(0,Inputs!$B$20-O1028))</x:f>
        <x:v>0</x:v>
      </x:c>
      <x:c r="G1028" s="50" t="n">
        <x:f>0</x:f>
        <x:v>0</x:v>
      </x:c>
      <x:c r="H1028" s="41" t="n">
        <x:f>0</x:f>
        <x:v>0</x:v>
      </x:c>
      <x:c r="I1028" s="50" t="n">
        <x:f>(I1027*(1+Inputs!$B$12))+E1028</x:f>
        <x:v>1217793.3747493941</x:v>
      </x:c>
      <x:c r="J1028" s="50" t="n">
        <x:f>(J1027*(1+Inputs!$B$12))+F1028+P1028</x:f>
        <x:v>1457416.089194351</x:v>
      </x:c>
      <x:c r="K1028" s="50" t="n">
        <x:f>(K1027*(1+Inputs!$B$12))*(1-H1028)</x:f>
        <x:v>0</x:v>
      </x:c>
      <x:c r="L1028" s="50" t="n">
        <x:f>L1027*(1+Inputs!$B$13)+Q1028</x:f>
        <x:v>82208.0626340393</x:v>
      </x:c>
      <x:c r="M1028" s="50" t="n">
        <x:f>I1028+J1028+L1028</x:f>
        <x:v>2757417.526577784</x:v>
      </x:c>
      <x:c r="N1028" s="50" t="n">
        <x:f>F1028+P1028</x:f>
        <x:v>0</x:v>
      </x:c>
      <x:c r="O1028" s="50" t="n">
        <x:f>IF(B1028=1,0,O1027+F1027+P1027)</x:f>
        <x:v>3257.142857142857</x:v>
      </x:c>
      <x:c r="P1028" s="50" t="n">
        <x:f>MIN(G1028,MAX(0,Inputs!$B$20-O1028-F1028))</x:f>
        <x:v>0</x:v>
      </x:c>
      <x:c r="Q1028" s="50" t="n">
        <x:f>(C1028-E1028-F1028)+(G1028-P1028)</x:f>
        <x:v>0</x:v>
      </x:c>
    </x:row>
    <x:row r="1029">
      <x:c r="A1029" s="41" t="n">
        <x:f>IF(B1029=1,A1028+1,A1028)</x:f>
        <x:v>2066</x:v>
      </x:c>
      <x:c r="B1029" s="41" t="n">
        <x:f>IF(B1028=26,1,B1028+1)</x:f>
        <x:v>14</x:v>
      </x:c>
      <x:c r="C1029" s="48" t="n">
        <x:f>Inputs!$F$42</x:f>
        <x:v>600</x:v>
      </x:c>
      <x:c r="D1029" s="50" t="n">
        <x:f>IF(B1029=1,0,D1028+E1028)</x:f>
        <x:v>7800</x:v>
      </x:c>
      <x:c r="E1029" s="50" t="n">
        <x:f>MIN(C1029,MAX(0,Inputs!$B$7-D1029))</x:f>
        <x:v>200</x:v>
      </x:c>
      <x:c r="F1029" s="50" t="n">
        <x:f>MIN(C1029-E1029,MAX(0,Inputs!$B$20-O1029))</x:f>
        <x:v>400</x:v>
      </x:c>
      <x:c r="G1029" s="50" t="n">
        <x:f>0</x:f>
        <x:v>0</x:v>
      </x:c>
      <x:c r="H1029" s="41" t="n">
        <x:f>0</x:f>
        <x:v>0</x:v>
      </x:c>
      <x:c r="I1029" s="50" t="n">
        <x:f>(I1028*(1+Inputs!$B$12))+E1029</x:f>
        <x:v>1220280.7640677192</x:v>
      </x:c>
      <x:c r="J1029" s="50" t="n">
        <x:f>(J1028*(1+Inputs!$B$12))+F1029+P1029</x:f>
        <x:v>1460553.5634357957</x:v>
      </x:c>
      <x:c r="K1029" s="50" t="n">
        <x:f>(K1028*(1+Inputs!$B$12))*(1-H1029)</x:f>
        <x:v>0</x:v>
      </x:c>
      <x:c r="L1029" s="50" t="n">
        <x:f>L1028*(1+Inputs!$B$13)+Q1029</x:f>
        <x:v>82351.89832912512</x:v>
      </x:c>
      <x:c r="M1029" s="50" t="n">
        <x:f>I1029+J1029+L1029</x:f>
        <x:v>2763186.22583264</x:v>
      </x:c>
      <x:c r="N1029" s="50" t="n">
        <x:f>F1029+P1029</x:f>
        <x:v>400</x:v>
      </x:c>
      <x:c r="O1029" s="50" t="n">
        <x:f>IF(B1029=1,0,O1028+F1028+P1028)</x:f>
        <x:v>3257.142857142857</x:v>
      </x:c>
      <x:c r="P1029" s="50" t="n">
        <x:f>MIN(G1029,MAX(0,Inputs!$B$20-O1029-F1029))</x:f>
        <x:v>0</x:v>
      </x:c>
      <x:c r="Q1029" s="50" t="n">
        <x:f>(C1029-E1029-F1029)+(G1029-P1029)</x:f>
        <x:v>0</x:v>
      </x:c>
    </x:row>
    <x:row r="1030">
      <x:c r="A1030" s="41" t="n">
        <x:f>IF(B1030=1,A1029+1,A1029)</x:f>
        <x:v>2066</x:v>
      </x:c>
      <x:c r="B1030" s="41" t="n">
        <x:f>IF(B1029=26,1,B1029+1)</x:f>
        <x:v>15</x:v>
      </x:c>
      <x:c r="C1030" s="48" t="n">
        <x:f>Inputs!$F$42</x:f>
        <x:v>600</x:v>
      </x:c>
      <x:c r="D1030" s="50" t="n">
        <x:f>IF(B1030=1,0,D1029+E1029)</x:f>
        <x:v>8000</x:v>
      </x:c>
      <x:c r="E1030" s="50" t="n">
        <x:f>MIN(C1030,MAX(0,Inputs!$B$7-D1030))</x:f>
        <x:v>0</x:v>
      </x:c>
      <x:c r="F1030" s="50" t="n">
        <x:f>MIN(C1030-E1030,MAX(0,Inputs!$B$20-O1030))</x:f>
        <x:v>600</x:v>
      </x:c>
      <x:c r="G1030" s="50" t="n">
        <x:f>0</x:f>
        <x:v>0</x:v>
      </x:c>
      <x:c r="H1030" s="41" t="n">
        <x:f>0</x:f>
        <x:v>0</x:v>
      </x:c>
      <x:c r="I1030" s="50" t="n">
        <x:f>(I1029*(1+Inputs!$B$12))+E1030</x:f>
        <x:v>1222572.8254657872</x:v>
      </x:c>
      <x:c r="J1030" s="50" t="n">
        <x:f>(J1029*(1+Inputs!$B$12))+F1030+P1030</x:f>
        <x:v>1463896.9308157768</x:v>
      </x:c>
      <x:c r="K1030" s="50" t="n">
        <x:f>(K1029*(1+Inputs!$B$12))*(1-H1030)</x:f>
        <x:v>0</x:v>
      </x:c>
      <x:c r="L1030" s="50" t="n">
        <x:f>L1029*(1+Inputs!$B$13)+Q1030</x:f>
        <x:v>82495.98568696174</x:v>
      </x:c>
      <x:c r="M1030" s="50" t="n">
        <x:f>I1030+J1030+L1030</x:f>
        <x:v>2768965.7419685256</x:v>
      </x:c>
      <x:c r="N1030" s="50" t="n">
        <x:f>F1030+P1030</x:f>
        <x:v>600</x:v>
      </x:c>
      <x:c r="O1030" s="50" t="n">
        <x:f>IF(B1030=1,0,O1029+F1029+P1029)</x:f>
        <x:v>3657.142857142857</x:v>
      </x:c>
      <x:c r="P1030" s="50" t="n">
        <x:f>MIN(G1030,MAX(0,Inputs!$B$20-O1030-F1030))</x:f>
        <x:v>0</x:v>
      </x:c>
      <x:c r="Q1030" s="50" t="n">
        <x:f>(C1030-E1030-F1030)+(G1030-P1030)</x:f>
        <x:v>0</x:v>
      </x:c>
    </x:row>
    <x:row r="1031">
      <x:c r="A1031" s="41" t="n">
        <x:f>IF(B1031=1,A1030+1,A1030)</x:f>
        <x:v>2066</x:v>
      </x:c>
      <x:c r="B1031" s="41" t="n">
        <x:f>IF(B1030=26,1,B1030+1)</x:f>
        <x:v>16</x:v>
      </x:c>
      <x:c r="C1031" s="48" t="n">
        <x:f>Inputs!$F$42</x:f>
        <x:v>600</x:v>
      </x:c>
      <x:c r="D1031" s="50" t="n">
        <x:f>IF(B1031=1,0,D1030+E1030)</x:f>
        <x:v>8000</x:v>
      </x:c>
      <x:c r="E1031" s="50" t="n">
        <x:f>MIN(C1031,MAX(0,Inputs!$B$7-D1031))</x:f>
        <x:v>0</x:v>
      </x:c>
      <x:c r="F1031" s="50" t="n">
        <x:f>MIN(C1031-E1031,MAX(0,Inputs!$B$20-O1031))</x:f>
        <x:v>600</x:v>
      </x:c>
      <x:c r="G1031" s="50" t="n">
        <x:f>0</x:f>
        <x:v>0</x:v>
      </x:c>
      <x:c r="H1031" s="41" t="n">
        <x:f>0</x:f>
        <x:v>0</x:v>
      </x:c>
      <x:c r="I1031" s="50" t="n">
        <x:f>(I1030*(1+Inputs!$B$12))+E1031</x:f>
        <x:v>1224869.1920578787</x:v>
      </x:c>
      <x:c r="J1031" s="50" t="n">
        <x:f>(J1030*(1+Inputs!$B$12))+F1031+P1031</x:f>
        <x:v>1467246.5780647332</x:v>
      </x:c>
      <x:c r="K1031" s="50" t="n">
        <x:f>(K1030*(1+Inputs!$B$12))*(1-H1031)</x:f>
        <x:v>0</x:v>
      </x:c>
      <x:c r="L1031" s="50" t="n">
        <x:f>L1030*(1+Inputs!$B$13)+Q1031</x:f>
        <x:v>82640.32514787199</x:v>
      </x:c>
      <x:c r="M1031" s="50" t="n">
        <x:f>I1031+J1031+L1031</x:f>
        <x:v>2774756.0952704838</x:v>
      </x:c>
      <x:c r="N1031" s="50" t="n">
        <x:f>F1031+P1031</x:f>
        <x:v>600</x:v>
      </x:c>
      <x:c r="O1031" s="50" t="n">
        <x:f>IF(B1031=1,0,O1030+F1030+P1030)</x:f>
        <x:v>4257.142857142857</x:v>
      </x:c>
      <x:c r="P1031" s="50" t="n">
        <x:f>MIN(G1031,MAX(0,Inputs!$B$20-O1031-F1031))</x:f>
        <x:v>0</x:v>
      </x:c>
      <x:c r="Q1031" s="50" t="n">
        <x:f>(C1031-E1031-F1031)+(G1031-P1031)</x:f>
        <x:v>0</x:v>
      </x:c>
    </x:row>
    <x:row r="1032">
      <x:c r="A1032" s="41" t="n">
        <x:f>IF(B1032=1,A1031+1,A1031)</x:f>
        <x:v>2066</x:v>
      </x:c>
      <x:c r="B1032" s="41" t="n">
        <x:f>IF(B1031=26,1,B1031+1)</x:f>
        <x:v>17</x:v>
      </x:c>
      <x:c r="C1032" s="48" t="n">
        <x:f>Inputs!$F$42</x:f>
        <x:v>600</x:v>
      </x:c>
      <x:c r="D1032" s="50" t="n">
        <x:f>IF(B1032=1,0,D1031+E1031)</x:f>
        <x:v>8000</x:v>
      </x:c>
      <x:c r="E1032" s="50" t="n">
        <x:f>MIN(C1032,MAX(0,Inputs!$B$7-D1032))</x:f>
        <x:v>0</x:v>
      </x:c>
      <x:c r="F1032" s="50" t="n">
        <x:f>MIN(C1032-E1032,MAX(0,Inputs!$B$20-O1032))</x:f>
        <x:v>600</x:v>
      </x:c>
      <x:c r="G1032" s="50" t="n">
        <x:f>0</x:f>
        <x:v>0</x:v>
      </x:c>
      <x:c r="H1032" s="41" t="n">
        <x:f>0</x:f>
        <x:v>0</x:v>
      </x:c>
      <x:c r="I1032" s="50" t="n">
        <x:f>(I1031*(1+Inputs!$B$12))+E1032</x:f>
        <x:v>1227169.8719304681</x:v>
      </x:c>
      <x:c r="J1032" s="50" t="n">
        <x:f>(J1031*(1+Inputs!$B$12))+F1032+P1032</x:f>
        <x:v>1470602.516978184</x:v>
      </x:c>
      <x:c r="K1032" s="50" t="n">
        <x:f>(K1031*(1+Inputs!$B$12))*(1-H1032)</x:f>
        <x:v>0</x:v>
      </x:c>
      <x:c r="L1032" s="50" t="n">
        <x:f>L1031*(1+Inputs!$B$13)+Q1032</x:f>
        <x:v>82784.91715294911</x:v>
      </x:c>
      <x:c r="M1032" s="50" t="n">
        <x:f>I1032+J1032+L1032</x:f>
        <x:v>2780557.3060616013</x:v>
      </x:c>
      <x:c r="N1032" s="50" t="n">
        <x:f>F1032+P1032</x:f>
        <x:v>600</x:v>
      </x:c>
      <x:c r="O1032" s="50" t="n">
        <x:f>IF(B1032=1,0,O1031+F1031+P1031)</x:f>
        <x:v>4857.142857142857</x:v>
      </x:c>
      <x:c r="P1032" s="50" t="n">
        <x:f>MIN(G1032,MAX(0,Inputs!$B$20-O1032-F1032))</x:f>
        <x:v>0</x:v>
      </x:c>
      <x:c r="Q1032" s="50" t="n">
        <x:f>(C1032-E1032-F1032)+(G1032-P1032)</x:f>
        <x:v>0</x:v>
      </x:c>
    </x:row>
    <x:row r="1033">
      <x:c r="A1033" s="41" t="n">
        <x:f>IF(B1033=1,A1032+1,A1032)</x:f>
        <x:v>2066</x:v>
      </x:c>
      <x:c r="B1033" s="41" t="n">
        <x:f>IF(B1032=26,1,B1032+1)</x:f>
        <x:v>18</x:v>
      </x:c>
      <x:c r="C1033" s="48" t="n">
        <x:f>Inputs!$F$42</x:f>
        <x:v>600</x:v>
      </x:c>
      <x:c r="D1033" s="50" t="n">
        <x:f>IF(B1033=1,0,D1032+E1032)</x:f>
        <x:v>8000</x:v>
      </x:c>
      <x:c r="E1033" s="50" t="n">
        <x:f>MIN(C1033,MAX(0,Inputs!$B$7-D1033))</x:f>
        <x:v>0</x:v>
      </x:c>
      <x:c r="F1033" s="50" t="n">
        <x:f>MIN(C1033-E1033,MAX(0,Inputs!$B$20-O1033))</x:f>
        <x:v>600</x:v>
      </x:c>
      <x:c r="G1033" s="50" t="n">
        <x:f>0</x:f>
        <x:v>0</x:v>
      </x:c>
      <x:c r="H1033" s="41" t="n">
        <x:f>0</x:f>
        <x:v>0</x:v>
      </x:c>
      <x:c r="I1033" s="50" t="n">
        <x:f>(I1032*(1+Inputs!$B$12))+E1033</x:f>
        <x:v>1229474.8731852185</x:v>
      </x:c>
      <x:c r="J1033" s="50" t="n">
        <x:f>(J1032*(1+Inputs!$B$12))+F1033+P1033</x:f>
        <x:v>1473964.759373804</x:v>
      </x:c>
      <x:c r="K1033" s="50" t="n">
        <x:f>(K1032*(1+Inputs!$B$12))*(1-H1033)</x:f>
        <x:v>0</x:v>
      </x:c>
      <x:c r="L1033" s="50" t="n">
        <x:f>L1032*(1+Inputs!$B$13)+Q1033</x:f>
        <x:v>82929.76214405811</x:v>
      </x:c>
      <x:c r="M1033" s="50" t="n">
        <x:f>I1033+J1033+L1033</x:f>
        <x:v>2786369.394703081</x:v>
      </x:c>
      <x:c r="N1033" s="50" t="n">
        <x:f>F1033+P1033</x:f>
        <x:v>600</x:v>
      </x:c>
      <x:c r="O1033" s="50" t="n">
        <x:f>IF(B1033=1,0,O1032+F1032+P1032)</x:f>
        <x:v>5457.142857142857</x:v>
      </x:c>
      <x:c r="P1033" s="50" t="n">
        <x:f>MIN(G1033,MAX(0,Inputs!$B$20-O1033-F1033))</x:f>
        <x:v>0</x:v>
      </x:c>
      <x:c r="Q1033" s="50" t="n">
        <x:f>(C1033-E1033-F1033)+(G1033-P1033)</x:f>
        <x:v>0</x:v>
      </x:c>
    </x:row>
    <x:row r="1034">
      <x:c r="A1034" s="41" t="n">
        <x:f>IF(B1034=1,A1033+1,A1033)</x:f>
        <x:v>2066</x:v>
      </x:c>
      <x:c r="B1034" s="41" t="n">
        <x:f>IF(B1033=26,1,B1033+1)</x:f>
        <x:v>19</x:v>
      </x:c>
      <x:c r="C1034" s="48" t="n">
        <x:f>Inputs!$F$42</x:f>
        <x:v>600</x:v>
      </x:c>
      <x:c r="D1034" s="50" t="n">
        <x:f>IF(B1034=1,0,D1033+E1033)</x:f>
        <x:v>8000</x:v>
      </x:c>
      <x:c r="E1034" s="50" t="n">
        <x:f>MIN(C1034,MAX(0,Inputs!$B$7-D1034))</x:f>
        <x:v>0</x:v>
      </x:c>
      <x:c r="F1034" s="50" t="n">
        <x:f>MIN(C1034-E1034,MAX(0,Inputs!$B$20-O1034))</x:f>
        <x:v>600</x:v>
      </x:c>
      <x:c r="G1034" s="50" t="n">
        <x:f>0</x:f>
        <x:v>0</x:v>
      </x:c>
      <x:c r="H1034" s="41" t="n">
        <x:f>0</x:f>
        <x:v>0</x:v>
      </x:c>
      <x:c r="I1034" s="50" t="n">
        <x:f>(I1033*(1+Inputs!$B$12))+E1034</x:f>
        <x:v>1231784.2039390106</x:v>
      </x:c>
      <x:c r="J1034" s="50" t="n">
        <x:f>(J1033*(1+Inputs!$B$12))+F1034+P1034</x:f>
        <x:v>1477333.3170914655</x:v>
      </x:c>
      <x:c r="K1034" s="50" t="n">
        <x:f>(K1033*(1+Inputs!$B$12))*(1-H1034)</x:f>
        <x:v>0</x:v>
      </x:c>
      <x:c r="L1034" s="50" t="n">
        <x:f>L1033*(1+Inputs!$B$13)+Q1034</x:f>
        <x:v>83074.86056383711</x:v>
      </x:c>
      <x:c r="M1034" s="50" t="n">
        <x:f>I1034+J1034+L1034</x:f>
        <x:v>2792192.3815943133</x:v>
      </x:c>
      <x:c r="N1034" s="50" t="n">
        <x:f>F1034+P1034</x:f>
        <x:v>600</x:v>
      </x:c>
      <x:c r="O1034" s="50" t="n">
        <x:f>IF(B1034=1,0,O1033+F1033+P1033)</x:f>
        <x:v>6057.142857142857</x:v>
      </x:c>
      <x:c r="P1034" s="50" t="n">
        <x:f>MIN(G1034,MAX(0,Inputs!$B$20-O1034-F1034))</x:f>
        <x:v>0</x:v>
      </x:c>
      <x:c r="Q1034" s="50" t="n">
        <x:f>(C1034-E1034-F1034)+(G1034-P1034)</x:f>
        <x:v>0</x:v>
      </x:c>
    </x:row>
    <x:row r="1035">
      <x:c r="A1035" s="41" t="n">
        <x:f>IF(B1035=1,A1034+1,A1034)</x:f>
        <x:v>2066</x:v>
      </x:c>
      <x:c r="B1035" s="41" t="n">
        <x:f>IF(B1034=26,1,B1034+1)</x:f>
        <x:v>20</x:v>
      </x:c>
      <x:c r="C1035" s="48" t="n">
        <x:f>Inputs!$F$42</x:f>
        <x:v>600</x:v>
      </x:c>
      <x:c r="D1035" s="50" t="n">
        <x:f>IF(B1035=1,0,D1034+E1034)</x:f>
        <x:v>8000</x:v>
      </x:c>
      <x:c r="E1035" s="50" t="n">
        <x:f>MIN(C1035,MAX(0,Inputs!$B$7-D1035))</x:f>
        <x:v>0</x:v>
      </x:c>
      <x:c r="F1035" s="50" t="n">
        <x:f>MIN(C1035-E1035,MAX(0,Inputs!$B$20-O1035))</x:f>
        <x:v>600</x:v>
      </x:c>
      <x:c r="G1035" s="50" t="n">
        <x:f>0</x:f>
        <x:v>0</x:v>
      </x:c>
      <x:c r="H1035" s="41" t="n">
        <x:f>0</x:f>
        <x:v>0</x:v>
      </x:c>
      <x:c r="I1035" s="50" t="n">
        <x:f>(I1034*(1+Inputs!$B$12))+E1035</x:f>
        <x:v>1234097.8723239708</x:v>
      </x:c>
      <x:c r="J1035" s="50" t="n">
        <x:f>(J1034*(1+Inputs!$B$12))+F1035+P1035</x:f>
        <x:v>1480708.2019932792</x:v>
      </x:c>
      <x:c r="K1035" s="50" t="n">
        <x:f>(K1034*(1+Inputs!$B$12))*(1-H1035)</x:f>
        <x:v>0</x:v>
      </x:c>
      <x:c r="L1035" s="50" t="n">
        <x:f>L1034*(1+Inputs!$B$13)+Q1035</x:f>
        <x:v>83220.21285569867</x:v>
      </x:c>
      <x:c r="M1035" s="50" t="n">
        <x:f>I1035+J1035+L1035</x:f>
        <x:v>2798026.2871729485</x:v>
      </x:c>
      <x:c r="N1035" s="50" t="n">
        <x:f>F1035+P1035</x:f>
        <x:v>600</x:v>
      </x:c>
      <x:c r="O1035" s="50" t="n">
        <x:f>IF(B1035=1,0,O1034+F1034+P1034)</x:f>
        <x:v>6657.142857142857</x:v>
      </x:c>
      <x:c r="P1035" s="50" t="n">
        <x:f>MIN(G1035,MAX(0,Inputs!$B$20-O1035-F1035))</x:f>
        <x:v>0</x:v>
      </x:c>
      <x:c r="Q1035" s="50" t="n">
        <x:f>(C1035-E1035-F1035)+(G1035-P1035)</x:f>
        <x:v>0</x:v>
      </x:c>
    </x:row>
    <x:row r="1036">
      <x:c r="A1036" s="41" t="n">
        <x:f>IF(B1036=1,A1035+1,A1035)</x:f>
        <x:v>2066</x:v>
      </x:c>
      <x:c r="B1036" s="41" t="n">
        <x:f>IF(B1035=26,1,B1035+1)</x:f>
        <x:v>21</x:v>
      </x:c>
      <x:c r="C1036" s="48" t="n">
        <x:f>Inputs!$F$42</x:f>
        <x:v>600</x:v>
      </x:c>
      <x:c r="D1036" s="50" t="n">
        <x:f>IF(B1036=1,0,D1035+E1035)</x:f>
        <x:v>8000</x:v>
      </x:c>
      <x:c r="E1036" s="50" t="n">
        <x:f>MIN(C1036,MAX(0,Inputs!$B$7-D1036))</x:f>
        <x:v>0</x:v>
      </x:c>
      <x:c r="F1036" s="50" t="n">
        <x:f>MIN(C1036-E1036,MAX(0,Inputs!$B$20-O1036))</x:f>
        <x:v>600</x:v>
      </x:c>
      <x:c r="G1036" s="50" t="n">
        <x:f>0</x:f>
        <x:v>0</x:v>
      </x:c>
      <x:c r="H1036" s="41" t="n">
        <x:f>0</x:f>
        <x:v>0</x:v>
      </x:c>
      <x:c r="I1036" s="50" t="n">
        <x:f>(I1035*(1+Inputs!$B$12))+E1036</x:f>
        <x:v>1236415.8864875003</x:v>
      </x:c>
      <x:c r="J1036" s="50" t="n">
        <x:f>(J1035*(1+Inputs!$B$12))+F1036+P1036</x:f>
        <x:v>1484089.425963637</x:v>
      </x:c>
      <x:c r="K1036" s="50" t="n">
        <x:f>(K1035*(1+Inputs!$B$12))*(1-H1036)</x:f>
        <x:v>0</x:v>
      </x:c>
      <x:c r="L1036" s="50" t="n">
        <x:f>L1035*(1+Inputs!$B$13)+Q1036</x:f>
        <x:v>83365.8194638312</x:v>
      </x:c>
      <x:c r="M1036" s="50" t="n">
        <x:f>I1036+J1036+L1036</x:f>
        <x:v>2803871.1319149686</x:v>
      </x:c>
      <x:c r="N1036" s="50" t="n">
        <x:f>F1036+P1036</x:f>
        <x:v>600</x:v>
      </x:c>
      <x:c r="O1036" s="50" t="n">
        <x:f>IF(B1036=1,0,O1035+F1035+P1035)</x:f>
        <x:v>7257.142857142857</x:v>
      </x:c>
      <x:c r="P1036" s="50" t="n">
        <x:f>MIN(G1036,MAX(0,Inputs!$B$20-O1036-F1036))</x:f>
        <x:v>0</x:v>
      </x:c>
      <x:c r="Q1036" s="50" t="n">
        <x:f>(C1036-E1036-F1036)+(G1036-P1036)</x:f>
        <x:v>0</x:v>
      </x:c>
    </x:row>
    <x:row r="1037">
      <x:c r="A1037" s="41" t="n">
        <x:f>IF(B1037=1,A1036+1,A1036)</x:f>
        <x:v>2066</x:v>
      </x:c>
      <x:c r="B1037" s="41" t="n">
        <x:f>IF(B1036=26,1,B1036+1)</x:f>
        <x:v>22</x:v>
      </x:c>
      <x:c r="C1037" s="48" t="n">
        <x:f>Inputs!$F$42</x:f>
        <x:v>600</x:v>
      </x:c>
      <x:c r="D1037" s="50" t="n">
        <x:f>IF(B1037=1,0,D1036+E1036)</x:f>
        <x:v>8000</x:v>
      </x:c>
      <x:c r="E1037" s="50" t="n">
        <x:f>MIN(C1037,MAX(0,Inputs!$B$7-D1037))</x:f>
        <x:v>0</x:v>
      </x:c>
      <x:c r="F1037" s="50" t="n">
        <x:f>MIN(C1037-E1037,MAX(0,Inputs!$B$20-O1037))</x:f>
        <x:v>600</x:v>
      </x:c>
      <x:c r="G1037" s="50" t="n">
        <x:f>0</x:f>
        <x:v>0</x:v>
      </x:c>
      <x:c r="H1037" s="41" t="n">
        <x:f>0</x:f>
        <x:v>0</x:v>
      </x:c>
      <x:c r="I1037" s="50" t="n">
        <x:f>(I1036*(1+Inputs!$B$12))+E1037</x:f>
        <x:v>1238738.2545923037</x:v>
      </x:c>
      <x:c r="J1037" s="50" t="n">
        <x:f>(J1036*(1+Inputs!$B$12))+F1037+P1037</x:f>
        <x:v>1487477.0009092528</x:v>
      </x:c>
      <x:c r="K1037" s="50" t="n">
        <x:f>(K1036*(1+Inputs!$B$12))*(1-H1037)</x:f>
        <x:v>0</x:v>
      </x:c>
      <x:c r="L1037" s="50" t="n">
        <x:f>L1036*(1+Inputs!$B$13)+Q1037</x:f>
        <x:v>83511.68083320025</x:v>
      </x:c>
      <x:c r="M1037" s="50" t="n">
        <x:f>I1037+J1037+L1037</x:f>
        <x:v>2809726.9363347567</x:v>
      </x:c>
      <x:c r="N1037" s="50" t="n">
        <x:f>F1037+P1037</x:f>
        <x:v>600</x:v>
      </x:c>
      <x:c r="O1037" s="50" t="n">
        <x:f>IF(B1037=1,0,O1036+F1036+P1036)</x:f>
        <x:v>7857.142857142857</x:v>
      </x:c>
      <x:c r="P1037" s="50" t="n">
        <x:f>MIN(G1037,MAX(0,Inputs!$B$20-O1037-F1037))</x:f>
        <x:v>0</x:v>
      </x:c>
      <x:c r="Q1037" s="50" t="n">
        <x:f>(C1037-E1037-F1037)+(G1037-P1037)</x:f>
        <x:v>0</x:v>
      </x:c>
    </x:row>
    <x:row r="1038">
      <x:c r="A1038" s="41" t="n">
        <x:f>IF(B1038=1,A1037+1,A1037)</x:f>
        <x:v>2066</x:v>
      </x:c>
      <x:c r="B1038" s="41" t="n">
        <x:f>IF(B1037=26,1,B1037+1)</x:f>
        <x:v>23</x:v>
      </x:c>
      <x:c r="C1038" s="48" t="n">
        <x:f>Inputs!$F$42</x:f>
        <x:v>600</x:v>
      </x:c>
      <x:c r="D1038" s="50" t="n">
        <x:f>IF(B1038=1,0,D1037+E1037)</x:f>
        <x:v>8000</x:v>
      </x:c>
      <x:c r="E1038" s="50" t="n">
        <x:f>MIN(C1038,MAX(0,Inputs!$B$7-D1038))</x:f>
        <x:v>0</x:v>
      </x:c>
      <x:c r="F1038" s="50" t="n">
        <x:f>MIN(C1038-E1038,MAX(0,Inputs!$B$20-O1038))</x:f>
        <x:v>600</x:v>
      </x:c>
      <x:c r="G1038" s="50" t="n">
        <x:f>0</x:f>
        <x:v>0</x:v>
      </x:c>
      <x:c r="H1038" s="41" t="n">
        <x:f>0</x:f>
        <x:v>0</x:v>
      </x:c>
      <x:c r="I1038" s="50" t="n">
        <x:f>(I1037*(1+Inputs!$B$12))+E1038</x:f>
        <x:v>1241064.9848164176</x:v>
      </x:c>
      <x:c r="J1038" s="50" t="n">
        <x:f>(J1037*(1+Inputs!$B$12))+F1038+P1038</x:f>
        <x:v>1490870.9387592056</x:v>
      </x:c>
      <x:c r="K1038" s="50" t="n">
        <x:f>(K1037*(1+Inputs!$B$12))*(1-H1038)</x:f>
        <x:v>0</x:v>
      </x:c>
      <x:c r="L1038" s="50" t="n">
        <x:f>L1037*(1+Inputs!$B$13)+Q1038</x:f>
        <x:v>83657.79740954997</x:v>
      </x:c>
      <x:c r="M1038" s="50" t="n">
        <x:f>I1038+J1038+L1038</x:f>
        <x:v>2815593.720985173</x:v>
      </x:c>
      <x:c r="N1038" s="50" t="n">
        <x:f>F1038+P1038</x:f>
        <x:v>600</x:v>
      </x:c>
      <x:c r="O1038" s="50" t="n">
        <x:f>IF(B1038=1,0,O1037+F1037+P1037)</x:f>
        <x:v>8457.142857142857</x:v>
      </x:c>
      <x:c r="P1038" s="50" t="n">
        <x:f>MIN(G1038,MAX(0,Inputs!$B$20-O1038-F1038))</x:f>
        <x:v>0</x:v>
      </x:c>
      <x:c r="Q1038" s="50" t="n">
        <x:f>(C1038-E1038-F1038)+(G1038-P1038)</x:f>
        <x:v>0</x:v>
      </x:c>
    </x:row>
    <x:row r="1039">
      <x:c r="A1039" s="41" t="n">
        <x:f>IF(B1039=1,A1038+1,A1038)</x:f>
        <x:v>2066</x:v>
      </x:c>
      <x:c r="B1039" s="41" t="n">
        <x:f>IF(B1038=26,1,B1038+1)</x:f>
        <x:v>24</x:v>
      </x:c>
      <x:c r="C1039" s="48" t="n">
        <x:f>Inputs!$F$42</x:f>
        <x:v>600</x:v>
      </x:c>
      <x:c r="D1039" s="50" t="n">
        <x:f>IF(B1039=1,0,D1038+E1038)</x:f>
        <x:v>8000</x:v>
      </x:c>
      <x:c r="E1039" s="50" t="n">
        <x:f>MIN(C1039,MAX(0,Inputs!$B$7-D1039))</x:f>
        <x:v>0</x:v>
      </x:c>
      <x:c r="F1039" s="50" t="n">
        <x:f>MIN(C1039-E1039,MAX(0,Inputs!$B$20-O1039))</x:f>
        <x:v>600</x:v>
      </x:c>
      <x:c r="G1039" s="50" t="n">
        <x:f>0</x:f>
        <x:v>0</x:v>
      </x:c>
      <x:c r="H1039" s="41" t="n">
        <x:f>0</x:f>
        <x:v>0</x:v>
      </x:c>
      <x:c r="I1039" s="50" t="n">
        <x:f>(I1038*(1+Inputs!$B$12))+E1039</x:f>
        <x:v>1243396.0853532394</x:v>
      </x:c>
      <x:c r="J1039" s="50" t="n">
        <x:f>(J1038*(1+Inputs!$B$12))+F1039+P1039</x:f>
        <x:v>1494271.2514649804</x:v>
      </x:c>
      <x:c r="K1039" s="50" t="n">
        <x:f>(K1038*(1+Inputs!$B$12))*(1-H1039)</x:f>
        <x:v>0</x:v>
      </x:c>
      <x:c r="L1039" s="50" t="n">
        <x:f>L1038*(1+Inputs!$B$13)+Q1039</x:f>
        <x:v>83804.16963940432</x:v>
      </x:c>
      <x:c r="M1039" s="50" t="n">
        <x:f>I1039+J1039+L1039</x:f>
        <x:v>2821471.5064576245</x:v>
      </x:c>
      <x:c r="N1039" s="50" t="n">
        <x:f>F1039+P1039</x:f>
        <x:v>600</x:v>
      </x:c>
      <x:c r="O1039" s="50" t="n">
        <x:f>IF(B1039=1,0,O1038+F1038+P1038)</x:f>
        <x:v>9057.142857142857</x:v>
      </x:c>
      <x:c r="P1039" s="50" t="n">
        <x:f>MIN(G1039,MAX(0,Inputs!$B$20-O1039-F1039))</x:f>
        <x:v>0</x:v>
      </x:c>
      <x:c r="Q1039" s="50" t="n">
        <x:f>(C1039-E1039-F1039)+(G1039-P1039)</x:f>
        <x:v>0</x:v>
      </x:c>
    </x:row>
    <x:row r="1040">
      <x:c r="A1040" s="41" t="n">
        <x:f>IF(B1040=1,A1039+1,A1039)</x:f>
        <x:v>2066</x:v>
      </x:c>
      <x:c r="B1040" s="41" t="n">
        <x:f>IF(B1039=26,1,B1039+1)</x:f>
        <x:v>25</x:v>
      </x:c>
      <x:c r="C1040" s="48" t="n">
        <x:f>Inputs!$F$42</x:f>
        <x:v>600</x:v>
      </x:c>
      <x:c r="D1040" s="50" t="n">
        <x:f>IF(B1040=1,0,D1039+E1039)</x:f>
        <x:v>8000</x:v>
      </x:c>
      <x:c r="E1040" s="50" t="n">
        <x:f>MIN(C1040,MAX(0,Inputs!$B$7-D1040))</x:f>
        <x:v>0</x:v>
      </x:c>
      <x:c r="F1040" s="50" t="n">
        <x:f>MIN(C1040-E1040,MAX(0,Inputs!$B$20-O1040))</x:f>
        <x:v>600</x:v>
      </x:c>
      <x:c r="G1040" s="50" t="n">
        <x:f>0</x:f>
        <x:v>0</x:v>
      </x:c>
      <x:c r="H1040" s="41" t="n">
        <x:f>0</x:f>
        <x:v>0</x:v>
      </x:c>
      <x:c r="I1040" s="50" t="n">
        <x:f>(I1039*(1+Inputs!$B$12))+E1040</x:f>
        <x:v>1245731.5644115563</x:v>
      </x:c>
      <x:c r="J1040" s="50" t="n">
        <x:f>(J1039*(1+Inputs!$B$12))+F1040+P1040</x:f>
        <x:v>1497677.951000511</x:v>
      </x:c>
      <x:c r="K1040" s="50" t="n">
        <x:f>(K1039*(1+Inputs!$B$12))*(1-H1040)</x:f>
        <x:v>0</x:v>
      </x:c>
      <x:c r="L1040" s="50" t="n">
        <x:f>L1039*(1+Inputs!$B$13)+Q1040</x:f>
        <x:v>83950.7979700686</x:v>
      </x:c>
      <x:c r="M1040" s="50" t="n">
        <x:f>I1040+J1040+L1040</x:f>
        <x:v>2827360.3133821357</x:v>
      </x:c>
      <x:c r="N1040" s="50" t="n">
        <x:f>F1040+P1040</x:f>
        <x:v>600</x:v>
      </x:c>
      <x:c r="O1040" s="50" t="n">
        <x:f>IF(B1040=1,0,O1039+F1039+P1039)</x:f>
        <x:v>9657.142857142857</x:v>
      </x:c>
      <x:c r="P1040" s="50" t="n">
        <x:f>MIN(G1040,MAX(0,Inputs!$B$20-O1040-F1040))</x:f>
        <x:v>0</x:v>
      </x:c>
      <x:c r="Q1040" s="50" t="n">
        <x:f>(C1040-E1040-F1040)+(G1040-P1040)</x:f>
        <x:v>0</x:v>
      </x:c>
    </x:row>
    <x:row r="1041">
      <x:c r="A1041" s="41" t="n">
        <x:f>IF(B1041=1,A1040+1,A1040)</x:f>
        <x:v>2066</x:v>
      </x:c>
      <x:c r="B1041" s="41" t="n">
        <x:f>IF(B1040=26,1,B1040+1)</x:f>
        <x:v>26</x:v>
      </x:c>
      <x:c r="C1041" s="48" t="n">
        <x:f>Inputs!$F$42</x:f>
        <x:v>600</x:v>
      </x:c>
      <x:c r="D1041" s="50" t="n">
        <x:f>IF(B1041=1,0,D1040+E1040)</x:f>
        <x:v>8000</x:v>
      </x:c>
      <x:c r="E1041" s="50" t="n">
        <x:f>MIN(C1041,MAX(0,Inputs!$B$7-D1041))</x:f>
        <x:v>0</x:v>
      </x:c>
      <x:c r="F1041" s="50" t="n">
        <x:f>MIN(C1041-E1041,MAX(0,Inputs!$B$20-O1041))</x:f>
        <x:v>600</x:v>
      </x:c>
      <x:c r="G1041" s="50" t="n">
        <x:f>0</x:f>
        <x:v>0</x:v>
      </x:c>
      <x:c r="H1041" s="41" t="n">
        <x:f>IF(A1041=Inputs!$B$8,1,0)</x:f>
        <x:v>0</x:v>
      </x:c>
      <x:c r="I1041" s="50" t="n">
        <x:f>(I1040*(1+Inputs!$B$12))+E1041</x:f>
        <x:v>1248071.430215574</x:v>
      </x:c>
      <x:c r="J1041" s="50" t="n">
        <x:f>(J1040*(1+Inputs!$B$12))+F1041+P1041</x:f>
        <x:v>1501091.0493622215</x:v>
      </x:c>
      <x:c r="K1041" s="50" t="n">
        <x:f>(K1040*(1+Inputs!$B$12))*(1-H1041)</x:f>
        <x:v>0</x:v>
      </x:c>
      <x:c r="L1041" s="50" t="n">
        <x:f>L1040*(1+Inputs!$B$13)+Q1041</x:f>
        <x:v>84097.68284963068</x:v>
      </x:c>
      <x:c r="M1041" s="50" t="n">
        <x:f>I1041+J1041+L1041</x:f>
        <x:v>2833260.1624274263</x:v>
      </x:c>
      <x:c r="N1041" s="50" t="n">
        <x:f>F1041+P1041</x:f>
        <x:v>600</x:v>
      </x:c>
      <x:c r="O1041" s="50" t="n">
        <x:f>IF(B1041=1,0,O1040+F1040+P1040)</x:f>
        <x:v>10257.142857142857</x:v>
      </x:c>
      <x:c r="P1041" s="50" t="n">
        <x:f>MIN(G1041,MAX(0,Inputs!$B$20-O1041-F1041))</x:f>
        <x:v>0</x:v>
      </x:c>
      <x:c r="Q1041" s="50" t="n">
        <x:f>(C1041-E1041-F1041)+(G1041-P1041)</x:f>
        <x:v>0</x:v>
      </x:c>
    </x:row>
    <x:row r="1042">
      <x:c r="A1042" s="41" t="n">
        <x:f>IF(B1042=1,A1041+1,A1041)</x:f>
        <x:v>2067</x:v>
      </x:c>
      <x:c r="B1042" s="41" t="n">
        <x:f>IF(B1041=26,1,B1041+1)</x:f>
        <x:v>1</x:v>
      </x:c>
      <x:c r="C1042" s="48" t="n">
        <x:f>Inputs!$F$43</x:f>
        <x:v>600</x:v>
      </x:c>
      <x:c r="D1042" s="50" t="n">
        <x:f>IF(B1042=1,0,D1041+E1041)</x:f>
        <x:v>0</x:v>
      </x:c>
      <x:c r="E1042" s="50" t="n">
        <x:f>MIN(C1042,MAX(0,Inputs!$B$7-D1042))</x:f>
        <x:v>600</x:v>
      </x:c>
      <x:c r="F1042" s="50" t="n">
        <x:f>MIN(C1042-E1042,MAX(0,Inputs!$B$20-O1042))</x:f>
        <x:v>0</x:v>
      </x:c>
      <x:c r="G1042" s="50" t="n">
        <x:f>0</x:f>
        <x:v>0</x:v>
      </x:c>
      <x:c r="H1042" s="41" t="n">
        <x:f>0</x:f>
        <x:v>0</x:v>
      </x:c>
      <x:c r="I1042" s="50" t="n">
        <x:f>(I1041*(1+Inputs!$B$12))+E1042</x:f>
        <x:v>1251015.691004946</x:v>
      </x:c>
      <x:c r="J1042" s="50" t="n">
        <x:f>(J1041*(1+Inputs!$B$12))+F1042+P1042</x:f>
        <x:v>1503910.5585690697</x:v>
      </x:c>
      <x:c r="K1042" s="50" t="n">
        <x:f>(K1041*(1+Inputs!$B$12))*(1-H1042)</x:f>
        <x:v>0</x:v>
      </x:c>
      <x:c r="L1042" s="50" t="n">
        <x:f>L1041*(1+Inputs!$B$13)+Q1042</x:f>
        <x:v>84244.82472696248</x:v>
      </x:c>
      <x:c r="M1042" s="50" t="n">
        <x:f>I1042+J1042+L1042</x:f>
        <x:v>2839171.0743009783</x:v>
      </x:c>
      <x:c r="N1042" s="50" t="n">
        <x:f>F1042+P1042</x:f>
        <x:v>0</x:v>
      </x:c>
      <x:c r="O1042" s="50" t="n">
        <x:f>IF(B1042=1,0,O1041+F1041+P1041)</x:f>
        <x:v>0</x:v>
      </x:c>
      <x:c r="P1042" s="50" t="n">
        <x:f>MIN(G1042,MAX(0,Inputs!$B$20-O1042-F1042))</x:f>
        <x:v>0</x:v>
      </x:c>
      <x:c r="Q1042" s="50" t="n">
        <x:f>(C1042-E1042-F1042)+(G1042-P1042)</x:f>
        <x:v>0</x:v>
      </x:c>
    </x:row>
    <x:row r="1043">
      <x:c r="A1043" s="41" t="n">
        <x:f>IF(B1043=1,A1042+1,A1042)</x:f>
        <x:v>2067</x:v>
      </x:c>
      <x:c r="B1043" s="41" t="n">
        <x:f>IF(B1042=26,1,B1042+1)</x:f>
        <x:v>2</x:v>
      </x:c>
      <x:c r="C1043" s="48" t="n">
        <x:f>Inputs!$F$43</x:f>
        <x:v>600</x:v>
      </x:c>
      <x:c r="D1043" s="50" t="n">
        <x:f>IF(B1043=1,0,D1042+E1042)</x:f>
        <x:v>600</x:v>
      </x:c>
      <x:c r="E1043" s="50" t="n">
        <x:f>MIN(C1043,MAX(0,Inputs!$B$7-D1043))</x:f>
        <x:v>600</x:v>
      </x:c>
      <x:c r="F1043" s="50" t="n">
        <x:f>MIN(C1043-E1043,MAX(0,Inputs!$B$20-O1043))</x:f>
        <x:v>0</x:v>
      </x:c>
      <x:c r="G1043" s="50" t="n">
        <x:f>0</x:f>
        <x:v>0</x:v>
      </x:c>
      <x:c r="H1043" s="41" t="n">
        <x:f>0</x:f>
        <x:v>0</x:v>
      </x:c>
      <x:c r="I1043" s="50" t="n">
        <x:f>(I1042*(1+Inputs!$B$12))+E1043</x:f>
        <x:v>1253965.4820187546</x:v>
      </x:c>
      <x:c r="J1043" s="50" t="n">
        <x:f>(J1042*(1+Inputs!$B$12))+F1043+P1043</x:f>
        <x:v>1506735.3636786353</x:v>
      </x:c>
      <x:c r="K1043" s="50" t="n">
        <x:f>(K1042*(1+Inputs!$B$12))*(1-H1043)</x:f>
        <x:v>0</x:v>
      </x:c>
      <x:c r="L1043" s="50" t="n">
        <x:f>L1042*(1+Inputs!$B$13)+Q1043</x:f>
        <x:v>84392.22405172126</x:v>
      </x:c>
      <x:c r="M1043" s="50" t="n">
        <x:f>I1043+J1043+L1043</x:f>
        <x:v>2845093.0697491113</x:v>
      </x:c>
      <x:c r="N1043" s="50" t="n">
        <x:f>F1043+P1043</x:f>
        <x:v>0</x:v>
      </x:c>
      <x:c r="O1043" s="50" t="n">
        <x:f>IF(B1043=1,0,O1042+F1042+P1042)</x:f>
        <x:v>0</x:v>
      </x:c>
      <x:c r="P1043" s="50" t="n">
        <x:f>MIN(G1043,MAX(0,Inputs!$B$20-O1043-F1043))</x:f>
        <x:v>0</x:v>
      </x:c>
      <x:c r="Q1043" s="50" t="n">
        <x:f>(C1043-E1043-F1043)+(G1043-P1043)</x:f>
        <x:v>0</x:v>
      </x:c>
    </x:row>
    <x:row r="1044">
      <x:c r="A1044" s="41" t="n">
        <x:f>IF(B1044=1,A1043+1,A1043)</x:f>
        <x:v>2067</x:v>
      </x:c>
      <x:c r="B1044" s="41" t="n">
        <x:f>IF(B1043=26,1,B1043+1)</x:f>
        <x:v>3</x:v>
      </x:c>
      <x:c r="C1044" s="48" t="n">
        <x:f>Inputs!$F$43</x:f>
        <x:v>600</x:v>
      </x:c>
      <x:c r="D1044" s="50" t="n">
        <x:f>IF(B1044=1,0,D1043+E1043)</x:f>
        <x:v>1200</x:v>
      </x:c>
      <x:c r="E1044" s="50" t="n">
        <x:f>MIN(C1044,MAX(0,Inputs!$B$7-D1044))</x:f>
        <x:v>600</x:v>
      </x:c>
      <x:c r="F1044" s="50" t="n">
        <x:f>MIN(C1044-E1044,MAX(0,Inputs!$B$20-O1044))</x:f>
        <x:v>0</x:v>
      </x:c>
      <x:c r="G1044" s="50" t="n">
        <x:f>0</x:f>
        <x:v>0</x:v>
      </x:c>
      <x:c r="H1044" s="41" t="n">
        <x:f>0</x:f>
        <x:v>0</x:v>
      </x:c>
      <x:c r="I1044" s="50" t="n">
        <x:f>(I1043*(1+Inputs!$B$12))+E1044</x:f>
        <x:v>1256920.813644457</x:v>
      </x:c>
      <x:c r="J1044" s="50" t="n">
        <x:f>(J1043*(1+Inputs!$B$12))+F1044+P1044</x:f>
        <x:v>1509565.4746382474</x:v>
      </x:c>
      <x:c r="K1044" s="50" t="n">
        <x:f>(K1043*(1+Inputs!$B$12))*(1-H1044)</x:f>
        <x:v>0</x:v>
      </x:c>
      <x:c r="L1044" s="50" t="n">
        <x:f>L1043*(1+Inputs!$B$13)+Q1044</x:f>
        <x:v>84539.88127435104</x:v>
      </x:c>
      <x:c r="M1044" s="50" t="n">
        <x:f>I1044+J1044+L1044</x:f>
        <x:v>2851026.1695570555</x:v>
      </x:c>
      <x:c r="N1044" s="50" t="n">
        <x:f>F1044+P1044</x:f>
        <x:v>0</x:v>
      </x:c>
      <x:c r="O1044" s="50" t="n">
        <x:f>IF(B1044=1,0,O1043+F1043+P1043)</x:f>
        <x:v>0</x:v>
      </x:c>
      <x:c r="P1044" s="50" t="n">
        <x:f>MIN(G1044,MAX(0,Inputs!$B$20-O1044-F1044))</x:f>
        <x:v>0</x:v>
      </x:c>
      <x:c r="Q1044" s="50" t="n">
        <x:f>(C1044-E1044-F1044)+(G1044-P1044)</x:f>
        <x:v>0</x:v>
      </x:c>
    </x:row>
    <x:row r="1045">
      <x:c r="A1045" s="41" t="n">
        <x:f>IF(B1045=1,A1044+1,A1044)</x:f>
        <x:v>2067</x:v>
      </x:c>
      <x:c r="B1045" s="41" t="n">
        <x:f>IF(B1044=26,1,B1044+1)</x:f>
        <x:v>4</x:v>
      </x:c>
      <x:c r="C1045" s="48" t="n">
        <x:f>Inputs!$F$43</x:f>
        <x:v>600</x:v>
      </x:c>
      <x:c r="D1045" s="50" t="n">
        <x:f>IF(B1045=1,0,D1044+E1044)</x:f>
        <x:v>1800</x:v>
      </x:c>
      <x:c r="E1045" s="50" t="n">
        <x:f>MIN(C1045,MAX(0,Inputs!$B$7-D1045))</x:f>
        <x:v>600</x:v>
      </x:c>
      <x:c r="F1045" s="50" t="n">
        <x:f>MIN(C1045-E1045,MAX(0,Inputs!$B$20-O1045))</x:f>
        <x:v>0</x:v>
      </x:c>
      <x:c r="G1045" s="50" t="n">
        <x:f>0</x:f>
        <x:v>0</x:v>
      </x:c>
      <x:c r="H1045" s="41" t="n">
        <x:f>0</x:f>
        <x:v>0</x:v>
      </x:c>
      <x:c r="I1045" s="50" t="n">
        <x:f>(I1044*(1+Inputs!$B$12))+E1045</x:f>
        <x:v>1259881.6962890208</x:v>
      </x:c>
      <x:c r="J1045" s="50" t="n">
        <x:f>(J1044*(1+Inputs!$B$12))+F1045+P1045</x:f>
        <x:v>1512400.901413919</x:v>
      </x:c>
      <x:c r="K1045" s="50" t="n">
        <x:f>(K1044*(1+Inputs!$B$12))*(1-H1045)</x:f>
        <x:v>0</x:v>
      </x:c>
      <x:c r="L1045" s="50" t="n">
        <x:f>L1044*(1+Inputs!$B$13)+Q1045</x:f>
        <x:v>84687.79684608395</x:v>
      </x:c>
      <x:c r="M1045" s="50" t="n">
        <x:f>I1045+J1045+L1045</x:f>
        <x:v>2856970.394549024</x:v>
      </x:c>
      <x:c r="N1045" s="50" t="n">
        <x:f>F1045+P1045</x:f>
        <x:v>0</x:v>
      </x:c>
      <x:c r="O1045" s="50" t="n">
        <x:f>IF(B1045=1,0,O1044+F1044+P1044)</x:f>
        <x:v>0</x:v>
      </x:c>
      <x:c r="P1045" s="50" t="n">
        <x:f>MIN(G1045,MAX(0,Inputs!$B$20-O1045-F1045))</x:f>
        <x:v>0</x:v>
      </x:c>
      <x:c r="Q1045" s="50" t="n">
        <x:f>(C1045-E1045-F1045)+(G1045-P1045)</x:f>
        <x:v>0</x:v>
      </x:c>
    </x:row>
    <x:row r="1046">
      <x:c r="A1046" s="41" t="n">
        <x:f>IF(B1046=1,A1045+1,A1045)</x:f>
        <x:v>2067</x:v>
      </x:c>
      <x:c r="B1046" s="41" t="n">
        <x:f>IF(B1045=26,1,B1045+1)</x:f>
        <x:v>5</x:v>
      </x:c>
      <x:c r="C1046" s="48" t="n">
        <x:f>Inputs!$F$43</x:f>
        <x:v>600</x:v>
      </x:c>
      <x:c r="D1046" s="50" t="n">
        <x:f>IF(B1046=1,0,D1045+E1045)</x:f>
        <x:v>2400</x:v>
      </x:c>
      <x:c r="E1046" s="50" t="n">
        <x:f>MIN(C1046,MAX(0,Inputs!$B$7-D1046))</x:f>
        <x:v>600</x:v>
      </x:c>
      <x:c r="F1046" s="50" t="n">
        <x:f>MIN(C1046-E1046,MAX(0,Inputs!$B$20-O1046))</x:f>
        <x:v>0</x:v>
      </x:c>
      <x:c r="G1046" s="50" t="n">
        <x:f>0</x:f>
        <x:v>0</x:v>
      </x:c>
      <x:c r="H1046" s="41" t="n">
        <x:f>0</x:f>
        <x:v>0</x:v>
      </x:c>
      <x:c r="I1046" s="50" t="n">
        <x:f>(I1045*(1+Inputs!$B$12))+E1046</x:f>
        <x:v>1262848.1403789616</x:v>
      </x:c>
      <x:c r="J1046" s="50" t="n">
        <x:f>(J1045*(1+Inputs!$B$12))+F1046+P1046</x:f>
        <x:v>1515241.6539903823</x:v>
      </x:c>
      <x:c r="K1046" s="50" t="n">
        <x:f>(K1045*(1+Inputs!$B$12))*(1-H1046)</x:f>
        <x:v>0</x:v>
      </x:c>
      <x:c r="L1046" s="50" t="n">
        <x:f>L1045*(1+Inputs!$B$13)+Q1046</x:f>
        <x:v>84835.97121894162</x:v>
      </x:c>
      <x:c r="M1046" s="50" t="n">
        <x:f>I1046+J1046+L1046</x:f>
        <x:v>2862925.7655882854</x:v>
      </x:c>
      <x:c r="N1046" s="50" t="n">
        <x:f>F1046+P1046</x:f>
        <x:v>0</x:v>
      </x:c>
      <x:c r="O1046" s="50" t="n">
        <x:f>IF(B1046=1,0,O1045+F1045+P1045)</x:f>
        <x:v>0</x:v>
      </x:c>
      <x:c r="P1046" s="50" t="n">
        <x:f>MIN(G1046,MAX(0,Inputs!$B$20-O1046-F1046))</x:f>
        <x:v>0</x:v>
      </x:c>
      <x:c r="Q1046" s="50" t="n">
        <x:f>(C1046-E1046-F1046)+(G1046-P1046)</x:f>
        <x:v>0</x:v>
      </x:c>
    </x:row>
    <x:row r="1047">
      <x:c r="A1047" s="41" t="n">
        <x:f>IF(B1047=1,A1046+1,A1046)</x:f>
        <x:v>2067</x:v>
      </x:c>
      <x:c r="B1047" s="41" t="n">
        <x:f>IF(B1046=26,1,B1046+1)</x:f>
        <x:v>6</x:v>
      </x:c>
      <x:c r="C1047" s="48" t="n">
        <x:f>Inputs!$F$43</x:f>
        <x:v>600</x:v>
      </x:c>
      <x:c r="D1047" s="50" t="n">
        <x:f>IF(B1047=1,0,D1046+E1046)</x:f>
        <x:v>3000</x:v>
      </x:c>
      <x:c r="E1047" s="50" t="n">
        <x:f>MIN(C1047,MAX(0,Inputs!$B$7-D1047))</x:f>
        <x:v>600</x:v>
      </x:c>
      <x:c r="F1047" s="50" t="n">
        <x:f>MIN(C1047-E1047,MAX(0,Inputs!$B$20-O1047))</x:f>
        <x:v>0</x:v>
      </x:c>
      <x:c r="G1047" s="50" t="n">
        <x:f>0</x:f>
        <x:v>0</x:v>
      </x:c>
      <x:c r="H1047" s="41" t="n">
        <x:f>0</x:f>
        <x:v>0</x:v>
      </x:c>
      <x:c r="I1047" s="50" t="n">
        <x:f>(I1046*(1+Inputs!$B$12))+E1047</x:f>
        <x:v>1265820.1563603787</x:v>
      </x:c>
      <x:c r="J1047" s="50" t="n">
        <x:f>(J1046*(1+Inputs!$B$12))+F1047+P1047</x:f>
        <x:v>1518087.7423711244</x:v>
      </x:c>
      <x:c r="K1047" s="50" t="n">
        <x:f>(K1046*(1+Inputs!$B$12))*(1-H1047)</x:f>
        <x:v>0</x:v>
      </x:c>
      <x:c r="L1047" s="50" t="n">
        <x:f>L1046*(1+Inputs!$B$13)+Q1047</x:f>
        <x:v>84984.40484573657</x:v>
      </x:c>
      <x:c r="M1047" s="50" t="n">
        <x:f>I1047+J1047+L1047</x:f>
        <x:v>2868892.3035772396</x:v>
      </x:c>
      <x:c r="N1047" s="50" t="n">
        <x:f>F1047+P1047</x:f>
        <x:v>0</x:v>
      </x:c>
      <x:c r="O1047" s="50" t="n">
        <x:f>IF(B1047=1,0,O1046+F1046+P1046)</x:f>
        <x:v>0</x:v>
      </x:c>
      <x:c r="P1047" s="50" t="n">
        <x:f>MIN(G1047,MAX(0,Inputs!$B$20-O1047-F1047))</x:f>
        <x:v>0</x:v>
      </x:c>
      <x:c r="Q1047" s="50" t="n">
        <x:f>(C1047-E1047-F1047)+(G1047-P1047)</x:f>
        <x:v>0</x:v>
      </x:c>
    </x:row>
    <x:row r="1048">
      <x:c r="A1048" s="41" t="n">
        <x:f>IF(B1048=1,A1047+1,A1047)</x:f>
        <x:v>2067</x:v>
      </x:c>
      <x:c r="B1048" s="41" t="n">
        <x:f>IF(B1047=26,1,B1047+1)</x:f>
        <x:v>7</x:v>
      </x:c>
      <x:c r="C1048" s="48" t="n">
        <x:f>Inputs!$F$43</x:f>
        <x:v>600</x:v>
      </x:c>
      <x:c r="D1048" s="50" t="n">
        <x:f>IF(B1048=1,0,D1047+E1047)</x:f>
        <x:v>3600</x:v>
      </x:c>
      <x:c r="E1048" s="50" t="n">
        <x:f>MIN(C1048,MAX(0,Inputs!$B$7-D1048))</x:f>
        <x:v>600</x:v>
      </x:c>
      <x:c r="F1048" s="50" t="n">
        <x:f>MIN(C1048-E1048,MAX(0,Inputs!$B$20-O1048))</x:f>
        <x:v>0</x:v>
      </x:c>
      <x:c r="G1048" s="50" t="n">
        <x:f>0</x:f>
        <x:v>0</x:v>
      </x:c>
      <x:c r="H1048" s="41" t="n">
        <x:f>0</x:f>
        <x:v>0</x:v>
      </x:c>
      <x:c r="I1048" s="50" t="n">
        <x:f>(I1047*(1+Inputs!$B$12))+E1048</x:f>
        <x:v>1268797.7546989927</x:v>
      </x:c>
      <x:c r="J1048" s="50" t="n">
        <x:f>(J1047*(1+Inputs!$B$12))+F1048+P1048</x:f>
        <x:v>1520939.1765784214</x:v>
      </x:c>
      <x:c r="K1048" s="50" t="n">
        <x:f>(K1047*(1+Inputs!$B$12))*(1-H1048)</x:f>
        <x:v>0</x:v>
      </x:c>
      <x:c r="L1048" s="50" t="n">
        <x:f>L1047*(1+Inputs!$B$13)+Q1048</x:f>
        <x:v>85133.09818007358</x:v>
      </x:c>
      <x:c r="M1048" s="50" t="n">
        <x:f>I1048+J1048+L1048</x:f>
        <x:v>2874870.0294574876</x:v>
      </x:c>
      <x:c r="N1048" s="50" t="n">
        <x:f>F1048+P1048</x:f>
        <x:v>0</x:v>
      </x:c>
      <x:c r="O1048" s="50" t="n">
        <x:f>IF(B1048=1,0,O1047+F1047+P1047)</x:f>
        <x:v>0</x:v>
      </x:c>
      <x:c r="P1048" s="50" t="n">
        <x:f>MIN(G1048,MAX(0,Inputs!$B$20-O1048-F1048))</x:f>
        <x:v>0</x:v>
      </x:c>
      <x:c r="Q1048" s="50" t="n">
        <x:f>(C1048-E1048-F1048)+(G1048-P1048)</x:f>
        <x:v>0</x:v>
      </x:c>
    </x:row>
    <x:row r="1049">
      <x:c r="A1049" s="41" t="n">
        <x:f>IF(B1049=1,A1048+1,A1048)</x:f>
        <x:v>2067</x:v>
      </x:c>
      <x:c r="B1049" s="41" t="n">
        <x:f>IF(B1048=26,1,B1048+1)</x:f>
        <x:v>8</x:v>
      </x:c>
      <x:c r="C1049" s="48" t="n">
        <x:f>Inputs!$F$43</x:f>
        <x:v>600</x:v>
      </x:c>
      <x:c r="D1049" s="50" t="n">
        <x:f>IF(B1049=1,0,D1048+E1048)</x:f>
        <x:v>4200</x:v>
      </x:c>
      <x:c r="E1049" s="50" t="n">
        <x:f>MIN(C1049,MAX(0,Inputs!$B$7-D1049))</x:f>
        <x:v>600</x:v>
      </x:c>
      <x:c r="F1049" s="50" t="n">
        <x:f>MIN(C1049-E1049,MAX(0,Inputs!$B$20-O1049))</x:f>
        <x:v>0</x:v>
      </x:c>
      <x:c r="G1049" s="50" t="n">
        <x:f>0</x:f>
        <x:v>0</x:v>
      </x:c>
      <x:c r="H1049" s="41" t="n">
        <x:f>0</x:f>
        <x:v>0</x:v>
      </x:c>
      <x:c r="I1049" s="50" t="n">
        <x:f>(I1048*(1+Inputs!$B$12))+E1049</x:f>
        <x:v>1271780.9458801819</x:v>
      </x:c>
      <x:c r="J1049" s="50" t="n">
        <x:f>(J1048*(1+Inputs!$B$12))+F1049+P1049</x:f>
        <x:v>1523795.9666533745</x:v>
      </x:c>
      <x:c r="K1049" s="50" t="n">
        <x:f>(K1048*(1+Inputs!$B$12))*(1-H1049)</x:f>
        <x:v>0</x:v>
      </x:c>
      <x:c r="L1049" s="50" t="n">
        <x:f>L1048*(1+Inputs!$B$13)+Q1049</x:f>
        <x:v>85282.05167635108</x:v>
      </x:c>
      <x:c r="M1049" s="50" t="n">
        <x:f>I1049+J1049+L1049</x:f>
        <x:v>2880858.964209907</x:v>
      </x:c>
      <x:c r="N1049" s="50" t="n">
        <x:f>F1049+P1049</x:f>
        <x:v>0</x:v>
      </x:c>
      <x:c r="O1049" s="50" t="n">
        <x:f>IF(B1049=1,0,O1048+F1048+P1048)</x:f>
        <x:v>0</x:v>
      </x:c>
      <x:c r="P1049" s="50" t="n">
        <x:f>MIN(G1049,MAX(0,Inputs!$B$20-O1049-F1049))</x:f>
        <x:v>0</x:v>
      </x:c>
      <x:c r="Q1049" s="50" t="n">
        <x:f>(C1049-E1049-F1049)+(G1049-P1049)</x:f>
        <x:v>0</x:v>
      </x:c>
    </x:row>
    <x:row r="1050">
      <x:c r="A1050" s="41" t="n">
        <x:f>IF(B1050=1,A1049+1,A1049)</x:f>
        <x:v>2067</x:v>
      </x:c>
      <x:c r="B1050" s="41" t="n">
        <x:f>IF(B1049=26,1,B1049+1)</x:f>
        <x:v>9</x:v>
      </x:c>
      <x:c r="C1050" s="48" t="n">
        <x:f>Inputs!$F$43</x:f>
        <x:v>600</x:v>
      </x:c>
      <x:c r="D1050" s="50" t="n">
        <x:f>IF(B1050=1,0,D1049+E1049)</x:f>
        <x:v>4800</x:v>
      </x:c>
      <x:c r="E1050" s="50" t="n">
        <x:f>MIN(C1050,MAX(0,Inputs!$B$7-D1050))</x:f>
        <x:v>600</x:v>
      </x:c>
      <x:c r="F1050" s="50" t="n">
        <x:f>MIN(C1050-E1050,MAX(0,Inputs!$B$20-O1050))</x:f>
        <x:v>0</x:v>
      </x:c>
      <x:c r="G1050" s="50" t="n">
        <x:f>SUM(N1016:N1041)*Inputs!$B$6</x:f>
        <x:v>3257.142857142857</x:v>
      </x:c>
      <x:c r="H1050" s="41" t="n">
        <x:f>0</x:f>
        <x:v>0</x:v>
      </x:c>
      <x:c r="I1050" s="50" t="n">
        <x:f>(I1049*(1+Inputs!$B$12))+E1050</x:f>
        <x:v>1274769.7404090192</x:v>
      </x:c>
      <x:c r="J1050" s="50" t="n">
        <x:f>(J1049*(1+Inputs!$B$12))+F1050+P1050</x:f>
        <x:v>1529915.265513088</x:v>
      </x:c>
      <x:c r="K1050" s="50" t="n">
        <x:f>(K1049*(1+Inputs!$B$12))*(1-H1050)</x:f>
        <x:v>0</x:v>
      </x:c>
      <x:c r="L1050" s="50" t="n">
        <x:f>L1049*(1+Inputs!$B$13)+Q1050</x:f>
        <x:v>85431.26578976255</x:v>
      </x:c>
      <x:c r="M1050" s="50" t="n">
        <x:f>I1050+J1050+L1050</x:f>
        <x:v>2890116.2717118696</x:v>
      </x:c>
      <x:c r="N1050" s="50" t="n">
        <x:f>F1050+P1050</x:f>
        <x:v>3257.142857142857</x:v>
      </x:c>
      <x:c r="O1050" s="50" t="n">
        <x:f>IF(B1050=1,0,O1049+F1049+P1049)</x:f>
        <x:v>0</x:v>
      </x:c>
      <x:c r="P1050" s="50" t="n">
        <x:f>MIN(G1050,MAX(0,Inputs!$B$20-O1050-F1050))</x:f>
        <x:v>3257.142857142857</x:v>
      </x:c>
      <x:c r="Q1050" s="50" t="n">
        <x:f>(C1050-E1050-F1050)+(G1050-P1050)</x:f>
        <x:v>0</x:v>
      </x:c>
    </x:row>
    <x:row r="1051">
      <x:c r="A1051" s="41" t="n">
        <x:f>IF(B1051=1,A1050+1,A1050)</x:f>
        <x:v>2067</x:v>
      </x:c>
      <x:c r="B1051" s="41" t="n">
        <x:f>IF(B1050=26,1,B1050+1)</x:f>
        <x:v>10</x:v>
      </x:c>
      <x:c r="C1051" s="48" t="n">
        <x:f>Inputs!$F$43</x:f>
        <x:v>600</x:v>
      </x:c>
      <x:c r="D1051" s="50" t="n">
        <x:f>IF(B1051=1,0,D1050+E1050)</x:f>
        <x:v>5400</x:v>
      </x:c>
      <x:c r="E1051" s="50" t="n">
        <x:f>MIN(C1051,MAX(0,Inputs!$B$7-D1051))</x:f>
        <x:v>600</x:v>
      </x:c>
      <x:c r="F1051" s="50" t="n">
        <x:f>MIN(C1051-E1051,MAX(0,Inputs!$B$20-O1051))</x:f>
        <x:v>0</x:v>
      </x:c>
      <x:c r="G1051" s="50" t="n">
        <x:f>0</x:f>
        <x:v>0</x:v>
      </x:c>
      <x:c r="H1051" s="41" t="n">
        <x:f>0</x:f>
        <x:v>0</x:v>
      </x:c>
      <x:c r="I1051" s="50" t="n">
        <x:f>(I1050*(1+Inputs!$B$12))+E1051</x:f>
        <x:v>1277764.1488103096</x:v>
      </x:c>
      <x:c r="J1051" s="50" t="n">
        <x:f>(J1050*(1+Inputs!$B$12))+F1051+P1051</x:f>
        <x:v>1532788.9154350194</x:v>
      </x:c>
      <x:c r="K1051" s="50" t="n">
        <x:f>(K1050*(1+Inputs!$B$12))*(1-H1051)</x:f>
        <x:v>0</x:v>
      </x:c>
      <x:c r="L1051" s="50" t="n">
        <x:f>L1050*(1+Inputs!$B$13)+Q1051</x:f>
        <x:v>85580.74097629788</x:v>
      </x:c>
      <x:c r="M1051" s="50" t="n">
        <x:f>I1051+J1051+L1051</x:f>
        <x:v>2896133.805221627</x:v>
      </x:c>
      <x:c r="N1051" s="50" t="n">
        <x:f>F1051+P1051</x:f>
        <x:v>0</x:v>
      </x:c>
      <x:c r="O1051" s="50" t="n">
        <x:f>IF(B1051=1,0,O1050+F1050+P1050)</x:f>
        <x:v>3257.142857142857</x:v>
      </x:c>
      <x:c r="P1051" s="50" t="n">
        <x:f>MIN(G1051,MAX(0,Inputs!$B$20-O1051-F1051))</x:f>
        <x:v>0</x:v>
      </x:c>
      <x:c r="Q1051" s="50" t="n">
        <x:f>(C1051-E1051-F1051)+(G1051-P1051)</x:f>
        <x:v>0</x:v>
      </x:c>
    </x:row>
    <x:row r="1052">
      <x:c r="A1052" s="41" t="n">
        <x:f>IF(B1052=1,A1051+1,A1051)</x:f>
        <x:v>2067</x:v>
      </x:c>
      <x:c r="B1052" s="41" t="n">
        <x:f>IF(B1051=26,1,B1051+1)</x:f>
        <x:v>11</x:v>
      </x:c>
      <x:c r="C1052" s="48" t="n">
        <x:f>Inputs!$F$43</x:f>
        <x:v>600</x:v>
      </x:c>
      <x:c r="D1052" s="50" t="n">
        <x:f>IF(B1052=1,0,D1051+E1051)</x:f>
        <x:v>6000</x:v>
      </x:c>
      <x:c r="E1052" s="50" t="n">
        <x:f>MIN(C1052,MAX(0,Inputs!$B$7-D1052))</x:f>
        <x:v>600</x:v>
      </x:c>
      <x:c r="F1052" s="50" t="n">
        <x:f>MIN(C1052-E1052,MAX(0,Inputs!$B$20-O1052))</x:f>
        <x:v>0</x:v>
      </x:c>
      <x:c r="G1052" s="50" t="n">
        <x:f>0</x:f>
        <x:v>0</x:v>
      </x:c>
      <x:c r="H1052" s="41" t="n">
        <x:f>0</x:f>
        <x:v>0</x:v>
      </x:c>
      <x:c r="I1052" s="50" t="n">
        <x:f>(I1051*(1+Inputs!$B$12))+E1052</x:f>
        <x:v>1280764.1816286265</x:v>
      </x:c>
      <x:c r="J1052" s="50" t="n">
        <x:f>(J1051*(1+Inputs!$B$12))+F1052+P1052</x:f>
        <x:v>1535667.96295253</x:v>
      </x:c>
      <x:c r="K1052" s="50" t="n">
        <x:f>(K1051*(1+Inputs!$B$12))*(1-H1052)</x:f>
        <x:v>0</x:v>
      </x:c>
      <x:c r="L1052" s="50" t="n">
        <x:f>L1051*(1+Inputs!$B$13)+Q1052</x:f>
        <x:v>85730.47769274481</x:v>
      </x:c>
      <x:c r="M1052" s="50" t="n">
        <x:f>I1052+J1052+L1052</x:f>
        <x:v>2902162.6222739015</x:v>
      </x:c>
      <x:c r="N1052" s="50" t="n">
        <x:f>F1052+P1052</x:f>
        <x:v>0</x:v>
      </x:c>
      <x:c r="O1052" s="50" t="n">
        <x:f>IF(B1052=1,0,O1051+F1051+P1051)</x:f>
        <x:v>3257.142857142857</x:v>
      </x:c>
      <x:c r="P1052" s="50" t="n">
        <x:f>MIN(G1052,MAX(0,Inputs!$B$20-O1052-F1052))</x:f>
        <x:v>0</x:v>
      </x:c>
      <x:c r="Q1052" s="50" t="n">
        <x:f>(C1052-E1052-F1052)+(G1052-P1052)</x:f>
        <x:v>0</x:v>
      </x:c>
    </x:row>
    <x:row r="1053">
      <x:c r="A1053" s="41" t="n">
        <x:f>IF(B1053=1,A1052+1,A1052)</x:f>
        <x:v>2067</x:v>
      </x:c>
      <x:c r="B1053" s="41" t="n">
        <x:f>IF(B1052=26,1,B1052+1)</x:f>
        <x:v>12</x:v>
      </x:c>
      <x:c r="C1053" s="48" t="n">
        <x:f>Inputs!$F$43</x:f>
        <x:v>600</x:v>
      </x:c>
      <x:c r="D1053" s="50" t="n">
        <x:f>IF(B1053=1,0,D1052+E1052)</x:f>
        <x:v>6600</x:v>
      </x:c>
      <x:c r="E1053" s="50" t="n">
        <x:f>MIN(C1053,MAX(0,Inputs!$B$7-D1053))</x:f>
        <x:v>600</x:v>
      </x:c>
      <x:c r="F1053" s="50" t="n">
        <x:f>MIN(C1053-E1053,MAX(0,Inputs!$B$20-O1053))</x:f>
        <x:v>0</x:v>
      </x:c>
      <x:c r="G1053" s="50" t="n">
        <x:f>0</x:f>
        <x:v>0</x:v>
      </x:c>
      <x:c r="H1053" s="41" t="n">
        <x:f>0</x:f>
        <x:v>0</x:v>
      </x:c>
      <x:c r="I1053" s="50" t="n">
        <x:f>(I1052*(1+Inputs!$B$12))+E1053</x:f>
        <x:v>1283769.8494283496</x:v>
      </x:c>
      <x:c r="J1053" s="50" t="n">
        <x:f>(J1052*(1+Inputs!$B$12))+F1053+P1053</x:f>
        <x:v>1538552.4182039592</x:v>
      </x:c>
      <x:c r="K1053" s="50" t="n">
        <x:f>(K1052*(1+Inputs!$B$12))*(1-H1053)</x:f>
        <x:v>0</x:v>
      </x:c>
      <x:c r="L1053" s="50" t="n">
        <x:f>L1052*(1+Inputs!$B$13)+Q1053</x:f>
        <x:v>85880.4763966903</x:v>
      </x:c>
      <x:c r="M1053" s="50" t="n">
        <x:f>I1053+J1053+L1053</x:f>
        <x:v>2908202.744028999</x:v>
      </x:c>
      <x:c r="N1053" s="50" t="n">
        <x:f>F1053+P1053</x:f>
        <x:v>0</x:v>
      </x:c>
      <x:c r="O1053" s="50" t="n">
        <x:f>IF(B1053=1,0,O1052+F1052+P1052)</x:f>
        <x:v>3257.142857142857</x:v>
      </x:c>
      <x:c r="P1053" s="50" t="n">
        <x:f>MIN(G1053,MAX(0,Inputs!$B$20-O1053-F1053))</x:f>
        <x:v>0</x:v>
      </x:c>
      <x:c r="Q1053" s="50" t="n">
        <x:f>(C1053-E1053-F1053)+(G1053-P1053)</x:f>
        <x:v>0</x:v>
      </x:c>
    </x:row>
    <x:row r="1054">
      <x:c r="A1054" s="41" t="n">
        <x:f>IF(B1054=1,A1053+1,A1053)</x:f>
        <x:v>2067</x:v>
      </x:c>
      <x:c r="B1054" s="41" t="n">
        <x:f>IF(B1053=26,1,B1053+1)</x:f>
        <x:v>13</x:v>
      </x:c>
      <x:c r="C1054" s="48" t="n">
        <x:f>Inputs!$F$43</x:f>
        <x:v>600</x:v>
      </x:c>
      <x:c r="D1054" s="50" t="n">
        <x:f>IF(B1054=1,0,D1053+E1053)</x:f>
        <x:v>7200</x:v>
      </x:c>
      <x:c r="E1054" s="50" t="n">
        <x:f>MIN(C1054,MAX(0,Inputs!$B$7-D1054))</x:f>
        <x:v>600</x:v>
      </x:c>
      <x:c r="F1054" s="50" t="n">
        <x:f>MIN(C1054-E1054,MAX(0,Inputs!$B$20-O1054))</x:f>
        <x:v>0</x:v>
      </x:c>
      <x:c r="G1054" s="50" t="n">
        <x:f>0</x:f>
        <x:v>0</x:v>
      </x:c>
      <x:c r="H1054" s="41" t="n">
        <x:f>0</x:f>
        <x:v>0</x:v>
      </x:c>
      <x:c r="I1054" s="50" t="n">
        <x:f>(I1053*(1+Inputs!$B$12))+E1054</x:f>
        <x:v>1286781.1627937015</x:v>
      </x:c>
      <x:c r="J1054" s="50" t="n">
        <x:f>(J1053*(1+Inputs!$B$12))+F1054+P1054</x:f>
        <x:v>1541442.2913466895</x:v>
      </x:c>
      <x:c r="K1054" s="50" t="n">
        <x:f>(K1053*(1+Inputs!$B$12))*(1-H1054)</x:f>
        <x:v>0</x:v>
      </x:c>
      <x:c r="L1054" s="50" t="n">
        <x:f>L1053*(1+Inputs!$B$13)+Q1054</x:f>
        <x:v>86030.7375465219</x:v>
      </x:c>
      <x:c r="M1054" s="50" t="n">
        <x:f>I1054+J1054+L1054</x:f>
        <x:v>2914254.191686913</x:v>
      </x:c>
      <x:c r="N1054" s="50" t="n">
        <x:f>F1054+P1054</x:f>
        <x:v>0</x:v>
      </x:c>
      <x:c r="O1054" s="50" t="n">
        <x:f>IF(B1054=1,0,O1053+F1053+P1053)</x:f>
        <x:v>3257.142857142857</x:v>
      </x:c>
      <x:c r="P1054" s="50" t="n">
        <x:f>MIN(G1054,MAX(0,Inputs!$B$20-O1054-F1054))</x:f>
        <x:v>0</x:v>
      </x:c>
      <x:c r="Q1054" s="50" t="n">
        <x:f>(C1054-E1054-F1054)+(G1054-P1054)</x:f>
        <x:v>0</x:v>
      </x:c>
    </x:row>
    <x:row r="1055">
      <x:c r="A1055" s="41" t="n">
        <x:f>IF(B1055=1,A1054+1,A1054)</x:f>
        <x:v>2067</x:v>
      </x:c>
      <x:c r="B1055" s="41" t="n">
        <x:f>IF(B1054=26,1,B1054+1)</x:f>
        <x:v>14</x:v>
      </x:c>
      <x:c r="C1055" s="48" t="n">
        <x:f>Inputs!$F$43</x:f>
        <x:v>600</x:v>
      </x:c>
      <x:c r="D1055" s="50" t="n">
        <x:f>IF(B1055=1,0,D1054+E1054)</x:f>
        <x:v>7800</x:v>
      </x:c>
      <x:c r="E1055" s="50" t="n">
        <x:f>MIN(C1055,MAX(0,Inputs!$B$7-D1055))</x:f>
        <x:v>200</x:v>
      </x:c>
      <x:c r="F1055" s="50" t="n">
        <x:f>MIN(C1055-E1055,MAX(0,Inputs!$B$20-O1055))</x:f>
        <x:v>400</x:v>
      </x:c>
      <x:c r="G1055" s="50" t="n">
        <x:f>0</x:f>
        <x:v>0</x:v>
      </x:c>
      <x:c r="H1055" s="41" t="n">
        <x:f>0</x:f>
        <x:v>0</x:v>
      </x:c>
      <x:c r="I1055" s="50" t="n">
        <x:f>(I1054*(1+Inputs!$B$12))+E1055</x:f>
        <x:v>1289398.1323287855</x:v>
      </x:c>
      <x:c r="J1055" s="50" t="n">
        <x:f>(J1054*(1+Inputs!$B$12))+F1055+P1055</x:f>
        <x:v>1544737.5925571814</x:v>
      </x:c>
      <x:c r="K1055" s="50" t="n">
        <x:f>(K1054*(1+Inputs!$B$12))*(1-H1055)</x:f>
        <x:v>0</x:v>
      </x:c>
      <x:c r="L1055" s="50" t="n">
        <x:f>L1054*(1+Inputs!$B$13)+Q1055</x:f>
        <x:v>86181.2616014292</x:v>
      </x:c>
      <x:c r="M1055" s="50" t="n">
        <x:f>I1055+J1055+L1055</x:f>
        <x:v>2920316.986487396</x:v>
      </x:c>
      <x:c r="N1055" s="50" t="n">
        <x:f>F1055+P1055</x:f>
        <x:v>400</x:v>
      </x:c>
      <x:c r="O1055" s="50" t="n">
        <x:f>IF(B1055=1,0,O1054+F1054+P1054)</x:f>
        <x:v>3257.142857142857</x:v>
      </x:c>
      <x:c r="P1055" s="50" t="n">
        <x:f>MIN(G1055,MAX(0,Inputs!$B$20-O1055-F1055))</x:f>
        <x:v>0</x:v>
      </x:c>
      <x:c r="Q1055" s="50" t="n">
        <x:f>(C1055-E1055-F1055)+(G1055-P1055)</x:f>
        <x:v>0</x:v>
      </x:c>
    </x:row>
    <x:row r="1056">
      <x:c r="A1056" s="41" t="n">
        <x:f>IF(B1056=1,A1055+1,A1055)</x:f>
        <x:v>2067</x:v>
      </x:c>
      <x:c r="B1056" s="41" t="n">
        <x:f>IF(B1055=26,1,B1055+1)</x:f>
        <x:v>15</x:v>
      </x:c>
      <x:c r="C1056" s="48" t="n">
        <x:f>Inputs!$F$43</x:f>
        <x:v>600</x:v>
      </x:c>
      <x:c r="D1056" s="50" t="n">
        <x:f>IF(B1056=1,0,D1055+E1055)</x:f>
        <x:v>8000</x:v>
      </x:c>
      <x:c r="E1056" s="50" t="n">
        <x:f>MIN(C1056,MAX(0,Inputs!$B$7-D1056))</x:f>
        <x:v>0</x:v>
      </x:c>
      <x:c r="F1056" s="50" t="n">
        <x:f>MIN(C1056-E1056,MAX(0,Inputs!$B$20-O1056))</x:f>
        <x:v>600</x:v>
      </x:c>
      <x:c r="G1056" s="50" t="n">
        <x:f>0</x:f>
        <x:v>0</x:v>
      </x:c>
      <x:c r="H1056" s="41" t="n">
        <x:f>0</x:f>
        <x:v>0</x:v>
      </x:c>
      <x:c r="I1056" s="50" t="n">
        <x:f>(I1055*(1+Inputs!$B$12))+E1056</x:f>
        <x:v>1291820.0173349872</x:v>
      </x:c>
      <x:c r="J1056" s="50" t="n">
        <x:f>(J1055*(1+Inputs!$B$12))+F1056+P1056</x:f>
        <x:v>1548239.0833536456</x:v>
      </x:c>
      <x:c r="K1056" s="50" t="n">
        <x:f>(K1055*(1+Inputs!$B$12))*(1-H1056)</x:f>
        <x:v>0</x:v>
      </x:c>
      <x:c r="L1056" s="50" t="n">
        <x:f>L1055*(1+Inputs!$B$13)+Q1056</x:f>
        <x:v>86332.04902140523</x:v>
      </x:c>
      <x:c r="M1056" s="50" t="n">
        <x:f>I1056+J1056+L1056</x:f>
        <x:v>2926391.1497100377</x:v>
      </x:c>
      <x:c r="N1056" s="50" t="n">
        <x:f>F1056+P1056</x:f>
        <x:v>600</x:v>
      </x:c>
      <x:c r="O1056" s="50" t="n">
        <x:f>IF(B1056=1,0,O1055+F1055+P1055)</x:f>
        <x:v>3657.142857142857</x:v>
      </x:c>
      <x:c r="P1056" s="50" t="n">
        <x:f>MIN(G1056,MAX(0,Inputs!$B$20-O1056-F1056))</x:f>
        <x:v>0</x:v>
      </x:c>
      <x:c r="Q1056" s="50" t="n">
        <x:f>(C1056-E1056-F1056)+(G1056-P1056)</x:f>
        <x:v>0</x:v>
      </x:c>
    </x:row>
    <x:row r="1057">
      <x:c r="A1057" s="41" t="n">
        <x:f>IF(B1057=1,A1056+1,A1056)</x:f>
        <x:v>2067</x:v>
      </x:c>
      <x:c r="B1057" s="41" t="n">
        <x:f>IF(B1056=26,1,B1056+1)</x:f>
        <x:v>16</x:v>
      </x:c>
      <x:c r="C1057" s="48" t="n">
        <x:f>Inputs!$F$43</x:f>
        <x:v>600</x:v>
      </x:c>
      <x:c r="D1057" s="50" t="n">
        <x:f>IF(B1057=1,0,D1056+E1056)</x:f>
        <x:v>8000</x:v>
      </x:c>
      <x:c r="E1057" s="50" t="n">
        <x:f>MIN(C1057,MAX(0,Inputs!$B$7-D1057))</x:f>
        <x:v>0</x:v>
      </x:c>
      <x:c r="F1057" s="50" t="n">
        <x:f>MIN(C1057-E1057,MAX(0,Inputs!$B$20-O1057))</x:f>
        <x:v>600</x:v>
      </x:c>
      <x:c r="G1057" s="50" t="n">
        <x:f>0</x:f>
        <x:v>0</x:v>
      </x:c>
      <x:c r="H1057" s="41" t="n">
        <x:f>0</x:f>
        <x:v>0</x:v>
      </x:c>
      <x:c r="I1057" s="50" t="n">
        <x:f>(I1056*(1+Inputs!$B$12))+E1057</x:f>
        <x:v>1294246.4513837507</x:v>
      </x:c>
      <x:c r="J1057" s="50" t="n">
        <x:f>(J1056*(1+Inputs!$B$12))+F1057+P1057</x:f>
        <x:v>1551747.15102334</x:v>
      </x:c>
      <x:c r="K1057" s="50" t="n">
        <x:f>(K1056*(1+Inputs!$B$12))*(1-H1057)</x:f>
        <x:v>0</x:v>
      </x:c>
      <x:c r="L1057" s="50" t="n">
        <x:f>L1056*(1+Inputs!$B$13)+Q1057</x:f>
        <x:v>86483.1002672478</x:v>
      </x:c>
      <x:c r="M1057" s="50" t="n">
        <x:f>I1057+J1057+L1057</x:f>
        <x:v>2932476.702674338</x:v>
      </x:c>
      <x:c r="N1057" s="50" t="n">
        <x:f>F1057+P1057</x:f>
        <x:v>600</x:v>
      </x:c>
      <x:c r="O1057" s="50" t="n">
        <x:f>IF(B1057=1,0,O1056+F1056+P1056)</x:f>
        <x:v>4257.142857142857</x:v>
      </x:c>
      <x:c r="P1057" s="50" t="n">
        <x:f>MIN(G1057,MAX(0,Inputs!$B$20-O1057-F1057))</x:f>
        <x:v>0</x:v>
      </x:c>
      <x:c r="Q1057" s="50" t="n">
        <x:f>(C1057-E1057-F1057)+(G1057-P1057)</x:f>
        <x:v>0</x:v>
      </x:c>
    </x:row>
    <x:row r="1058">
      <x:c r="A1058" s="41" t="n">
        <x:f>IF(B1058=1,A1057+1,A1057)</x:f>
        <x:v>2067</x:v>
      </x:c>
      <x:c r="B1058" s="41" t="n">
        <x:f>IF(B1057=26,1,B1057+1)</x:f>
        <x:v>17</x:v>
      </x:c>
      <x:c r="C1058" s="48" t="n">
        <x:f>Inputs!$F$43</x:f>
        <x:v>600</x:v>
      </x:c>
      <x:c r="D1058" s="50" t="n">
        <x:f>IF(B1058=1,0,D1057+E1057)</x:f>
        <x:v>8000</x:v>
      </x:c>
      <x:c r="E1058" s="50" t="n">
        <x:f>MIN(C1058,MAX(0,Inputs!$B$7-D1058))</x:f>
        <x:v>0</x:v>
      </x:c>
      <x:c r="F1058" s="50" t="n">
        <x:f>MIN(C1058-E1058,MAX(0,Inputs!$B$20-O1058))</x:f>
        <x:v>600</x:v>
      </x:c>
      <x:c r="G1058" s="50" t="n">
        <x:f>0</x:f>
        <x:v>0</x:v>
      </x:c>
      <x:c r="H1058" s="41" t="n">
        <x:f>0</x:f>
        <x:v>0</x:v>
      </x:c>
      <x:c r="I1058" s="50" t="n">
        <x:f>(I1057*(1+Inputs!$B$12))+E1058</x:f>
        <x:v>1296677.4430195729</x:v>
      </x:c>
      <x:c r="J1058" s="50" t="n">
        <x:f>(J1057*(1+Inputs!$B$12))+F1058+P1058</x:f>
        <x:v>1555261.8079196485</x:v>
      </x:c>
      <x:c r="K1058" s="50" t="n">
        <x:f>(K1057*(1+Inputs!$B$12))*(1-H1058)</x:f>
        <x:v>0</x:v>
      </x:c>
      <x:c r="L1058" s="50" t="n">
        <x:f>L1057*(1+Inputs!$B$13)+Q1058</x:f>
        <x:v>86634.41580056102</x:v>
      </x:c>
      <x:c r="M1058" s="50" t="n">
        <x:f>I1058+J1058+L1058</x:f>
        <x:v>2938573.6667397823</x:v>
      </x:c>
      <x:c r="N1058" s="50" t="n">
        <x:f>F1058+P1058</x:f>
        <x:v>600</x:v>
      </x:c>
      <x:c r="O1058" s="50" t="n">
        <x:f>IF(B1058=1,0,O1057+F1057+P1057)</x:f>
        <x:v>4857.142857142857</x:v>
      </x:c>
      <x:c r="P1058" s="50" t="n">
        <x:f>MIN(G1058,MAX(0,Inputs!$B$20-O1058-F1058))</x:f>
        <x:v>0</x:v>
      </x:c>
      <x:c r="Q1058" s="50" t="n">
        <x:f>(C1058-E1058-F1058)+(G1058-P1058)</x:f>
        <x:v>0</x:v>
      </x:c>
    </x:row>
    <x:row r="1059">
      <x:c r="A1059" s="41" t="n">
        <x:f>IF(B1059=1,A1058+1,A1058)</x:f>
        <x:v>2067</x:v>
      </x:c>
      <x:c r="B1059" s="41" t="n">
        <x:f>IF(B1058=26,1,B1058+1)</x:f>
        <x:v>18</x:v>
      </x:c>
      <x:c r="C1059" s="48" t="n">
        <x:f>Inputs!$F$43</x:f>
        <x:v>600</x:v>
      </x:c>
      <x:c r="D1059" s="50" t="n">
        <x:f>IF(B1059=1,0,D1058+E1058)</x:f>
        <x:v>8000</x:v>
      </x:c>
      <x:c r="E1059" s="50" t="n">
        <x:f>MIN(C1059,MAX(0,Inputs!$B$7-D1059))</x:f>
        <x:v>0</x:v>
      </x:c>
      <x:c r="F1059" s="50" t="n">
        <x:f>MIN(C1059-E1059,MAX(0,Inputs!$B$20-O1059))</x:f>
        <x:v>600</x:v>
      </x:c>
      <x:c r="G1059" s="50" t="n">
        <x:f>0</x:f>
        <x:v>0</x:v>
      </x:c>
      <x:c r="H1059" s="41" t="n">
        <x:f>0</x:f>
        <x:v>0</x:v>
      </x:c>
      <x:c r="I1059" s="50" t="n">
        <x:f>(I1058*(1+Inputs!$B$12))+E1059</x:f>
        <x:v>1299113.0008029994</x:v>
      </x:c>
      <x:c r="J1059" s="50" t="n">
        <x:f>(J1058*(1+Inputs!$B$12))+F1059+P1059</x:f>
        <x:v>1558783.066419159</x:v>
      </x:c>
      <x:c r="K1059" s="50" t="n">
        <x:f>(K1058*(1+Inputs!$B$12))*(1-H1059)</x:f>
        <x:v>0</x:v>
      </x:c>
      <x:c r="L1059" s="50" t="n">
        <x:f>L1058*(1+Inputs!$B$13)+Q1059</x:f>
        <x:v>86785.9960837566</x:v>
      </x:c>
      <x:c r="M1059" s="50" t="n">
        <x:f>I1059+J1059+L1059</x:f>
        <x:v>2944682.063305915</x:v>
      </x:c>
      <x:c r="N1059" s="50" t="n">
        <x:f>F1059+P1059</x:f>
        <x:v>600</x:v>
      </x:c>
      <x:c r="O1059" s="50" t="n">
        <x:f>IF(B1059=1,0,O1058+F1058+P1058)</x:f>
        <x:v>5457.142857142857</x:v>
      </x:c>
      <x:c r="P1059" s="50" t="n">
        <x:f>MIN(G1059,MAX(0,Inputs!$B$20-O1059-F1059))</x:f>
        <x:v>0</x:v>
      </x:c>
      <x:c r="Q1059" s="50" t="n">
        <x:f>(C1059-E1059-F1059)+(G1059-P1059)</x:f>
        <x:v>0</x:v>
      </x:c>
    </x:row>
    <x:row r="1060">
      <x:c r="A1060" s="41" t="n">
        <x:f>IF(B1060=1,A1059+1,A1059)</x:f>
        <x:v>2067</x:v>
      </x:c>
      <x:c r="B1060" s="41" t="n">
        <x:f>IF(B1059=26,1,B1059+1)</x:f>
        <x:v>19</x:v>
      </x:c>
      <x:c r="C1060" s="48" t="n">
        <x:f>Inputs!$F$43</x:f>
        <x:v>600</x:v>
      </x:c>
      <x:c r="D1060" s="50" t="n">
        <x:f>IF(B1060=1,0,D1059+E1059)</x:f>
        <x:v>8000</x:v>
      </x:c>
      <x:c r="E1060" s="50" t="n">
        <x:f>MIN(C1060,MAX(0,Inputs!$B$7-D1060))</x:f>
        <x:v>0</x:v>
      </x:c>
      <x:c r="F1060" s="50" t="n">
        <x:f>MIN(C1060-E1060,MAX(0,Inputs!$B$20-O1060))</x:f>
        <x:v>600</x:v>
      </x:c>
      <x:c r="G1060" s="50" t="n">
        <x:f>0</x:f>
        <x:v>0</x:v>
      </x:c>
      <x:c r="H1060" s="41" t="n">
        <x:f>0</x:f>
        <x:v>0</x:v>
      </x:c>
      <x:c r="I1060" s="50" t="n">
        <x:f>(I1059*(1+Inputs!$B$12))+E1060</x:f>
        <x:v>1301553.1333106554</x:v>
      </x:c>
      <x:c r="J1060" s="50" t="n">
        <x:f>(J1059*(1+Inputs!$B$12))+F1060+P1060</x:f>
        <x:v>1562310.9389217065</x:v>
      </x:c>
      <x:c r="K1060" s="50" t="n">
        <x:f>(K1059*(1+Inputs!$B$12))*(1-H1060)</x:f>
        <x:v>0</x:v>
      </x:c>
      <x:c r="L1060" s="50" t="n">
        <x:f>L1059*(1+Inputs!$B$13)+Q1060</x:f>
        <x:v>86937.84158005532</x:v>
      </x:c>
      <x:c r="M1060" s="50" t="n">
        <x:f>I1060+J1060+L1060</x:f>
        <x:v>2950801.913812417</x:v>
      </x:c>
      <x:c r="N1060" s="50" t="n">
        <x:f>F1060+P1060</x:f>
        <x:v>600</x:v>
      </x:c>
      <x:c r="O1060" s="50" t="n">
        <x:f>IF(B1060=1,0,O1059+F1059+P1059)</x:f>
        <x:v>6057.142857142857</x:v>
      </x:c>
      <x:c r="P1060" s="50" t="n">
        <x:f>MIN(G1060,MAX(0,Inputs!$B$20-O1060-F1060))</x:f>
        <x:v>0</x:v>
      </x:c>
      <x:c r="Q1060" s="50" t="n">
        <x:f>(C1060-E1060-F1060)+(G1060-P1060)</x:f>
        <x:v>0</x:v>
      </x:c>
    </x:row>
    <x:row r="1061">
      <x:c r="A1061" s="41" t="n">
        <x:f>IF(B1061=1,A1060+1,A1060)</x:f>
        <x:v>2067</x:v>
      </x:c>
      <x:c r="B1061" s="41" t="n">
        <x:f>IF(B1060=26,1,B1060+1)</x:f>
        <x:v>20</x:v>
      </x:c>
      <x:c r="C1061" s="48" t="n">
        <x:f>Inputs!$F$43</x:f>
        <x:v>600</x:v>
      </x:c>
      <x:c r="D1061" s="50" t="n">
        <x:f>IF(B1061=1,0,D1060+E1060)</x:f>
        <x:v>8000</x:v>
      </x:c>
      <x:c r="E1061" s="50" t="n">
        <x:f>MIN(C1061,MAX(0,Inputs!$B$7-D1061))</x:f>
        <x:v>0</x:v>
      </x:c>
      <x:c r="F1061" s="50" t="n">
        <x:f>MIN(C1061-E1061,MAX(0,Inputs!$B$20-O1061))</x:f>
        <x:v>600</x:v>
      </x:c>
      <x:c r="G1061" s="50" t="n">
        <x:f>0</x:f>
        <x:v>0</x:v>
      </x:c>
      <x:c r="H1061" s="41" t="n">
        <x:f>0</x:f>
        <x:v>0</x:v>
      </x:c>
      <x:c r="I1061" s="50" t="n">
        <x:f>(I1060*(1+Inputs!$B$12))+E1061</x:f>
        <x:v>1303997.8491352755</x:v>
      </x:c>
      <x:c r="J1061" s="50" t="n">
        <x:f>(J1060*(1+Inputs!$B$12))+F1061+P1061</x:f>
        <x:v>1565845.4378504164</x:v>
      </x:c>
      <x:c r="K1061" s="50" t="n">
        <x:f>(K1060*(1+Inputs!$B$12))*(1-H1061)</x:f>
        <x:v>0</x:v>
      </x:c>
      <x:c r="L1061" s="50" t="n">
        <x:f>L1060*(1+Inputs!$B$13)+Q1061</x:f>
        <x:v>87089.95275348844</x:v>
      </x:c>
      <x:c r="M1061" s="50" t="n">
        <x:f>I1061+J1061+L1061</x:f>
        <x:v>2956933.23973918</x:v>
      </x:c>
      <x:c r="N1061" s="50" t="n">
        <x:f>F1061+P1061</x:f>
        <x:v>600</x:v>
      </x:c>
      <x:c r="O1061" s="50" t="n">
        <x:f>IF(B1061=1,0,O1060+F1060+P1060)</x:f>
        <x:v>6657.142857142857</x:v>
      </x:c>
      <x:c r="P1061" s="50" t="n">
        <x:f>MIN(G1061,MAX(0,Inputs!$B$20-O1061-F1061))</x:f>
        <x:v>0</x:v>
      </x:c>
      <x:c r="Q1061" s="50" t="n">
        <x:f>(C1061-E1061-F1061)+(G1061-P1061)</x:f>
        <x:v>0</x:v>
      </x:c>
    </x:row>
    <x:row r="1062">
      <x:c r="A1062" s="41" t="n">
        <x:f>IF(B1062=1,A1061+1,A1061)</x:f>
        <x:v>2067</x:v>
      </x:c>
      <x:c r="B1062" s="41" t="n">
        <x:f>IF(B1061=26,1,B1061+1)</x:f>
        <x:v>21</x:v>
      </x:c>
      <x:c r="C1062" s="48" t="n">
        <x:f>Inputs!$F$43</x:f>
        <x:v>600</x:v>
      </x:c>
      <x:c r="D1062" s="50" t="n">
        <x:f>IF(B1062=1,0,D1061+E1061)</x:f>
        <x:v>8000</x:v>
      </x:c>
      <x:c r="E1062" s="50" t="n">
        <x:f>MIN(C1062,MAX(0,Inputs!$B$7-D1062))</x:f>
        <x:v>0</x:v>
      </x:c>
      <x:c r="F1062" s="50" t="n">
        <x:f>MIN(C1062-E1062,MAX(0,Inputs!$B$20-O1062))</x:f>
        <x:v>600</x:v>
      </x:c>
      <x:c r="G1062" s="50" t="n">
        <x:f>0</x:f>
        <x:v>0</x:v>
      </x:c>
      <x:c r="H1062" s="41" t="n">
        <x:f>0</x:f>
        <x:v>0</x:v>
      </x:c>
      <x:c r="I1062" s="50" t="n">
        <x:f>(I1061*(1+Inputs!$B$12))+E1062</x:f>
        <x:v>1306447.156885734</x:v>
      </x:c>
      <x:c r="J1062" s="50" t="n">
        <x:f>(J1061*(1+Inputs!$B$12))+F1062+P1062</x:f>
        <x:v>1569386.5756517483</x:v>
      </x:c>
      <x:c r="K1062" s="50" t="n">
        <x:f>(K1061*(1+Inputs!$B$12))*(1-H1062)</x:f>
        <x:v>0</x:v>
      </x:c>
      <x:c r="L1062" s="50" t="n">
        <x:f>L1061*(1+Inputs!$B$13)+Q1062</x:f>
        <x:v>87242.33006889913</x:v>
      </x:c>
      <x:c r="M1062" s="50" t="n">
        <x:f>I1062+J1062+L1062</x:f>
        <x:v>2963076.0626063817</x:v>
      </x:c>
      <x:c r="N1062" s="50" t="n">
        <x:f>F1062+P1062</x:f>
        <x:v>600</x:v>
      </x:c>
      <x:c r="O1062" s="50" t="n">
        <x:f>IF(B1062=1,0,O1061+F1061+P1061)</x:f>
        <x:v>7257.142857142857</x:v>
      </x:c>
      <x:c r="P1062" s="50" t="n">
        <x:f>MIN(G1062,MAX(0,Inputs!$B$20-O1062-F1062))</x:f>
        <x:v>0</x:v>
      </x:c>
      <x:c r="Q1062" s="50" t="n">
        <x:f>(C1062-E1062-F1062)+(G1062-P1062)</x:f>
        <x:v>0</x:v>
      </x:c>
    </x:row>
    <x:row r="1063">
      <x:c r="A1063" s="41" t="n">
        <x:f>IF(B1063=1,A1062+1,A1062)</x:f>
        <x:v>2067</x:v>
      </x:c>
      <x:c r="B1063" s="41" t="n">
        <x:f>IF(B1062=26,1,B1062+1)</x:f>
        <x:v>22</x:v>
      </x:c>
      <x:c r="C1063" s="48" t="n">
        <x:f>Inputs!$F$43</x:f>
        <x:v>600</x:v>
      </x:c>
      <x:c r="D1063" s="50" t="n">
        <x:f>IF(B1063=1,0,D1062+E1062)</x:f>
        <x:v>8000</x:v>
      </x:c>
      <x:c r="E1063" s="50" t="n">
        <x:f>MIN(C1063,MAX(0,Inputs!$B$7-D1063))</x:f>
        <x:v>0</x:v>
      </x:c>
      <x:c r="F1063" s="50" t="n">
        <x:f>MIN(C1063-E1063,MAX(0,Inputs!$B$20-O1063))</x:f>
        <x:v>600</x:v>
      </x:c>
      <x:c r="G1063" s="50" t="n">
        <x:f>0</x:f>
        <x:v>0</x:v>
      </x:c>
      <x:c r="H1063" s="41" t="n">
        <x:f>0</x:f>
        <x:v>0</x:v>
      </x:c>
      <x:c r="I1063" s="50" t="n">
        <x:f>(I1062*(1+Inputs!$B$12))+E1063</x:f>
        <x:v>1308901.0651870759</x:v>
      </x:c>
      <x:c r="J1063" s="50" t="n">
        <x:f>(J1062*(1+Inputs!$B$12))+F1063+P1063</x:f>
        <x:v>1572934.3647955407</x:v>
      </x:c>
      <x:c r="K1063" s="50" t="n">
        <x:f>(K1062*(1+Inputs!$B$12))*(1-H1063)</x:f>
        <x:v>0</x:v>
      </x:c>
      <x:c r="L1063" s="50" t="n">
        <x:f>L1062*(1+Inputs!$B$13)+Q1063</x:f>
        <x:v>87394.97399194386</x:v>
      </x:c>
      <x:c r="M1063" s="50" t="n">
        <x:f>I1063+J1063+L1063</x:f>
        <x:v>2969230.4039745606</x:v>
      </x:c>
      <x:c r="N1063" s="50" t="n">
        <x:f>F1063+P1063</x:f>
        <x:v>600</x:v>
      </x:c>
      <x:c r="O1063" s="50" t="n">
        <x:f>IF(B1063=1,0,O1062+F1062+P1062)</x:f>
        <x:v>7857.142857142857</x:v>
      </x:c>
      <x:c r="P1063" s="50" t="n">
        <x:f>MIN(G1063,MAX(0,Inputs!$B$20-O1063-F1063))</x:f>
        <x:v>0</x:v>
      </x:c>
      <x:c r="Q1063" s="50" t="n">
        <x:f>(C1063-E1063-F1063)+(G1063-P1063)</x:f>
        <x:v>0</x:v>
      </x:c>
    </x:row>
    <x:row r="1064">
      <x:c r="A1064" s="41" t="n">
        <x:f>IF(B1064=1,A1063+1,A1063)</x:f>
        <x:v>2067</x:v>
      </x:c>
      <x:c r="B1064" s="41" t="n">
        <x:f>IF(B1063=26,1,B1063+1)</x:f>
        <x:v>23</x:v>
      </x:c>
      <x:c r="C1064" s="48" t="n">
        <x:f>Inputs!$F$43</x:f>
        <x:v>600</x:v>
      </x:c>
      <x:c r="D1064" s="50" t="n">
        <x:f>IF(B1064=1,0,D1063+E1063)</x:f>
        <x:v>8000</x:v>
      </x:c>
      <x:c r="E1064" s="50" t="n">
        <x:f>MIN(C1064,MAX(0,Inputs!$B$7-D1064))</x:f>
        <x:v>0</x:v>
      </x:c>
      <x:c r="F1064" s="50" t="n">
        <x:f>MIN(C1064-E1064,MAX(0,Inputs!$B$20-O1064))</x:f>
        <x:v>600</x:v>
      </x:c>
      <x:c r="G1064" s="50" t="n">
        <x:f>0</x:f>
        <x:v>0</x:v>
      </x:c>
      <x:c r="H1064" s="41" t="n">
        <x:f>0</x:f>
        <x:v>0</x:v>
      </x:c>
      <x:c r="I1064" s="50" t="n">
        <x:f>(I1063*(1+Inputs!$B$12))+E1064</x:f>
        <x:v>1311359.582680546</x:v>
      </x:c>
      <x:c r="J1064" s="50" t="n">
        <x:f>(J1063*(1+Inputs!$B$12))+F1064+P1064</x:f>
        <x:v>1576488.817775054</x:v>
      </x:c>
      <x:c r="K1064" s="50" t="n">
        <x:f>(K1063*(1+Inputs!$B$12))*(1-H1064)</x:f>
        <x:v>0</x:v>
      </x:c>
      <x:c r="L1064" s="50" t="n">
        <x:f>L1063*(1+Inputs!$B$13)+Q1064</x:f>
        <x:v>87547.88498909383</x:v>
      </x:c>
      <x:c r="M1064" s="50" t="n">
        <x:f>I1064+J1064+L1064</x:f>
        <x:v>2975396.2854446936</x:v>
      </x:c>
      <x:c r="N1064" s="50" t="n">
        <x:f>F1064+P1064</x:f>
        <x:v>600</x:v>
      </x:c>
      <x:c r="O1064" s="50" t="n">
        <x:f>IF(B1064=1,0,O1063+F1063+P1063)</x:f>
        <x:v>8457.142857142857</x:v>
      </x:c>
      <x:c r="P1064" s="50" t="n">
        <x:f>MIN(G1064,MAX(0,Inputs!$B$20-O1064-F1064))</x:f>
        <x:v>0</x:v>
      </x:c>
      <x:c r="Q1064" s="50" t="n">
        <x:f>(C1064-E1064-F1064)+(G1064-P1064)</x:f>
        <x:v>0</x:v>
      </x:c>
    </x:row>
    <x:row r="1065">
      <x:c r="A1065" s="41" t="n">
        <x:f>IF(B1065=1,A1064+1,A1064)</x:f>
        <x:v>2067</x:v>
      </x:c>
      <x:c r="B1065" s="41" t="n">
        <x:f>IF(B1064=26,1,B1064+1)</x:f>
        <x:v>24</x:v>
      </x:c>
      <x:c r="C1065" s="48" t="n">
        <x:f>Inputs!$F$43</x:f>
        <x:v>600</x:v>
      </x:c>
      <x:c r="D1065" s="50" t="n">
        <x:f>IF(B1065=1,0,D1064+E1064)</x:f>
        <x:v>8000</x:v>
      </x:c>
      <x:c r="E1065" s="50" t="n">
        <x:f>MIN(C1065,MAX(0,Inputs!$B$7-D1065))</x:f>
        <x:v>0</x:v>
      </x:c>
      <x:c r="F1065" s="50" t="n">
        <x:f>MIN(C1065-E1065,MAX(0,Inputs!$B$20-O1065))</x:f>
        <x:v>600</x:v>
      </x:c>
      <x:c r="G1065" s="50" t="n">
        <x:f>0</x:f>
        <x:v>0</x:v>
      </x:c>
      <x:c r="H1065" s="41" t="n">
        <x:f>0</x:f>
        <x:v>0</x:v>
      </x:c>
      <x:c r="I1065" s="50" t="n">
        <x:f>(I1064*(1+Inputs!$B$12))+E1065</x:f>
        <x:v>1313822.71802362</x:v>
      </x:c>
      <x:c r="J1065" s="50" t="n">
        <x:f>(J1064*(1+Inputs!$B$12))+F1065+P1065</x:f>
        <x:v>1580049.9471070145</x:v>
      </x:c>
      <x:c r="K1065" s="50" t="n">
        <x:f>(K1064*(1+Inputs!$B$12))*(1-H1065)</x:f>
        <x:v>0</x:v>
      </x:c>
      <x:c r="L1065" s="50" t="n">
        <x:f>L1064*(1+Inputs!$B$13)+Q1065</x:f>
        <x:v>87701.06352763642</x:v>
      </x:c>
      <x:c r="M1065" s="50" t="n">
        <x:f>I1065+J1065+L1065</x:f>
        <x:v>2981573.728658271</x:v>
      </x:c>
      <x:c r="N1065" s="50" t="n">
        <x:f>F1065+P1065</x:f>
        <x:v>600</x:v>
      </x:c>
      <x:c r="O1065" s="50" t="n">
        <x:f>IF(B1065=1,0,O1064+F1064+P1064)</x:f>
        <x:v>9057.142857142857</x:v>
      </x:c>
      <x:c r="P1065" s="50" t="n">
        <x:f>MIN(G1065,MAX(0,Inputs!$B$20-O1065-F1065))</x:f>
        <x:v>0</x:v>
      </x:c>
      <x:c r="Q1065" s="50" t="n">
        <x:f>(C1065-E1065-F1065)+(G1065-P1065)</x:f>
        <x:v>0</x:v>
      </x:c>
    </x:row>
    <x:row r="1066">
      <x:c r="A1066" s="41" t="n">
        <x:f>IF(B1066=1,A1065+1,A1065)</x:f>
        <x:v>2067</x:v>
      </x:c>
      <x:c r="B1066" s="41" t="n">
        <x:f>IF(B1065=26,1,B1065+1)</x:f>
        <x:v>25</x:v>
      </x:c>
      <x:c r="C1066" s="48" t="n">
        <x:f>Inputs!$F$43</x:f>
        <x:v>600</x:v>
      </x:c>
      <x:c r="D1066" s="50" t="n">
        <x:f>IF(B1066=1,0,D1065+E1065)</x:f>
        <x:v>8000</x:v>
      </x:c>
      <x:c r="E1066" s="50" t="n">
        <x:f>MIN(C1066,MAX(0,Inputs!$B$7-D1066))</x:f>
        <x:v>0</x:v>
      </x:c>
      <x:c r="F1066" s="50" t="n">
        <x:f>MIN(C1066-E1066,MAX(0,Inputs!$B$20-O1066))</x:f>
        <x:v>600</x:v>
      </x:c>
      <x:c r="G1066" s="50" t="n">
        <x:f>0</x:f>
        <x:v>0</x:v>
      </x:c>
      <x:c r="H1066" s="41" t="n">
        <x:f>0</x:f>
        <x:v>0</x:v>
      </x:c>
      <x:c r="I1066" s="50" t="n">
        <x:f>(I1065*(1+Inputs!$B$12))+E1066</x:f>
        <x:v>1316290.4798900357</x:v>
      </x:c>
      <x:c r="J1066" s="50" t="n">
        <x:f>(J1065*(1+Inputs!$B$12))+F1066+P1066</x:f>
        <x:v>1583617.765331659</x:v>
      </x:c>
      <x:c r="K1066" s="50" t="n">
        <x:f>(K1065*(1+Inputs!$B$12))*(1-H1066)</x:f>
        <x:v>0</x:v>
      </x:c>
      <x:c r="L1066" s="50" t="n">
        <x:f>L1065*(1+Inputs!$B$13)+Q1066</x:f>
        <x:v>87854.51007567658</x:v>
      </x:c>
      <x:c r="M1066" s="50" t="n">
        <x:f>I1066+J1066+L1066</x:f>
        <x:v>2987762.7552973717</x:v>
      </x:c>
      <x:c r="N1066" s="50" t="n">
        <x:f>F1066+P1066</x:f>
        <x:v>600</x:v>
      </x:c>
      <x:c r="O1066" s="50" t="n">
        <x:f>IF(B1066=1,0,O1065+F1065+P1065)</x:f>
        <x:v>9657.142857142857</x:v>
      </x:c>
      <x:c r="P1066" s="50" t="n">
        <x:f>MIN(G1066,MAX(0,Inputs!$B$20-O1066-F1066))</x:f>
        <x:v>0</x:v>
      </x:c>
      <x:c r="Q1066" s="50" t="n">
        <x:f>(C1066-E1066-F1066)+(G1066-P1066)</x:f>
        <x:v>0</x:v>
      </x:c>
    </x:row>
    <x:row r="1067">
      <x:c r="A1067" s="41" t="n">
        <x:f>IF(B1067=1,A1066+1,A1066)</x:f>
        <x:v>2067</x:v>
      </x:c>
      <x:c r="B1067" s="41" t="n">
        <x:f>IF(B1066=26,1,B1066+1)</x:f>
        <x:v>26</x:v>
      </x:c>
      <x:c r="C1067" s="48" t="n">
        <x:f>Inputs!$F$43</x:f>
        <x:v>600</x:v>
      </x:c>
      <x:c r="D1067" s="50" t="n">
        <x:f>IF(B1067=1,0,D1066+E1066)</x:f>
        <x:v>8000</x:v>
      </x:c>
      <x:c r="E1067" s="50" t="n">
        <x:f>MIN(C1067,MAX(0,Inputs!$B$7-D1067))</x:f>
        <x:v>0</x:v>
      </x:c>
      <x:c r="F1067" s="50" t="n">
        <x:f>MIN(C1067-E1067,MAX(0,Inputs!$B$20-O1067))</x:f>
        <x:v>600</x:v>
      </x:c>
      <x:c r="G1067" s="50" t="n">
        <x:f>0</x:f>
        <x:v>0</x:v>
      </x:c>
      <x:c r="H1067" s="41" t="n">
        <x:f>IF(A1067=Inputs!$B$8,1,0)</x:f>
        <x:v>0</x:v>
      </x:c>
      <x:c r="I1067" s="50" t="n">
        <x:f>(I1066*(1+Inputs!$B$12))+E1067</x:f>
        <x:v>1318762.876969822</x:v>
      </x:c>
      <x:c r="J1067" s="50" t="n">
        <x:f>(J1066*(1+Inputs!$B$12))+F1067+P1067</x:f>
        <x:v>1587192.2850127788</x:v>
      </x:c>
      <x:c r="K1067" s="50" t="n">
        <x:f>(K1066*(1+Inputs!$B$12))*(1-H1067)</x:f>
        <x:v>0</x:v>
      </x:c>
      <x:c r="L1067" s="50" t="n">
        <x:f>L1066*(1+Inputs!$B$13)+Q1067</x:f>
        <x:v>88008.2251021383</x:v>
      </x:c>
      <x:c r="M1067" s="50" t="n">
        <x:f>I1067+J1067+L1067</x:f>
        <x:v>2993963.387084739</x:v>
      </x:c>
      <x:c r="N1067" s="50" t="n">
        <x:f>F1067+P1067</x:f>
        <x:v>600</x:v>
      </x:c>
      <x:c r="O1067" s="50" t="n">
        <x:f>IF(B1067=1,0,O1066+F1066+P1066)</x:f>
        <x:v>10257.142857142857</x:v>
      </x:c>
      <x:c r="P1067" s="50" t="n">
        <x:f>MIN(G1067,MAX(0,Inputs!$B$20-O1067-F1067))</x:f>
        <x:v>0</x:v>
      </x:c>
      <x:c r="Q1067" s="50" t="n">
        <x:f>(C1067-E1067-F1067)+(G1067-P1067)</x:f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2" hidden="0" customWidth="1"/>
    <x:col min="4" max="4" width="15" hidden="0" customWidth="1"/>
    <x:col min="5" max="5" width="15" hidden="0" customWidth="1"/>
    <x:col min="6" max="6" width="15" hidden="0" customWidth="1"/>
    <x:col min="7" max="7" width="20" hidden="0" customWidth="1"/>
    <x:col min="8" max="8" width="17" hidden="0" customWidth="1"/>
    <x:col min="9" max="9" width="27" hidden="0" customWidth="1"/>
    <x:col min="10" max="10" width="15" hidden="0" customWidth="1"/>
    <x:col min="11" max="11" width="15" hidden="0" customWidth="1"/>
  </x:cols>
  <x:sheetData>
    <x:row r="1">
      <x:c r="A1" s="64" t="str">
        <x:v>Age</x:v>
      </x:c>
      <x:c r="B1" s="64" t="str">
        <x:v>Year</x:v>
      </x:c>
      <x:c r="C1" s="64" t="str">
        <x:v>Start Retirement Assets</x:v>
      </x:c>
      <x:c r="D1" s="64" t="str">
        <x:v>TFSA</x:v>
      </x:c>
      <x:c r="E1" s="64" t="str">
        <x:v>RRSP</x:v>
      </x:c>
      <x:c r="F1" s="64" t="str">
        <x:v>Non-Reg</x:v>
      </x:c>
      <x:c r="G1" s="64" t="str">
        <x:v>Total Contributions</x:v>
      </x:c>
      <x:c r="H1" s="64" t="str">
        <x:v>Investment Gains</x:v>
      </x:c>
      <x:c r="I1" s="64" t="str">
        <x:v>Retirement Net Worth (ex-FHSA)</x:v>
      </x:c>
      <x:c r="J1" s="64" t="str">
        <x:v>FHSA</x:v>
      </x:c>
      <x:c r="K1" s="64" t="str">
        <x:v>FHSA Status</x:v>
      </x:c>
    </x:row>
    <x:row r="2">
      <x:c r="A2" s="65" t="n">
        <x:f>25</x:f>
        <x:v>25</x:v>
      </x:c>
      <x:c r="B2" s="66" t="n">
        <x:f>Inputs!$B$3</x:f>
        <x:v>2027</x:v>
      </x:c>
      <x:c r="C2" s="67" t="n">
        <x:f>SUM(Inputs!$B$16:Inputs!$B$18)</x:f>
        <x:v>60000</x:v>
      </x:c>
      <x:c r="D2" s="68" t="n">
        <x:f>'Bi-Weekly Engine'!I27</x:f>
        <x:v>45063.87025744958</x:v>
      </x:c>
      <x:c r="E2" s="68" t="n">
        <x:f>'Bi-Weekly Engine'!J27</x:f>
        <x:v>33181.90768455853</x:v>
      </x:c>
      <x:c r="F2" s="68" t="n">
        <x:f>'Bi-Weekly Engine'!L27</x:f>
        <x:v>6032.499999999986</x:v>
      </x:c>
      <x:c r="G2" s="67" t="n">
        <x:f>SUM('Bi-Weekly Engine'!E2:E27)+SUM('Bi-Weekly Engine'!F2:F27)+SUM('Bi-Weekly Engine'!P2:P27)+SUM('Bi-Weekly Engine'!Q2:Q27)</x:f>
        <x:v>20800</x:v>
      </x:c>
      <x:c r="H2" s="67" t="n">
        <x:f>I2-C2-G2</x:f>
        <x:v>3478.2779420080915</x:v>
      </x:c>
      <x:c r="I2" s="68" t="n">
        <x:f>'Bi-Weekly Engine'!M27</x:f>
        <x:v>84278.27794200809</x:v>
      </x:c>
      <x:c r="J2" s="68" t="n">
        <x:f>'Bi-Weekly Engine'!K27</x:f>
        <x:v>16799.99999999995</x:v>
      </x:c>
      <x:c r="K2" s="69" t="str">
        <x:f>IF(B2=Inputs!$B$8,"Withdrawn","")</x:f>
      </x:c>
    </x:row>
    <x:row r="3">
      <x:c r="A3" s="80" t="n">
        <x:f>A2+1</x:f>
        <x:v>26</x:v>
      </x:c>
      <x:c r="B3" s="80" t="n">
        <x:f>B2+1</x:f>
        <x:v>2028</x:v>
      </x:c>
      <x:c r="C3" s="81" t="n">
        <x:f>I2</x:f>
        <x:v>84278.27794200809</x:v>
      </x:c>
      <x:c r="D3" s="82" t="n">
        <x:f>'Bi-Weekly Engine'!I53</x:f>
        <x:v>55630.93402777161</x:v>
      </x:c>
      <x:c r="E3" s="82" t="n">
        <x:f>'Bi-Weekly Engine'!J53</x:f>
        <x:v>47120.78131682053</x:v>
      </x:c>
      <x:c r="F3" s="82" t="n">
        <x:f>'Bi-Weekly Engine'!L53</x:f>
        <x:v>10730.544571944616</x:v>
      </x:c>
      <x:c r="G3" s="81" t="n">
        <x:f>SUM('Bi-Weekly Engine'!E28:E53)+SUM('Bi-Weekly Engine'!F28:F53)+SUM('Bi-Weekly Engine'!P28:P53)+SUM('Bi-Weekly Engine'!Q28:Q53)</x:f>
        <x:v>24400</x:v>
      </x:c>
      <x:c r="H3" s="81" t="n">
        <x:f>I3-C3-G3</x:f>
        <x:v>4803.981974528666</x:v>
      </x:c>
      <x:c r="I3" s="82" t="n">
        <x:f>'Bi-Weekly Engine'!M53</x:f>
        <x:v>113482.25991653676</x:v>
      </x:c>
      <x:c r="J3" s="82" t="n">
        <x:f>'Bi-Weekly Engine'!K53</x:f>
        <x:v>17639.99999999991</x:v>
      </x:c>
      <x:c r="K3" s="80" t="str">
        <x:f>IF(B3=Inputs!$B$8,"Withdrawn","")</x:f>
      </x:c>
    </x:row>
    <x:row r="4">
      <x:c r="A4" s="69" t="n">
        <x:f>A3+1</x:f>
        <x:v>27</x:v>
      </x:c>
      <x:c r="B4" s="69" t="n">
        <x:f>B3+1</x:f>
        <x:v>2029</x:v>
      </x:c>
      <x:c r="C4" s="67" t="n">
        <x:f>I3</x:f>
        <x:v>113482.25991653676</x:v>
      </x:c>
      <x:c r="D4" s="68" t="n">
        <x:f>'Bi-Weekly Engine'!I79</x:f>
        <x:v>66726.3509866097</x:v>
      </x:c>
      <x:c r="E4" s="68" t="n">
        <x:f>'Bi-Weekly Engine'!J79</x:f>
        <x:v>61756.59863069558</x:v>
      </x:c>
      <x:c r="F4" s="68" t="n">
        <x:f>'Bi-Weekly Engine'!L79</x:f>
        <x:v>15647.048216484658</x:v>
      </x:c>
      <x:c r="G4" s="67" t="n">
        <x:f>SUM('Bi-Weekly Engine'!E54:E79)+SUM('Bi-Weekly Engine'!F54:F79)+SUM('Bi-Weekly Engine'!P54:P79)+SUM('Bi-Weekly Engine'!Q54:Q79)</x:f>
        <x:v>24400</x:v>
      </x:c>
      <x:c r="H4" s="67" t="n">
        <x:f>I4-C4-G4</x:f>
        <x:v>6247.73791725318</x:v>
      </x:c>
      <x:c r="I4" s="68" t="n">
        <x:f>'Bi-Weekly Engine'!M79</x:f>
        <x:v>144129.99783378994</x:v>
      </x:c>
      <x:c r="J4" s="68" t="n">
        <x:f>'Bi-Weekly Engine'!K79</x:f>
        <x:v>18521.99999999986</x:v>
      </x:c>
      <x:c r="K4" s="69" t="str">
        <x:f>IF(B4=Inputs!$B$8,"Withdrawn","")</x:f>
      </x:c>
    </x:row>
    <x:row r="5">
      <x:c r="A5" s="69" t="n">
        <x:f>A4+1</x:f>
        <x:v>28</x:v>
      </x:c>
      <x:c r="B5" s="69" t="n">
        <x:f>B4+1</x:f>
        <x:v>2030</x:v>
      </x:c>
      <x:c r="C5" s="67" t="n">
        <x:f>I4</x:f>
        <x:v>144129.99783378994</x:v>
      </x:c>
      <x:c r="D5" s="68" t="n">
        <x:f>'Bi-Weekly Engine'!I105</x:f>
        <x:v>78350.54377941278</x:v>
      </x:c>
      <x:c r="E5" s="68" t="n">
        <x:f>'Bi-Weekly Engine'!J105</x:f>
        <x:v>76245.08279409322</x:v>
      </x:c>
      <x:c r="F5" s="68" t="n">
        <x:f>'Bi-Weekly Engine'!L105</x:f>
        <x:v>16374.635958551155</x:v>
      </x:c>
      <x:c r="G5" s="67" t="n">
        <x:f>SUM('Bi-Weekly Engine'!E80:E105)+SUM('Bi-Weekly Engine'!F80:F105)+SUM('Bi-Weekly Engine'!P80:P105)+SUM('Bi-Weekly Engine'!Q80:Q105)</x:f>
        <x:v>19200</x:v>
      </x:c>
      <x:c r="H5" s="67" t="n">
        <x:f>I5-C5-G5</x:f>
        <x:v>7640.264698267216</x:v>
      </x:c>
      <x:c r="I5" s="68" t="n">
        <x:f>'Bi-Weekly Engine'!M105</x:f>
        <x:v>170970.26253205715</x:v>
      </x:c>
      <x:c r="J5" s="68" t="n">
        <x:f>'Bi-Weekly Engine'!K105</x:f>
        <x:v>19448.099999999806</x:v>
      </x:c>
      <x:c r="K5" s="69" t="str">
        <x:f>IF(B5=Inputs!$B$8,"Withdrawn","")</x:f>
      </x:c>
    </x:row>
    <x:row r="6">
      <x:c r="A6" s="69" t="n">
        <x:f>A5+1</x:f>
        <x:v>29</x:v>
      </x:c>
      <x:c r="B6" s="69" t="n">
        <x:f>B5+1</x:f>
        <x:v>2031</x:v>
      </x:c>
      <x:c r="C6" s="67" t="n">
        <x:f>I5</x:f>
        <x:v>170970.26253205715</x:v>
      </x:c>
      <x:c r="D6" s="68" t="n">
        <x:f>'Bi-Weekly Engine'!I131</x:f>
        <x:v>90555.94621185593</x:v>
      </x:c>
      <x:c r="E6" s="68" t="n">
        <x:f>'Bi-Weekly Engine'!J131</x:f>
        <x:v>91210.21143107208</x:v>
      </x:c>
      <x:c r="F6" s="68" t="n">
        <x:f>'Bi-Weekly Engine'!L131</x:f>
        <x:v>17136.05653062374</x:v>
      </x:c>
      <x:c r="G6" s="67" t="n">
        <x:f>SUM('Bi-Weekly Engine'!E106:E131)+SUM('Bi-Weekly Engine'!F106:F131)+SUM('Bi-Weekly Engine'!P106:P131)+SUM('Bi-Weekly Engine'!Q106:Q131)</x:f>
        <x:v>18960</x:v>
      </x:c>
      <x:c r="H6" s="67" t="n">
        <x:f>I6-C6-G6</x:f>
        <x:v>8971.951641494612</x:v>
      </x:c>
      <x:c r="I6" s="68" t="n">
        <x:f>'Bi-Weekly Engine'!M131</x:f>
        <x:v>198902.21417355177</x:v>
      </x:c>
      <x:c r="J6" s="68" t="n">
        <x:f>'Bi-Weekly Engine'!K131</x:f>
        <x:v>20420.504999999743</x:v>
      </x:c>
      <x:c r="K6" s="69" t="str">
        <x:f>IF(B6=Inputs!$B$8,"Withdrawn","")</x:f>
      </x:c>
    </x:row>
    <x:row r="7">
      <x:c r="A7" s="69" t="n">
        <x:f>A6+1</x:f>
        <x:v>30</x:v>
      </x:c>
      <x:c r="B7" s="69" t="n">
        <x:f>B6+1</x:f>
        <x:v>2032</x:v>
      </x:c>
      <x:c r="C7" s="67" t="n">
        <x:f>I6</x:f>
        <x:v>198902.21417355177</x:v>
      </x:c>
      <x:c r="D7" s="68" t="n">
        <x:f>'Bi-Weekly Engine'!I157</x:f>
        <x:v>103371.61876592124</x:v>
      </x:c>
      <x:c r="E7" s="68" t="n">
        <x:f>'Bi-Weekly Engine'!J157</x:f>
        <x:v>106849.2625795232</x:v>
      </x:c>
      <x:c r="F7" s="68" t="n">
        <x:f>'Bi-Weekly Engine'!L157</x:f>
        <x:v>17932.883159297704</x:v>
      </x:c>
      <x:c r="G7" s="67" t="n">
        <x:f>SUM('Bi-Weekly Engine'!E132:E157)+SUM('Bi-Weekly Engine'!F132:F157)+SUM('Bi-Weekly Engine'!P132:P157)+SUM('Bi-Weekly Engine'!Q132:Q157)</x:f>
        <x:v>18888</x:v>
      </x:c>
      <x:c r="H7" s="67" t="n">
        <x:f>I7-C7-G7</x:f>
        <x:v>10363.550331190374</x:v>
      </x:c>
      <x:c r="I7" s="68" t="n">
        <x:f>'Bi-Weekly Engine'!M157</x:f>
        <x:v>228153.76450474214</x:v>
      </x:c>
      <x:c r="J7" s="68" t="n">
        <x:f>'Bi-Weekly Engine'!K157</x:f>
        <x:v>21441.53024999967</x:v>
      </x:c>
      <x:c r="K7" s="69" t="str">
        <x:f>IF(B7=Inputs!$B$8,"Withdrawn","")</x:f>
      </x:c>
    </x:row>
    <x:row r="8">
      <x:c r="A8" s="80" t="n">
        <x:f>A7+1</x:f>
        <x:v>31</x:v>
      </x:c>
      <x:c r="B8" s="80" t="n">
        <x:f>B7+1</x:f>
        <x:v>2033</x:v>
      </x:c>
      <x:c r="C8" s="81" t="n">
        <x:f>I7</x:f>
        <x:v>228153.76450474214</x:v>
      </x:c>
      <x:c r="D8" s="82" t="n">
        <x:f>'Bi-Weekly Engine'!I183</x:f>
        <x:v>116828.07494768975</x:v>
      </x:c>
      <x:c r="E8" s="82" t="n">
        <x:f>'Bi-Weekly Engine'!J183</x:f>
        <x:v>123247.96610928387</x:v>
      </x:c>
      <x:c r="F8" s="82" t="n">
        <x:f>'Bi-Weekly Engine'!L183</x:f>
        <x:v>18766.762226205006</x:v>
      </x:c>
      <x:c r="G8" s="81" t="n">
        <x:f>SUM('Bi-Weekly Engine'!E158:E183)+SUM('Bi-Weekly Engine'!F158:F183)+SUM('Bi-Weekly Engine'!P158:P183)+SUM('Bi-Weekly Engine'!Q158:Q183)</x:f>
        <x:v>18866.4</x:v>
      </x:c>
      <x:c r="H8" s="81" t="n">
        <x:f>I8-C8-G8</x:f>
        <x:v>11822.638778436485</x:v>
      </x:c>
      <x:c r="I8" s="82" t="n">
        <x:f>'Bi-Weekly Engine'!M183</x:f>
        <x:v>258842.80328317863</x:v>
      </x:c>
      <x:c r="J8" s="82" t="n">
        <x:f>'Bi-Weekly Engine'!K183</x:f>
        <x:v>22513.6067624996</x:v>
      </x:c>
      <x:c r="K8" s="80" t="str">
        <x:f>IF(B8=Inputs!$B$8,"Withdrawn","")</x:f>
      </x:c>
    </x:row>
    <x:row r="9">
      <x:c r="A9" s="69" t="n">
        <x:f>A8+1</x:f>
        <x:v>32</x:v>
      </x:c>
      <x:c r="B9" s="69" t="n">
        <x:f>B8+1</x:f>
        <x:v>2034</x:v>
      </x:c>
      <x:c r="C9" s="67" t="n">
        <x:f>I8</x:f>
        <x:v>258842.80328317863</x:v>
      </x:c>
      <x:c r="D9" s="68" t="n">
        <x:f>'Bi-Weekly Engine'!I209</x:f>
        <x:v>130957.35393854667</x:v>
      </x:c>
      <x:c r="E9" s="68" t="n">
        <x:f>'Bi-Weekly Engine'!J209</x:f>
        <x:v>140459.91476269873</x:v>
      </x:c>
      <x:c r="F9" s="68" t="n">
        <x:f>'Bi-Weekly Engine'!L209</x:f>
        <x:v>19639.41666972349</x:v>
      </x:c>
      <x:c r="G9" s="67" t="n">
        <x:f>SUM('Bi-Weekly Engine'!E184:E209)+SUM('Bi-Weekly Engine'!F184:F209)+SUM('Bi-Weekly Engine'!P184:P209)+SUM('Bi-Weekly Engine'!Q184:Q209)</x:f>
        <x:v>18859.92</x:v>
      </x:c>
      <x:c r="H9" s="67" t="n">
        <x:f>I9-C9-G9</x:f>
        <x:v>13353.962087790263</x:v>
      </x:c>
      <x:c r="I9" s="68" t="n">
        <x:f>'Bi-Weekly Engine'!M209</x:f>
        <x:v>291056.6853709689</x:v>
      </x:c>
      <x:c r="J9" s="68" t="n">
        <x:f>'Bi-Weekly Engine'!K209</x:f>
        <x:v>0</x:v>
      </x:c>
      <x:c r="K9" s="69" t="str">
        <x:f>IF(B9=Inputs!$B$8,"Withdrawn","")</x:f>
        <x:v>Withdrawn</x:v>
      </x:c>
    </x:row>
    <x:row r="10">
      <x:c r="A10" s="69" t="n">
        <x:f>A9+1</x:f>
        <x:v>33</x:v>
      </x:c>
      <x:c r="B10" s="69" t="n">
        <x:f>B9+1</x:f>
        <x:v>2035</x:v>
      </x:c>
      <x:c r="C10" s="67" t="n">
        <x:f>I9</x:f>
        <x:v>291056.6853709689</x:v>
      </x:c>
      <x:c r="D10" s="68" t="n">
        <x:f>'Bi-Weekly Engine'!I235</x:f>
        <x:v>145793.09687894635</x:v>
      </x:c>
      <x:c r="E10" s="68" t="n">
        <x:f>'Bi-Weekly Engine'!J235</x:f>
        <x:v>158530.453832934</x:v>
      </x:c>
      <x:c r="F10" s="68" t="n">
        <x:f>'Bi-Weekly Engine'!L235</x:f>
        <x:v>20552.649544865595</x:v>
      </x:c>
      <x:c r="G10" s="67" t="n">
        <x:f>SUM('Bi-Weekly Engine'!E210:E235)+SUM('Bi-Weekly Engine'!F210:F235)+SUM('Bi-Weekly Engine'!P210:P235)+SUM('Bi-Weekly Engine'!Q210:Q235)</x:f>
        <x:v>18857.976</x:v>
      </x:c>
      <x:c r="H10" s="67" t="n">
        <x:f>I10-C10-G10</x:f>
        <x:v>14961.538885777027</x:v>
      </x:c>
      <x:c r="I10" s="68" t="n">
        <x:f>'Bi-Weekly Engine'!M235</x:f>
        <x:v>324876.2002567459</x:v>
      </x:c>
      <x:c r="J10" s="68" t="n">
        <x:f>'Bi-Weekly Engine'!K235</x:f>
        <x:v>0</x:v>
      </x:c>
      <x:c r="K10" s="69" t="str">
        <x:f>IF(B10=Inputs!$B$8,"Withdrawn","")</x:f>
      </x:c>
    </x:row>
    <x:row r="11">
      <x:c r="A11" s="69" t="n">
        <x:f>A10+1</x:f>
        <x:v>34</x:v>
      </x:c>
      <x:c r="B11" s="69" t="n">
        <x:f>B10+1</x:f>
        <x:v>2036</x:v>
      </x:c>
      <x:c r="C11" s="67" t="n">
        <x:f>I10</x:f>
        <x:v>324876.2002567459</x:v>
      </x:c>
      <x:c r="D11" s="68" t="n">
        <x:f>'Bi-Weekly Engine'!I261</x:f>
        <x:v>161370.626966366</x:v>
      </x:c>
      <x:c r="E11" s="68" t="n">
        <x:f>'Bi-Weekly Engine'!J261</x:f>
        <x:v>177503.91775192603</x:v>
      </x:c>
      <x:c r="F11" s="68" t="n">
        <x:f>'Bi-Weekly Engine'!L261</x:f>
        <x:v>21508.34774870179</x:v>
      </x:c>
      <x:c r="G11" s="67" t="n">
        <x:f>SUM('Bi-Weekly Engine'!E236:E261)+SUM('Bi-Weekly Engine'!F236:F261)+SUM('Bi-Weekly Engine'!P236:P261)+SUM('Bi-Weekly Engine'!Q236:Q261)</x:f>
        <x:v>18857.3928</x:v>
      </x:c>
      <x:c r="H11" s="67" t="n">
        <x:f>I11-C11-G11</x:f>
        <x:v>16649.299410247913</x:v>
      </x:c>
      <x:c r="I11" s="68" t="n">
        <x:f>'Bi-Weekly Engine'!M261</x:f>
        <x:v>360382.8924669938</x:v>
      </x:c>
      <x:c r="J11" s="68" t="n">
        <x:f>'Bi-Weekly Engine'!K261</x:f>
        <x:v>0</x:v>
      </x:c>
      <x:c r="K11" s="69" t="str">
        <x:f>IF(B11=Inputs!$B$8,"Withdrawn","")</x:f>
      </x:c>
    </x:row>
    <x:row r="12">
      <x:c r="A12" s="69" t="n">
        <x:f>A11+1</x:f>
        <x:v>35</x:v>
      </x:c>
      <x:c r="B12" s="69" t="n">
        <x:f>B11+1</x:f>
        <x:v>2037</x:v>
      </x:c>
      <x:c r="C12" s="67" t="n">
        <x:f>I11</x:f>
        <x:v>360382.8924669938</x:v>
      </x:c>
      <x:c r="D12" s="68" t="n">
        <x:f>'Bi-Weekly Engine'!I287</x:f>
        <x:v>177727.0335581567</x:v>
      </x:c>
      <x:c r="E12" s="68" t="n">
        <x:f>'Bi-Weekly Engine'!J287</x:f>
        <x:v>197425.87423544104</x:v>
      </x:c>
      <x:c r="F12" s="68" t="n">
        <x:f>'Bi-Weekly Engine'!L287</x:f>
        <x:v>22508.485919016373</x:v>
      </x:c>
      <x:c r="G12" s="67" t="n">
        <x:f>SUM('Bi-Weekly Engine'!E262:E287)+SUM('Bi-Weekly Engine'!F262:F287)+SUM('Bi-Weekly Engine'!P262:P287)+SUM('Bi-Weekly Engine'!Q262:Q287)</x:f>
        <x:v>18857.21784</x:v>
      </x:c>
      <x:c r="H12" s="67" t="n">
        <x:f>I12-C12-G12</x:f>
        <x:v>18421.283405620252</x:v>
      </x:c>
      <x:c r="I12" s="68" t="n">
        <x:f>'Bi-Weekly Engine'!M287</x:f>
        <x:v>397661.3937126141</x:v>
      </x:c>
      <x:c r="J12" s="68" t="n">
        <x:f>'Bi-Weekly Engine'!K287</x:f>
        <x:v>0</x:v>
      </x:c>
      <x:c r="K12" s="69" t="str">
        <x:f>IF(B12=Inputs!$B$8,"Withdrawn","")</x:f>
      </x:c>
    </x:row>
    <x:row r="13">
      <x:c r="A13" s="80" t="n">
        <x:f>A12+1</x:f>
        <x:v>36</x:v>
      </x:c>
      <x:c r="B13" s="80" t="n">
        <x:f>B12+1</x:f>
        <x:v>2038</x:v>
      </x:c>
      <x:c r="C13" s="81" t="n">
        <x:f>I12</x:f>
        <x:v>397661.3937126141</x:v>
      </x:c>
      <x:c r="D13" s="82" t="n">
        <x:f>'Bi-Weekly Engine'!I313</x:f>
        <x:v>194901.2604795368</x:v>
      </x:c>
      <x:c r="E13" s="82" t="n">
        <x:f>'Bi-Weekly Engine'!J313</x:f>
        <x:v>218343.87435370384</x:v>
      </x:c>
      <x:c r="F13" s="82" t="n">
        <x:f>'Bi-Weekly Engine'!L313</x:f>
        <x:v>23555.130514250584</x:v>
      </x:c>
      <x:c r="G13" s="81" t="n">
        <x:f>SUM('Bi-Weekly Engine'!E288:E313)+SUM('Bi-Weekly Engine'!F288:F313)+SUM('Bi-Weekly Engine'!P288:P313)+SUM('Bi-Weekly Engine'!Q288:Q313)</x:f>
        <x:v>18857.165352</x:v>
      </x:c>
      <x:c r="H13" s="81" t="n">
        <x:f>I13-C13-G13</x:f>
        <x:v>20281.70628287717</x:v>
      </x:c>
      <x:c r="I13" s="82" t="n">
        <x:f>'Bi-Weekly Engine'!M313</x:f>
        <x:v>436800.26534749125</x:v>
      </x:c>
      <x:c r="J13" s="82" t="n">
        <x:f>'Bi-Weekly Engine'!K313</x:f>
        <x:v>0</x:v>
      </x:c>
      <x:c r="K13" s="80" t="str">
        <x:f>IF(B13=Inputs!$B$8,"Withdrawn","")</x:f>
      </x:c>
    </x:row>
    <x:row r="14">
      <x:c r="A14" s="69" t="n">
        <x:f>A13+1</x:f>
        <x:v>37</x:v>
      </x:c>
      <x:c r="B14" s="69" t="n">
        <x:f>B13+1</x:f>
        <x:v>2039</x:v>
      </x:c>
      <x:c r="C14" s="67" t="n">
        <x:f>I13</x:f>
        <x:v>436800.26534749125</x:v>
      </x:c>
      <x:c r="D14" s="68" t="n">
        <x:f>'Bi-Weekly Engine'!I339</x:f>
        <x:v>212934.1987469859</x:v>
      </x:c>
      <x:c r="E14" s="68" t="n">
        <x:f>'Bi-Weekly Engine'!J339</x:f>
        <x:v>240307.75822105128</x:v>
      </x:c>
      <x:c r="F14" s="68" t="n">
        <x:f>'Bi-Weekly Engine'!L339</x:f>
        <x:v>24650.444083163184</x:v>
      </x:c>
      <x:c r="G14" s="67" t="n">
        <x:f>SUM('Bi-Weekly Engine'!E314:E339)+SUM('Bi-Weekly Engine'!F314:F339)+SUM('Bi-Weekly Engine'!P314:P339)+SUM('Bi-Weekly Engine'!Q314:Q339)</x:f>
        <x:v>18857.1496056</x:v>
      </x:c>
      <x:c r="H14" s="67" t="n">
        <x:f>I14-C14-G14</x:f>
        <x:v>22234.986098109093</x:v>
      </x:c>
      <x:c r="I14" s="68" t="n">
        <x:f>'Bi-Weekly Engine'!M339</x:f>
        <x:v>477892.40105120034</x:v>
      </x:c>
      <x:c r="J14" s="68" t="n">
        <x:f>'Bi-Weekly Engine'!K339</x:f>
        <x:v>0</x:v>
      </x:c>
      <x:c r="K14" s="69" t="str">
        <x:f>IF(B14=Inputs!$B$8,"Withdrawn","")</x:f>
      </x:c>
    </x:row>
    <x:row r="15">
      <x:c r="A15" s="69" t="n">
        <x:f>A14+1</x:f>
        <x:v>38</x:v>
      </x:c>
      <x:c r="B15" s="69" t="n">
        <x:f>B14+1</x:f>
        <x:v>2040</x:v>
      </x:c>
      <x:c r="C15" s="67" t="n">
        <x:f>I14</x:f>
        <x:v>477892.40105120034</x:v>
      </x:c>
      <x:c r="D15" s="68" t="n">
        <x:f>'Bi-Weekly Engine'!I365</x:f>
        <x:v>231868.78392780738</x:v>
      </x:c>
      <x:c r="E15" s="68" t="n">
        <x:f>'Bi-Weekly Engine'!J365</x:f>
        <x:v>263369.8314047175</x:v>
      </x:c>
      <x:c r="F15" s="68" t="n">
        <x:f>'Bi-Weekly Engine'!L365</x:f>
        <x:v>25796.6897330302</x:v>
      </x:c>
      <x:c r="G15" s="67" t="n">
        <x:f>SUM('Bi-Weekly Engine'!E340:E365)+SUM('Bi-Weekly Engine'!F340:F365)+SUM('Bi-Weekly Engine'!P340:P365)+SUM('Bi-Weekly Engine'!Q340:Q365)</x:f>
        <x:v>18857.14488168</x:v>
      </x:c>
      <x:c r="H15" s="67" t="n">
        <x:f>I15-C15-G15</x:f>
        <x:v>24285.759132674746</x:v>
      </x:c>
      <x:c r="I15" s="68" t="n">
        <x:f>'Bi-Weekly Engine'!M365</x:f>
        <x:v>521035.3050655551</x:v>
      </x:c>
      <x:c r="J15" s="68" t="n">
        <x:f>'Bi-Weekly Engine'!K365</x:f>
        <x:v>0</x:v>
      </x:c>
      <x:c r="K15" s="69" t="str">
        <x:f>IF(B15=Inputs!$B$8,"Withdrawn","")</x:f>
      </x:c>
    </x:row>
    <x:row r="16">
      <x:c r="A16" s="69" t="n">
        <x:f>A15+1</x:f>
        <x:v>39</x:v>
      </x:c>
      <x:c r="B16" s="69" t="n">
        <x:f>B15+1</x:f>
        <x:v>2041</x:v>
      </x:c>
      <x:c r="C16" s="67" t="n">
        <x:f>I15</x:f>
        <x:v>521035.3050655551</x:v>
      </x:c>
      <x:c r="D16" s="68" t="n">
        <x:f>'Bi-Weekly Engine'!I391</x:f>
        <x:v>251750.0983676699</x:v>
      </x:c>
      <x:c r="E16" s="68" t="n">
        <x:f>'Bi-Weekly Engine'!J391</x:f>
        <x:v>287585.0067844524</x:v>
      </x:c>
      <x:c r="F16" s="68" t="n">
        <x:f>'Bi-Weekly Engine'!L391</x:f>
        <x:v>26996.23580561603</x:v>
      </x:c>
      <x:c r="G16" s="67" t="n">
        <x:f>SUM('Bi-Weekly Engine'!E366:E391)+SUM('Bi-Weekly Engine'!F366:F391)+SUM('Bi-Weekly Engine'!P366:P391)+SUM('Bi-Weekly Engine'!Q366:Q391)</x:f>
        <x:v>18857.143464504</x:v>
      </x:c>
      <x:c r="H16" s="67" t="n">
        <x:f>I16-C16-G16</x:f>
        <x:v>26438.892427679253</x:v>
      </x:c>
      <x:c r="I16" s="68" t="n">
        <x:f>'Bi-Weekly Engine'!M391</x:f>
        <x:v>566331.3409577383</x:v>
      </x:c>
      <x:c r="J16" s="68" t="n">
        <x:f>'Bi-Weekly Engine'!K391</x:f>
        <x:v>0</x:v>
      </x:c>
      <x:c r="K16" s="69" t="str">
        <x:f>IF(B16=Inputs!$B$8,"Withdrawn","")</x:f>
      </x:c>
    </x:row>
    <x:row r="17">
      <x:c r="A17" s="69" t="n">
        <x:f>A16+1</x:f>
        <x:v>40</x:v>
      </x:c>
      <x:c r="B17" s="69" t="n">
        <x:f>B16+1</x:f>
        <x:v>2042</x:v>
      </x:c>
      <x:c r="C17" s="67" t="n">
        <x:f>I16</x:f>
        <x:v>566331.3409577383</x:v>
      </x:c>
      <x:c r="D17" s="68" t="n">
        <x:f>'Bi-Weekly Engine'!I417</x:f>
        <x:v>272625.47852952546</x:v>
      </x:c>
      <x:c r="E17" s="68" t="n">
        <x:f>'Bi-Weekly Engine'!J417</x:f>
        <x:v>313010.9404942397</x:v>
      </x:c>
      <x:c r="F17" s="68" t="n">
        <x:f>'Bi-Weekly Engine'!L417</x:f>
        <x:v>28251.560770577118</x:v>
      </x:c>
      <x:c r="G17" s="67" t="n">
        <x:f>SUM('Bi-Weekly Engine'!E392:E417)+SUM('Bi-Weekly Engine'!F392:F417)+SUM('Bi-Weekly Engine'!P392:P417)+SUM('Bi-Weekly Engine'!Q392:Q417)</x:f>
        <x:v>18857.1430393512</x:v>
      </x:c>
      <x:c r="H17" s="67" t="n">
        <x:f>I17-C17-G17</x:f>
        <x:v>28699.495797252763</x:v>
      </x:c>
      <x:c r="I17" s="68" t="n">
        <x:f>'Bi-Weekly Engine'!M417</x:f>
        <x:v>613887.9797943423</x:v>
      </x:c>
      <x:c r="J17" s="68" t="n">
        <x:f>'Bi-Weekly Engine'!K417</x:f>
        <x:v>0</x:v>
      </x:c>
      <x:c r="K17" s="69" t="str">
        <x:f>IF(B17=Inputs!$B$8,"Withdrawn","")</x:f>
      </x:c>
    </x:row>
    <x:row r="18">
      <x:c r="A18" s="80" t="n">
        <x:f>A17+1</x:f>
        <x:v>41</x:v>
      </x:c>
      <x:c r="B18" s="80" t="n">
        <x:f>B17+1</x:f>
        <x:v>2043</x:v>
      </x:c>
      <x:c r="C18" s="81" t="n">
        <x:f>I17</x:f>
        <x:v>613887.9797943423</x:v>
      </x:c>
      <x:c r="D18" s="82" t="n">
        <x:f>'Bi-Weekly Engine'!I443</x:f>
        <x:v>294544.6276994739</x:v>
      </x:c>
      <x:c r="E18" s="82" t="n">
        <x:f>'Bi-Weekly Engine'!J443</x:f>
        <x:v>339708.1707578359</x:v>
      </x:c>
      <x:c r="F18" s="82" t="n">
        <x:f>'Bi-Weekly Engine'!L443</x:f>
        <x:v>29565.258346408897</x:v>
      </x:c>
      <x:c r="G18" s="81" t="n">
        <x:f>SUM('Bi-Weekly Engine'!E418:E443)+SUM('Bi-Weekly Engine'!F418:F443)+SUM('Bi-Weekly Engine'!P418:P443)+SUM('Bi-Weekly Engine'!Q418:Q443)</x:f>
        <x:v>18857.14291180536</x:v>
      </x:c>
      <x:c r="H18" s="81" t="n">
        <x:f>I18-C18-G18</x:f>
        <x:v>31072.93409757101</x:v>
      </x:c>
      <x:c r="I18" s="82" t="n">
        <x:f>'Bi-Weekly Engine'!M443</x:f>
        <x:v>663818.0568037187</x:v>
      </x:c>
      <x:c r="J18" s="82" t="n">
        <x:f>'Bi-Weekly Engine'!K443</x:f>
        <x:v>0</x:v>
      </x:c>
      <x:c r="K18" s="80" t="str">
        <x:f>IF(B18=Inputs!$B$8,"Withdrawn","")</x:f>
      </x:c>
    </x:row>
    <x:row r="19">
      <x:c r="A19" s="69" t="n">
        <x:f>A18+1</x:f>
        <x:v>42</x:v>
      </x:c>
      <x:c r="B19" s="69" t="n">
        <x:f>B18+1</x:f>
        <x:v>2044</x:v>
      </x:c>
      <x:c r="C19" s="67" t="n">
        <x:f>I18</x:f>
        <x:v>663818.0568037187</x:v>
      </x:c>
      <x:c r="D19" s="68" t="n">
        <x:f>'Bi-Weekly Engine'!I469</x:f>
        <x:v>317559.7343279196</x:v>
      </x:c>
      <x:c r="E19" s="68" t="n">
        <x:f>'Bi-Weekly Engine'!J469</x:f>
        <x:v>367740.2624951077</x:v>
      </x:c>
      <x:c r="F19" s="68" t="n">
        <x:f>'Bi-Weekly Engine'!L469</x:f>
        <x:v>30940.042859516834</x:v>
      </x:c>
      <x:c r="G19" s="67" t="n">
        <x:f>SUM('Bi-Weekly Engine'!E444:E469)+SUM('Bi-Weekly Engine'!F444:F469)+SUM('Bi-Weekly Engine'!P444:P469)+SUM('Bi-Weekly Engine'!Q444:Q469)</x:f>
        <x:v>18857.14287354161</x:v>
      </x:c>
      <x:c r="H19" s="67" t="n">
        <x:f>I19-C19-G19</x:f>
        <x:v>33564.84000528378</x:v>
      </x:c>
      <x:c r="I19" s="68" t="n">
        <x:f>'Bi-Weekly Engine'!M469</x:f>
        <x:v>716240.0396825441</x:v>
      </x:c>
      <x:c r="J19" s="68" t="n">
        <x:f>'Bi-Weekly Engine'!K469</x:f>
        <x:v>0</x:v>
      </x:c>
      <x:c r="K19" s="69" t="str">
        <x:f>IF(B19=Inputs!$B$8,"Withdrawn","")</x:f>
      </x:c>
    </x:row>
    <x:row r="20">
      <x:c r="A20" s="69" t="n">
        <x:f>A19+1</x:f>
        <x:v>43</x:v>
      </x:c>
      <x:c r="B20" s="69" t="n">
        <x:f>B19+1</x:f>
        <x:v>2045</x:v>
      </x:c>
      <x:c r="C20" s="67" t="n">
        <x:f>I19</x:f>
        <x:v>716240.0396825441</x:v>
      </x:c>
      <x:c r="D20" s="68" t="n">
        <x:f>'Bi-Weekly Engine'!I495</x:f>
        <x:v>341725.5962877875</x:v>
      </x:c>
      <x:c r="E20" s="68" t="n">
        <x:f>'Bi-Weekly Engine'!J495</x:f>
        <x:v>397173.95880739193</x:v>
      </x:c>
      <x:c r="F20" s="68" t="n">
        <x:f>'Bi-Weekly Engine'!L495</x:f>
        <x:v>32378.754852484286</x:v>
      </x:c>
      <x:c r="G20" s="67" t="n">
        <x:f>SUM('Bi-Weekly Engine'!E470:E495)+SUM('Bi-Weekly Engine'!F470:F495)+SUM('Bi-Weekly Engine'!P470:P495)+SUM('Bi-Weekly Engine'!Q470:Q495)</x:f>
        <x:v>18857.142862062483</x:v>
      </x:c>
      <x:c r="H20" s="67" t="n">
        <x:f>I20-C20-G20</x:f>
        <x:v>36181.12740305725</x:v>
      </x:c>
      <x:c r="I20" s="68" t="n">
        <x:f>'Bi-Weekly Engine'!M495</x:f>
        <x:v>771278.3099476638</x:v>
      </x:c>
      <x:c r="J20" s="68" t="n">
        <x:f>'Bi-Weekly Engine'!K495</x:f>
        <x:v>0</x:v>
      </x:c>
      <x:c r="K20" s="69" t="str">
        <x:f>IF(B20=Inputs!$B$8,"Withdrawn","")</x:f>
      </x:c>
    </x:row>
    <x:row r="21">
      <x:c r="A21" s="69" t="n">
        <x:f>A20+1</x:f>
        <x:v>44</x:v>
      </x:c>
      <x:c r="B21" s="69" t="n">
        <x:f>B20+1</x:f>
        <x:v>2046</x:v>
      </x:c>
      <x:c r="C21" s="67" t="n">
        <x:f>I20</x:f>
        <x:v>771278.3099476638</x:v>
      </x:c>
      <x:c r="D21" s="68" t="n">
        <x:f>'Bi-Weekly Engine'!I521</x:f>
        <x:v>367099.75134564866</x:v>
      </x:c>
      <x:c r="E21" s="68" t="n">
        <x:f>'Bi-Weekly Engine'!J521</x:f>
        <x:v>428079.33993173484</x:v>
      </x:c>
      <x:c r="F21" s="68" t="n">
        <x:f>'Bi-Weekly Engine'!L521</x:f>
        <x:v>33884.36695312473</x:v>
      </x:c>
      <x:c r="G21" s="67" t="n">
        <x:f>SUM('Bi-Weekly Engine'!E496:E521)+SUM('Bi-Weekly Engine'!F496:F521)+SUM('Bi-Weekly Engine'!P496:P521)+SUM('Bi-Weekly Engine'!Q496:Q521)</x:f>
        <x:v>18857.142858618747</x:v>
      </x:c>
      <x:c r="H21" s="67" t="n">
        <x:f>I21-C21-G21</x:f>
        <x:v>38928.00542422571</x:v>
      </x:c>
      <x:c r="I21" s="68" t="n">
        <x:f>'Bi-Weekly Engine'!M521</x:f>
        <x:v>829063.4582305083</x:v>
      </x:c>
      <x:c r="J21" s="68" t="n">
        <x:f>'Bi-Weekly Engine'!K521</x:f>
        <x:v>0</x:v>
      </x:c>
      <x:c r="K21" s="69" t="str">
        <x:f>IF(B21=Inputs!$B$8,"Withdrawn","")</x:f>
      </x:c>
    </x:row>
    <x:row r="22">
      <x:c r="A22" s="69" t="n">
        <x:f>A21+1</x:f>
        <x:v>45</x:v>
      </x:c>
      <x:c r="B22" s="69" t="n">
        <x:f>B21+1</x:f>
        <x:v>2047</x:v>
      </x:c>
      <x:c r="C22" s="67" t="n">
        <x:f>I21</x:f>
        <x:v>829063.4582305083</x:v>
      </x:c>
      <x:c r="D22" s="68" t="n">
        <x:f>'Bi-Weekly Engine'!I547</x:f>
        <x:v>393742.61415640294</x:v>
      </x:c>
      <x:c r="E22" s="68" t="n">
        <x:f>'Bi-Weekly Engine'!J547</x:f>
        <x:v>460529.9901112283</x:v>
      </x:c>
      <x:c r="F22" s="68" t="n">
        <x:f>'Bi-Weekly Engine'!L547</x:f>
        <x:v>35459.990016444935</x:v>
      </x:c>
      <x:c r="G22" s="67" t="n">
        <x:f>SUM('Bi-Weekly Engine'!E522:E547)+SUM('Bi-Weekly Engine'!F522:F547)+SUM('Bi-Weekly Engine'!P522:P547)+SUM('Bi-Weekly Engine'!Q522:Q547)</x:f>
        <x:v>18857.142857585623</x:v>
      </x:c>
      <x:c r="H22" s="67" t="n">
        <x:f>I22-C22-G22</x:f>
        <x:v>41811.99319598224</x:v>
      </x:c>
      <x:c r="I22" s="68" t="n">
        <x:f>'Bi-Weekly Engine'!M547</x:f>
        <x:v>889732.5942840761</x:v>
      </x:c>
      <x:c r="J22" s="68" t="n">
        <x:f>'Bi-Weekly Engine'!K547</x:f>
        <x:v>0</x:v>
      </x:c>
      <x:c r="K22" s="69" t="str">
        <x:f>IF(B22=Inputs!$B$8,"Withdrawn","")</x:f>
      </x:c>
    </x:row>
    <x:row r="23">
      <x:c r="A23" s="80" t="n">
        <x:f>A22+1</x:f>
        <x:v>46</x:v>
      </x:c>
      <x:c r="B23" s="80" t="n">
        <x:f>B22+1</x:f>
        <x:v>2048</x:v>
      </x:c>
      <x:c r="C23" s="81" t="n">
        <x:f>I22</x:f>
        <x:v>889732.5942840761</x:v>
      </x:c>
      <x:c r="D23" s="82" t="n">
        <x:f>'Bi-Weekly Engine'!I573</x:f>
        <x:v>421717.62010769465</x:v>
      </x:c>
      <x:c r="E23" s="82" t="n">
        <x:f>'Bi-Weekly Engine'!J573</x:f>
        <x:v>494603.1727993763</x:v>
      </x:c>
      <x:c r="F23" s="82" t="n">
        <x:f>'Bi-Weekly Engine'!L573</x:f>
        <x:v>37108.879552209546</x:v>
      </x:c>
      <x:c r="G23" s="81" t="n">
        <x:f>SUM('Bi-Weekly Engine'!E548:E573)+SUM('Bi-Weekly Engine'!F548:F573)+SUM('Bi-Weekly Engine'!P548:P573)+SUM('Bi-Weekly Engine'!Q548:Q573)</x:f>
        <x:v>18857.142857275685</x:v>
      </x:c>
      <x:c r="H23" s="81" t="n">
        <x:f>I23-C23-G23</x:f>
        <x:v>44839.935317928655</x:v>
      </x:c>
      <x:c r="I23" s="82" t="n">
        <x:f>'Bi-Weekly Engine'!M573</x:f>
        <x:v>953429.6724592805</x:v>
      </x:c>
      <x:c r="J23" s="82" t="n">
        <x:f>'Bi-Weekly Engine'!K573</x:f>
        <x:v>0</x:v>
      </x:c>
      <x:c r="K23" s="80" t="str">
        <x:f>IF(B23=Inputs!$B$8,"Withdrawn","")</x:f>
      </x:c>
    </x:row>
    <x:row r="24">
      <x:c r="A24" s="69" t="n">
        <x:f>A23+1</x:f>
        <x:v>47</x:v>
      </x:c>
      <x:c r="B24" s="69" t="n">
        <x:f>B23+1</x:f>
        <x:v>2049</x:v>
      </x:c>
      <x:c r="C24" s="67" t="n">
        <x:f>I23</x:f>
        <x:v>953429.6724592805</x:v>
      </x:c>
      <x:c r="D24" s="68" t="n">
        <x:f>'Bi-Weekly Engine'!I599</x:f>
        <x:v>451091.3763565511</x:v>
      </x:c>
      <x:c r="E24" s="68" t="n">
        <x:f>'Bi-Weekly Engine'!J599</x:f>
        <x:v>530380.0146218357</x:v>
      </x:c>
      <x:c r="F24" s="68" t="n">
        <x:f>'Bi-Weekly Engine'!L599</x:f>
        <x:v>38834.442451387185</x:v>
      </x:c>
      <x:c r="G24" s="67" t="n">
        <x:f>SUM('Bi-Weekly Engine'!E574:E599)+SUM('Bi-Weekly Engine'!F574:F599)+SUM('Bi-Weekly Engine'!P574:P599)+SUM('Bi-Weekly Engine'!Q574:Q599)</x:f>
        <x:v>18857.142857182705</x:v>
      </x:c>
      <x:c r="H24" s="67" t="n">
        <x:f>I24-C24-G24</x:f>
        <x:v>48019.01811331075</x:v>
      </x:c>
      <x:c r="I24" s="68" t="n">
        <x:f>'Bi-Weekly Engine'!M599</x:f>
        <x:v>1020305.8334297739</x:v>
      </x:c>
      <x:c r="J24" s="68" t="n">
        <x:f>'Bi-Weekly Engine'!K599</x:f>
        <x:v>0</x:v>
      </x:c>
      <x:c r="K24" s="69" t="str">
        <x:f>IF(B24=Inputs!$B$8,"Withdrawn","")</x:f>
      </x:c>
    </x:row>
    <x:row r="25">
      <x:c r="A25" s="69" t="n">
        <x:f>A24+1</x:f>
        <x:v>48</x:v>
      </x:c>
      <x:c r="B25" s="69" t="n">
        <x:f>B24+1</x:f>
        <x:v>2050</x:v>
      </x:c>
      <x:c r="C25" s="67" t="n">
        <x:f>I24</x:f>
        <x:v>1020305.8334297739</x:v>
      </x:c>
      <x:c r="D25" s="68" t="n">
        <x:f>'Bi-Weekly Engine'!I625</x:f>
        <x:v>481933.8204178502</x:v>
      </x:c>
      <x:c r="E25" s="68" t="n">
        <x:f>'Bi-Weekly Engine'!J625</x:f>
        <x:v>567945.6985353892</x:v>
      </x:c>
      <x:c r="F25" s="68" t="n">
        <x:f>'Bi-Weekly Engine'!L625</x:f>
        <x:v>40640.24402537659</x:v>
      </x:c>
      <x:c r="G25" s="67" t="n">
        <x:f>SUM('Bi-Weekly Engine'!E600:E625)+SUM('Bi-Weekly Engine'!F600:F625)+SUM('Bi-Weekly Engine'!P600:P625)+SUM('Bi-Weekly Engine'!Q600:Q625)</x:f>
        <x:v>18857.142857154813</x:v>
      </x:c>
      <x:c r="H25" s="67" t="n">
        <x:f>I25-C25-G25</x:f>
        <x:v>51356.7866916872</x:v>
      </x:c>
      <x:c r="I25" s="68" t="n">
        <x:f>'Bi-Weekly Engine'!M625</x:f>
        <x:v>1090519.762978616</x:v>
      </x:c>
      <x:c r="J25" s="68" t="n">
        <x:f>'Bi-Weekly Engine'!K625</x:f>
        <x:v>0</x:v>
      </x:c>
      <x:c r="K25" s="69" t="str">
        <x:f>IF(B25=Inputs!$B$8,"Withdrawn","")</x:f>
      </x:c>
    </x:row>
    <x:row r="26">
      <x:c r="A26" s="69" t="n">
        <x:f>A25+1</x:f>
        <x:v>49</x:v>
      </x:c>
      <x:c r="B26" s="69" t="n">
        <x:f>B25+1</x:f>
        <x:v>2051</x:v>
      </x:c>
      <x:c r="C26" s="67" t="n">
        <x:f>I25</x:f>
        <x:v>1090519.762978616</x:v>
      </x:c>
      <x:c r="D26" s="68" t="n">
        <x:f>'Bi-Weekly Engine'!I651</x:f>
        <x:v>514318.3866822141</x:v>
      </x:c>
      <x:c r="E26" s="68" t="n">
        <x:f>'Bi-Weekly Engine'!J651</x:f>
        <x:v>607389.6666446113</x:v>
      </x:c>
      <x:c r="F26" s="68" t="n">
        <x:f>'Bi-Weekly Engine'!L651</x:f>
        <x:v>42530.01537255651</x:v>
      </x:c>
      <x:c r="G26" s="67" t="n">
        <x:f>SUM('Bi-Weekly Engine'!E626:E651)+SUM('Bi-Weekly Engine'!F626:F651)+SUM('Bi-Weekly Engine'!P626:P651)+SUM('Bi-Weekly Engine'!Q626:Q651)</x:f>
        <x:v>18857.142857146442</x:v>
      </x:c>
      <x:c r="H26" s="67" t="n">
        <x:f>I26-C26-G26</x:f>
        <x:v>54861.1628636194</x:v>
      </x:c>
      <x:c r="I26" s="68" t="n">
        <x:f>'Bi-Weekly Engine'!M651</x:f>
        <x:v>1164238.0686993818</x:v>
      </x:c>
      <x:c r="J26" s="68" t="n">
        <x:f>'Bi-Weekly Engine'!K651</x:f>
        <x:v>0</x:v>
      </x:c>
      <x:c r="K26" s="69" t="str">
        <x:f>IF(B26=Inputs!$B$8,"Withdrawn","")</x:f>
      </x:c>
    </x:row>
    <x:row r="27">
      <x:c r="A27" s="69" t="n">
        <x:f>A26+1</x:f>
        <x:v>50</x:v>
      </x:c>
      <x:c r="B27" s="69" t="n">
        <x:f>B26+1</x:f>
        <x:v>2052</x:v>
      </x:c>
      <x:c r="C27" s="67" t="n">
        <x:f>I26</x:f>
        <x:v>1164238.0686993818</x:v>
      </x:c>
      <x:c r="D27" s="68" t="n">
        <x:f>'Bi-Weekly Engine'!I677</x:f>
        <x:v>548322.1812597964</x:v>
      </x:c>
      <x:c r="E27" s="68" t="n">
        <x:f>'Bi-Weekly Engine'!J677</x:f>
        <x:v>648805.8331592917</x:v>
      </x:c>
      <x:c r="F27" s="68" t="n">
        <x:f>'Bi-Weekly Engine'!L677</x:f>
        <x:v>44507.661087380286</x:v>
      </x:c>
      <x:c r="G27" s="67" t="n">
        <x:f>SUM('Bi-Weekly Engine'!E652:E677)+SUM('Bi-Weekly Engine'!F652:F677)+SUM('Bi-Weekly Engine'!P652:P677)+SUM('Bi-Weekly Engine'!Q652:Q677)</x:f>
        <x:v>18857.142857143932</x:v>
      </x:c>
      <x:c r="H27" s="67" t="n">
        <x:f>I27-C27-G27</x:f>
        <x:v>58540.463949942685</x:v>
      </x:c>
      <x:c r="I27" s="68" t="n">
        <x:f>'Bi-Weekly Engine'!M677</x:f>
        <x:v>1241635.6755064684</x:v>
      </x:c>
      <x:c r="J27" s="68" t="n">
        <x:f>'Bi-Weekly Engine'!K677</x:f>
        <x:v>0</x:v>
      </x:c>
      <x:c r="K27" s="69" t="str">
        <x:f>IF(B27=Inputs!$B$8,"Withdrawn","")</x:f>
      </x:c>
    </x:row>
    <x:row r="28">
      <x:c r="A28" s="80" t="n">
        <x:f>A27+1</x:f>
        <x:v>51</x:v>
      </x:c>
      <x:c r="B28" s="80" t="n">
        <x:f>B27+1</x:f>
        <x:v>2053</x:v>
      </x:c>
      <x:c r="C28" s="81" t="n">
        <x:f>I27</x:f>
        <x:v>1241635.6755064684</x:v>
      </x:c>
      <x:c r="D28" s="82" t="n">
        <x:f>'Bi-Weekly Engine'!I703</x:f>
        <x:v>584026.1655662573</x:v>
      </x:c>
      <x:c r="E28" s="82" t="n">
        <x:f>'Bi-Weekly Engine'!J703</x:f>
        <x:v>692292.8079997052</x:v>
      </x:c>
      <x:c r="F28" s="82" t="n">
        <x:f>'Bi-Weekly Engine'!L703</x:f>
        <x:v>46577.267327943344</x:v>
      </x:c>
      <x:c r="G28" s="81" t="n">
        <x:f>SUM('Bi-Weekly Engine'!E678:E703)+SUM('Bi-Weekly Engine'!F678:F703)+SUM('Bi-Weekly Engine'!P678:P703)+SUM('Bi-Weekly Engine'!Q678:Q703)</x:f>
        <x:v>18857.14285714318</x:v>
      </x:c>
      <x:c r="H28" s="81" t="n">
        <x:f>I28-C28-G28</x:f>
        <x:v>62403.42253029441</x:v>
      </x:c>
      <x:c r="I28" s="82" t="n">
        <x:f>'Bi-Weekly Engine'!M703</x:f>
        <x:v>1322896.240893906</x:v>
      </x:c>
      <x:c r="J28" s="82" t="n">
        <x:f>'Bi-Weekly Engine'!K703</x:f>
        <x:v>0</x:v>
      </x:c>
      <x:c r="K28" s="80" t="str">
        <x:f>IF(B28=Inputs!$B$8,"Withdrawn","")</x:f>
      </x:c>
    </x:row>
    <x:row r="29">
      <x:c r="A29" s="69" t="n">
        <x:f>A28+1</x:f>
        <x:v>52</x:v>
      </x:c>
      <x:c r="B29" s="69" t="n">
        <x:f>B28+1</x:f>
        <x:v>2054</x:v>
      </x:c>
      <x:c r="C29" s="67" t="n">
        <x:f>I28</x:f>
        <x:v>1322896.240893906</x:v>
      </x:c>
      <x:c r="D29" s="68" t="n">
        <x:f>'Bi-Weekly Engine'!I729</x:f>
        <x:v>621515.3490880415</x:v>
      </x:c>
      <x:c r="E29" s="68" t="n">
        <x:f>'Bi-Weekly Engine'!J729</x:f>
        <x:v>737954.1315821395</x:v>
      </x:c>
      <x:c r="F29" s="68" t="n">
        <x:f>'Bi-Weekly Engine'!L729</x:f>
        <x:v>48743.11025869259</x:v>
      </x:c>
      <x:c r="G29" s="67" t="n">
        <x:f>SUM('Bi-Weekly Engine'!E704:E729)+SUM('Bi-Weekly Engine'!F704:F729)+SUM('Bi-Weekly Engine'!P704:P729)+SUM('Bi-Weekly Engine'!Q704:Q729)</x:f>
        <x:v>18857.142857142953</x:v>
      </x:c>
      <x:c r="H29" s="67" t="n">
        <x:f>I29-C29-G29</x:f>
        <x:v>66459.2071778248</x:v>
      </x:c>
      <x:c r="I29" s="68" t="n">
        <x:f>'Bi-Weekly Engine'!M729</x:f>
        <x:v>1408212.5909288737</x:v>
      </x:c>
      <x:c r="J29" s="68" t="n">
        <x:f>'Bi-Weekly Engine'!K729</x:f>
        <x:v>0</x:v>
      </x:c>
      <x:c r="K29" s="69" t="str">
        <x:f>IF(B29=Inputs!$B$8,"Withdrawn","")</x:f>
      </x:c>
    </x:row>
    <x:row r="30">
      <x:c r="A30" s="69" t="n">
        <x:f>A29+1</x:f>
        <x:v>53</x:v>
      </x:c>
      <x:c r="B30" s="69" t="n">
        <x:f>B29+1</x:f>
        <x:v>2055</x:v>
      </x:c>
      <x:c r="C30" s="67" t="n">
        <x:f>I29</x:f>
        <x:v>1408212.5909288737</x:v>
      </x:c>
      <x:c r="D30" s="68" t="n">
        <x:f>'Bi-Weekly Engine'!I755</x:f>
        <x:v>660878.9917859146</x:v>
      </x:c>
      <x:c r="E30" s="68" t="n">
        <x:f>'Bi-Weekly Engine'!J755</x:f>
        <x:v>785898.521343695</x:v>
      </x:c>
      <x:c r="F30" s="68" t="n">
        <x:f>'Bi-Weekly Engine'!L755</x:f>
        <x:v>51009.66488572167</x:v>
      </x:c>
      <x:c r="G30" s="67" t="n">
        <x:f>SUM('Bi-Weekly Engine'!E730:E755)+SUM('Bi-Weekly Engine'!F730:F755)+SUM('Bi-Weekly Engine'!P730:P755)+SUM('Bi-Weekly Engine'!Q730:Q755)</x:f>
        <x:v>18857.142857142884</x:v>
      </x:c>
      <x:c r="H30" s="67" t="n">
        <x:f>I30-C30-G30</x:f>
        <x:v>70717.44422931464</x:v>
      </x:c>
      <x:c r="I30" s="68" t="n">
        <x:f>'Bi-Weekly Engine'!M755</x:f>
        <x:v>1497787.1780153313</x:v>
      </x:c>
      <x:c r="J30" s="68" t="n">
        <x:f>'Bi-Weekly Engine'!K755</x:f>
        <x:v>0</x:v>
      </x:c>
      <x:c r="K30" s="69" t="str">
        <x:f>IF(B30=Inputs!$B$8,"Withdrawn","")</x:f>
      </x:c>
    </x:row>
    <x:row r="31">
      <x:c r="A31" s="69" t="n">
        <x:f>A30+1</x:f>
        <x:v>54</x:v>
      </x:c>
      <x:c r="B31" s="69" t="n">
        <x:f>B30+1</x:f>
        <x:v>2056</x:v>
      </x:c>
      <x:c r="C31" s="67" t="n">
        <x:f>I30</x:f>
        <x:v>1497787.1780153313</x:v>
      </x:c>
      <x:c r="D31" s="68" t="n">
        <x:f>'Bi-Weekly Engine'!I781</x:f>
        <x:v>702210.8166186813</x:v>
      </x:c>
      <x:c r="E31" s="68" t="n">
        <x:f>'Bi-Weekly Engine'!J781</x:f>
        <x:v>836240.1305933283</x:v>
      </x:c>
      <x:c r="F31" s="68" t="n">
        <x:f>'Bi-Weekly Engine'!L781</x:f>
        <x:v>53381.61430290761</x:v>
      </x:c>
      <x:c r="G31" s="67" t="n">
        <x:f>SUM('Bi-Weekly Engine'!E756:E781)+SUM('Bi-Weekly Engine'!F756:F781)+SUM('Bi-Weekly Engine'!P756:P781)+SUM('Bi-Weekly Engine'!Q756:Q781)</x:f>
        <x:v>18857.142857142866</x:v>
      </x:c>
      <x:c r="H31" s="67" t="n">
        <x:f>I31-C31-G31</x:f>
        <x:v>75188.24064244315</x:v>
      </x:c>
      <x:c r="I31" s="68" t="n">
        <x:f>'Bi-Weekly Engine'!M781</x:f>
        <x:v>1591832.5615149173</x:v>
      </x:c>
      <x:c r="J31" s="68" t="n">
        <x:f>'Bi-Weekly Engine'!K781</x:f>
        <x:v>0</x:v>
      </x:c>
      <x:c r="K31" s="69" t="str">
        <x:f>IF(B31=Inputs!$B$8,"Withdrawn","")</x:f>
      </x:c>
    </x:row>
    <x:row r="32">
      <x:c r="A32" s="69" t="n">
        <x:f>A31+1</x:f>
        <x:v>55</x:v>
      </x:c>
      <x:c r="B32" s="69" t="n">
        <x:f>B31+1</x:f>
        <x:v>2057</x:v>
      </x:c>
      <x:c r="C32" s="67" t="n">
        <x:f>I31</x:f>
        <x:v>1591832.5615149173</x:v>
      </x:c>
      <x:c r="D32" s="68" t="n">
        <x:f>'Bi-Weekly Engine'!I807</x:f>
        <x:v>745609.2326930863</x:v>
      </x:c>
      <x:c r="E32" s="68" t="n">
        <x:f>'Bi-Weekly Engine'!J807</x:f>
        <x:v>889098.8203054429</x:v>
      </x:c>
      <x:c r="F32" s="68" t="n">
        <x:f>'Bi-Weekly Engine'!L807</x:f>
        <x:v>55863.85936799267</x:v>
      </x:c>
      <x:c r="G32" s="67" t="n">
        <x:f>SUM('Bi-Weekly Engine'!E782:E807)+SUM('Bi-Weekly Engine'!F782:F807)+SUM('Bi-Weekly Engine'!P782:P807)+SUM('Bi-Weekly Engine'!Q782:Q807)</x:f>
        <x:v>18857.14285714286</x:v>
      </x:c>
      <x:c r="H32" s="67" t="n">
        <x:f>I32-C32-G32</x:f>
        <x:v>79882.20799446186</x:v>
      </x:c>
      <x:c r="I32" s="68" t="n">
        <x:f>'Bi-Weekly Engine'!M807</x:f>
        <x:v>1690571.912366522</x:v>
      </x:c>
      <x:c r="J32" s="68" t="n">
        <x:f>'Bi-Weekly Engine'!K807</x:f>
        <x:v>0</x:v>
      </x:c>
      <x:c r="K32" s="69" t="str">
        <x:f>IF(B32=Inputs!$B$8,"Withdrawn","")</x:f>
      </x:c>
    </x:row>
    <x:row r="33">
      <x:c r="A33" s="80" t="n">
        <x:f>A32+1</x:f>
        <x:v>56</x:v>
      </x:c>
      <x:c r="B33" s="80" t="n">
        <x:f>B32+1</x:f>
        <x:v>2058</x:v>
      </x:c>
      <x:c r="C33" s="81" t="n">
        <x:f>I32</x:f>
        <x:v>1690571.912366522</x:v>
      </x:c>
      <x:c r="D33" s="82" t="n">
        <x:f>'Bi-Weekly Engine'!I833</x:f>
        <x:v>791177.5695712114</x:v>
      </x:c>
      <x:c r="E33" s="82" t="n">
        <x:f>'Bi-Weekly Engine'!J833</x:f>
        <x:v>944600.4445031633</x:v>
      </x:c>
      <x:c r="F33" s="82" t="n">
        <x:f>'Bi-Weekly Engine'!L833</x:f>
        <x:v>58461.52882860418</x:v>
      </x:c>
      <x:c r="G33" s="81" t="n">
        <x:f>SUM('Bi-Weekly Engine'!E808:E833)+SUM('Bi-Weekly Engine'!F808:F833)+SUM('Bi-Weekly Engine'!P808:P833)+SUM('Bi-Weekly Engine'!Q808:Q833)</x:f>
        <x:v>18857.14285714286</x:v>
      </x:c>
      <x:c r="H33" s="81" t="n">
        <x:f>I33-C33-G33</x:f>
        <x:v>84810.48767931397</x:v>
      </x:c>
      <x:c r="I33" s="82" t="n">
        <x:f>'Bi-Weekly Engine'!M833</x:f>
        <x:v>1794239.5429029788</x:v>
      </x:c>
      <x:c r="J33" s="82" t="n">
        <x:f>'Bi-Weekly Engine'!K833</x:f>
        <x:v>0</x:v>
      </x:c>
      <x:c r="K33" s="80" t="str">
        <x:f>IF(B33=Inputs!$B$8,"Withdrawn","")</x:f>
      </x:c>
    </x:row>
    <x:row r="34">
      <x:c r="A34" s="69" t="n">
        <x:f>A33+1</x:f>
        <x:v>57</x:v>
      </x:c>
      <x:c r="B34" s="69" t="n">
        <x:f>B33+1</x:f>
        <x:v>2059</x:v>
      </x:c>
      <x:c r="C34" s="67" t="n">
        <x:f>I33</x:f>
        <x:v>1794239.5429029788</x:v>
      </x:c>
      <x:c r="D34" s="68" t="n">
        <x:f>'Bi-Weekly Engine'!I859</x:f>
        <x:v>839024.3232932427</x:v>
      </x:c>
      <x:c r="E34" s="68" t="n">
        <x:f>'Bi-Weekly Engine'!J859</x:f>
        <x:v>1002877.1499107695</x:v>
      </x:c>
      <x:c r="F34" s="68" t="n">
        <x:f>'Bi-Weekly Engine'!L859</x:f>
        <x:v>61179.98991913412</x:v>
      </x:c>
      <x:c r="G34" s="67" t="n">
        <x:f>SUM('Bi-Weekly Engine'!E834:E859)+SUM('Bi-Weekly Engine'!F834:F859)+SUM('Bi-Weekly Engine'!P834:P859)+SUM('Bi-Weekly Engine'!Q834:Q859)</x:f>
        <x:v>18857.142857142855</x:v>
      </x:c>
      <x:c r="H34" s="67" t="n">
        <x:f>I34-C34-G34</x:f>
        <x:v>89984.77736302475</x:v>
      </x:c>
      <x:c r="I34" s="68" t="n">
        <x:f>'Bi-Weekly Engine'!M859</x:f>
        <x:v>1903081.4631231464</x:v>
      </x:c>
      <x:c r="J34" s="68" t="n">
        <x:f>'Bi-Weekly Engine'!K859</x:f>
        <x:v>0</x:v>
      </x:c>
      <x:c r="K34" s="69" t="str">
        <x:f>IF(B34=Inputs!$B$8,"Withdrawn","")</x:f>
      </x:c>
    </x:row>
    <x:row r="35">
      <x:c r="A35" s="69" t="n">
        <x:f>A34+1</x:f>
        <x:v>58</x:v>
      </x:c>
      <x:c r="B35" s="69" t="n">
        <x:f>B34+1</x:f>
        <x:v>2060</x:v>
      </x:c>
      <x:c r="C35" s="67" t="n">
        <x:f>I34</x:f>
        <x:v>1903081.4631231464</x:v>
      </x:c>
      <x:c r="D35" s="68" t="n">
        <x:f>'Bi-Weekly Engine'!I885</x:f>
        <x:v>889263.4147013752</x:v>
      </x:c>
      <x:c r="E35" s="68" t="n">
        <x:f>'Bi-Weekly Engine'!J885</x:f>
        <x:v>1064067.6905887565</x:v>
      </x:c>
      <x:c r="F35" s="68" t="n">
        <x:f>'Bi-Weekly Engine'!L885</x:f>
        <x:v>64024.8594503737</x:v>
      </x:c>
      <x:c r="G35" s="67" t="n">
        <x:f>SUM('Bi-Weekly Engine'!E860:E885)+SUM('Bi-Weekly Engine'!F860:F885)+SUM('Bi-Weekly Engine'!P860:P885)+SUM('Bi-Weekly Engine'!Q860:Q885)</x:f>
        <x:v>18857.142857142855</x:v>
      </x:c>
      <x:c r="H35" s="67" t="n">
        <x:f>I35-C35-G35</x:f>
        <x:v>95417.35876021614</x:v>
      </x:c>
      <x:c r="I35" s="68" t="n">
        <x:f>'Bi-Weekly Engine'!M885</x:f>
        <x:v>2017355.9647405054</x:v>
      </x:c>
      <x:c r="J35" s="68" t="n">
        <x:f>'Bi-Weekly Engine'!K885</x:f>
        <x:v>0</x:v>
      </x:c>
      <x:c r="K35" s="69" t="str">
        <x:f>IF(B35=Inputs!$B$8,"Withdrawn","")</x:f>
      </x:c>
    </x:row>
    <x:row r="36">
      <x:c r="A36" s="69" t="n">
        <x:f>A35+1</x:f>
        <x:v>59</x:v>
      </x:c>
      <x:c r="B36" s="69" t="n">
        <x:f>B35+1</x:f>
        <x:v>2061</x:v>
      </x:c>
      <x:c r="C36" s="67" t="n">
        <x:f>I35</x:f>
        <x:v>2017355.9647405054</x:v>
      </x:c>
      <x:c r="D36" s="68" t="n">
        <x:f>'Bi-Weekly Engine'!I911</x:f>
        <x:v>942014.4606799141</x:v>
      </x:c>
      <x:c r="E36" s="68" t="n">
        <x:f>'Bi-Weekly Engine'!J911</x:f>
        <x:v>1128317.758300642</x:v>
      </x:c>
      <x:c r="F36" s="68" t="n">
        <x:f>'Bi-Weekly Engine'!L911</x:f>
        <x:v>67002.01541481592</x:v>
      </x:c>
      <x:c r="G36" s="67" t="n">
        <x:f>SUM('Bi-Weekly Engine'!E886:E911)+SUM('Bi-Weekly Engine'!F886:F911)+SUM('Bi-Weekly Engine'!P886:P911)+SUM('Bi-Weekly Engine'!Q886:Q911)</x:f>
        <x:v>18857.142857142855</x:v>
      </x:c>
      <x:c r="H36" s="67" t="n">
        <x:f>I36-C36-G36</x:f>
        <x:v>101121.12679772392</x:v>
      </x:c>
      <x:c r="I36" s="68" t="n">
        <x:f>'Bi-Weekly Engine'!M911</x:f>
        <x:v>2137334.234395372</x:v>
      </x:c>
      <x:c r="J36" s="68" t="n">
        <x:f>'Bi-Weekly Engine'!K911</x:f>
        <x:v>0</x:v>
      </x:c>
      <x:c r="K36" s="69" t="str">
        <x:f>IF(B36=Inputs!$B$8,"Withdrawn","")</x:f>
      </x:c>
    </x:row>
    <x:row r="37">
      <x:c r="A37" s="69" t="n">
        <x:f>A36+1</x:f>
        <x:v>60</x:v>
      </x:c>
      <x:c r="B37" s="69" t="n">
        <x:f>B36+1</x:f>
        <x:v>2062</x:v>
      </x:c>
      <x:c r="C37" s="67" t="n">
        <x:f>I36</x:f>
        <x:v>2137334.234395372</x:v>
      </x:c>
      <x:c r="D37" s="68" t="n">
        <x:f>'Bi-Weekly Engine'!I937</x:f>
        <x:v>997403.0589573802</x:v>
      </x:c>
      <x:c r="E37" s="68" t="n">
        <x:f>'Bi-Weekly Engine'!J937</x:f>
        <x:v>1195780.3293981217</x:v>
      </x:c>
      <x:c r="F37" s="68" t="n">
        <x:f>'Bi-Weekly Engine'!L937</x:f>
        <x:v>70117.60913160472</x:v>
      </x:c>
      <x:c r="G37" s="67" t="n">
        <x:f>SUM('Bi-Weekly Engine'!E912:E937)+SUM('Bi-Weekly Engine'!F912:F937)+SUM('Bi-Weekly Engine'!P912:P937)+SUM('Bi-Weekly Engine'!Q912:Q937)</x:f>
        <x:v>18857.142857142855</x:v>
      </x:c>
      <x:c r="H37" s="67" t="n">
        <x:f>I37-C37-G37</x:f>
        <x:v>107109.62023459176</x:v>
      </x:c>
      <x:c r="I37" s="68" t="n">
        <x:f>'Bi-Weekly Engine'!M937</x:f>
        <x:v>2263300.997487107</x:v>
      </x:c>
      <x:c r="J37" s="68" t="n">
        <x:f>'Bi-Weekly Engine'!K937</x:f>
        <x:v>0</x:v>
      </x:c>
      <x:c r="K37" s="69" t="str">
        <x:f>IF(B37=Inputs!$B$8,"Withdrawn","")</x:f>
      </x:c>
    </x:row>
    <x:row r="38">
      <x:c r="A38" s="80" t="n">
        <x:f>A37+1</x:f>
        <x:v>61</x:v>
      </x:c>
      <x:c r="B38" s="80" t="n">
        <x:f>B37+1</x:f>
        <x:v>2063</x:v>
      </x:c>
      <x:c r="C38" s="81" t="n">
        <x:f>I37</x:f>
        <x:v>2263300.997487107</x:v>
      </x:c>
      <x:c r="D38" s="82" t="n">
        <x:f>'Bi-Weekly Engine'!I963</x:f>
        <x:v>1055561.0871487188</x:v>
      </x:c>
      <x:c r="E38" s="82" t="n">
        <x:f>'Bi-Weekly Engine'!J963</x:f>
        <x:v>1266616.0290504755</x:v>
      </x:c>
      <x:c r="F38" s="82" t="n">
        <x:f>'Bi-Weekly Engine'!L963</x:f>
        <x:v>73378.0779562242</x:v>
      </x:c>
      <x:c r="G38" s="81" t="n">
        <x:f>SUM('Bi-Weekly Engine'!E938:E963)+SUM('Bi-Weekly Engine'!F938:F963)+SUM('Bi-Weekly Engine'!P938:P963)+SUM('Bi-Weekly Engine'!Q938:Q963)</x:f>
        <x:v>18857.142857142855</x:v>
      </x:c>
      <x:c r="H38" s="81" t="n">
        <x:f>I38-C38-G38</x:f>
        <x:v>113397.0538111691</x:v>
      </x:c>
      <x:c r="I38" s="82" t="n">
        <x:f>'Bi-Weekly Engine'!M963</x:f>
        <x:v>2395555.194155419</x:v>
      </x:c>
      <x:c r="J38" s="82" t="n">
        <x:f>'Bi-Weekly Engine'!K963</x:f>
        <x:v>0</x:v>
      </x:c>
      <x:c r="K38" s="80" t="str">
        <x:f>IF(B38=Inputs!$B$8,"Withdrawn","")</x:f>
      </x:c>
    </x:row>
    <x:row r="39">
      <x:c r="A39" s="69" t="n">
        <x:f>A38+1</x:f>
        <x:v>62</x:v>
      </x:c>
      <x:c r="B39" s="69" t="n">
        <x:f>B38+1</x:f>
        <x:v>2064</x:v>
      </x:c>
      <x:c r="C39" s="67" t="n">
        <x:f>I38</x:f>
        <x:v>2395555.194155419</x:v>
      </x:c>
      <x:c r="D39" s="68" t="n">
        <x:f>'Bi-Weekly Engine'!I989</x:f>
        <x:v>1116627.0167496253</x:v>
      </x:c>
      <x:c r="E39" s="68" t="n">
        <x:f>'Bi-Weekly Engine'!J989</x:f>
        <x:v>1340993.5136854467</x:v>
      </x:c>
      <x:c r="F39" s="68" t="n">
        <x:f>'Bi-Weekly Engine'!L989</x:f>
        <x:v>76790.15858118846</x:v>
      </x:c>
      <x:c r="G39" s="67" t="n">
        <x:f>SUM('Bi-Weekly Engine'!E964:E989)+SUM('Bi-Weekly Engine'!F964:F989)+SUM('Bi-Weekly Engine'!P964:P989)+SUM('Bi-Weekly Engine'!Q964:Q989)</x:f>
        <x:v>18857.142857142855</x:v>
      </x:c>
      <x:c r="H39" s="67" t="n">
        <x:f>I39-C39-G39</x:f>
        <x:v>119998.35200369904</x:v>
      </x:c>
      <x:c r="I39" s="68" t="n">
        <x:f>'Bi-Weekly Engine'!M989</x:f>
        <x:v>2534410.6890162607</x:v>
      </x:c>
      <x:c r="J39" s="68" t="n">
        <x:f>'Bi-Weekly Engine'!K989</x:f>
        <x:v>0</x:v>
      </x:c>
      <x:c r="K39" s="69" t="str">
        <x:f>IF(B39=Inputs!$B$8,"Withdrawn","")</x:f>
      </x:c>
    </x:row>
    <x:row r="40">
      <x:c r="A40" s="69" t="n">
        <x:f>A39+1</x:f>
        <x:v>63</x:v>
      </x:c>
      <x:c r="B40" s="69" t="n">
        <x:f>B39+1</x:f>
        <x:v>2065</x:v>
      </x:c>
      <x:c r="C40" s="67" t="n">
        <x:f>I39</x:f>
        <x:v>2534410.6890162607</x:v>
      </x:c>
      <x:c r="D40" s="68" t="n">
        <x:f>'Bi-Weekly Engine'!I1015</x:f>
        <x:v>1180746.2428305761</x:v>
      </x:c>
      <x:c r="E40" s="68" t="n">
        <x:f>'Bi-Weekly Engine'!J1015</x:f>
        <x:v>1419089.872552166</x:v>
      </x:c>
      <x:c r="F40" s="68" t="n">
        <x:f>'Bi-Weekly Engine'!L1015</x:f>
        <x:v>80360.9009552135</x:v>
      </x:c>
      <x:c r="G40" s="67" t="n">
        <x:f>SUM('Bi-Weekly Engine'!E990:E1015)+SUM('Bi-Weekly Engine'!F990:F1015)+SUM('Bi-Weekly Engine'!P990:P1015)+SUM('Bi-Weekly Engine'!Q990:Q1015)</x:f>
        <x:v>18857.142857142855</x:v>
      </x:c>
      <x:c r="H40" s="67" t="n">
        <x:f>I40-C40-G40</x:f>
        <x:v>126929.18446455231</x:v>
      </x:c>
      <x:c r="I40" s="68" t="n">
        <x:f>'Bi-Weekly Engine'!M1015</x:f>
        <x:v>2680197.016337956</x:v>
      </x:c>
      <x:c r="J40" s="68" t="n">
        <x:f>'Bi-Weekly Engine'!K1015</x:f>
        <x:v>0</x:v>
      </x:c>
      <x:c r="K40" s="69" t="str">
        <x:f>IF(B40=Inputs!$B$8,"Withdrawn","")</x:f>
      </x:c>
    </x:row>
    <x:row r="41">
      <x:c r="A41" s="69" t="n">
        <x:f>A40+1</x:f>
        <x:v>64</x:v>
      </x:c>
      <x:c r="B41" s="69" t="n">
        <x:f>B40+1</x:f>
        <x:v>2066</x:v>
      </x:c>
      <x:c r="C41" s="67" t="n">
        <x:f>I40</x:f>
        <x:v>2680197.016337956</x:v>
      </x:c>
      <x:c r="D41" s="68" t="n">
        <x:f>'Bi-Weekly Engine'!I1041</x:f>
        <x:v>1248071.430215574</x:v>
      </x:c>
      <x:c r="E41" s="68" t="n">
        <x:f>'Bi-Weekly Engine'!J1041</x:f>
        <x:v>1501091.0493622215</x:v>
      </x:c>
      <x:c r="F41" s="68" t="n">
        <x:f>'Bi-Weekly Engine'!L1041</x:f>
        <x:v>84097.68284963068</x:v>
      </x:c>
      <x:c r="G41" s="67" t="n">
        <x:f>SUM('Bi-Weekly Engine'!E1016:E1041)+SUM('Bi-Weekly Engine'!F1016:F1041)+SUM('Bi-Weekly Engine'!P1016:P1041)+SUM('Bi-Weekly Engine'!Q1016:Q1041)</x:f>
        <x:v>18857.142857142855</x:v>
      </x:c>
      <x:c r="H41" s="67" t="n">
        <x:f>I41-C41-G41</x:f>
        <x:v>134206.00323232764</x:v>
      </x:c>
      <x:c r="I41" s="68" t="n">
        <x:f>'Bi-Weekly Engine'!M1041</x:f>
        <x:v>2833260.1624274263</x:v>
      </x:c>
      <x:c r="J41" s="68" t="n">
        <x:f>'Bi-Weekly Engine'!K1041</x:f>
        <x:v>0</x:v>
      </x:c>
      <x:c r="K41" s="69" t="str">
        <x:f>IF(B41=Inputs!$B$8,"Withdrawn","")</x:f>
      </x:c>
    </x:row>
    <x:row r="42">
      <x:c r="A42" s="69" t="n">
        <x:f>A41+1</x:f>
        <x:v>65</x:v>
      </x:c>
      <x:c r="B42" s="69" t="n">
        <x:f>B41+1</x:f>
        <x:v>2067</x:v>
      </x:c>
      <x:c r="C42" s="67" t="n">
        <x:f>I41</x:f>
        <x:v>2833260.1624274263</x:v>
      </x:c>
      <x:c r="D42" s="68" t="n">
        <x:f>'Bi-Weekly Engine'!I1067</x:f>
        <x:v>1318762.876969822</x:v>
      </x:c>
      <x:c r="E42" s="68" t="n">
        <x:f>'Bi-Weekly Engine'!J1067</x:f>
        <x:v>1587192.2850127788</x:v>
      </x:c>
      <x:c r="F42" s="68" t="n">
        <x:f>'Bi-Weekly Engine'!L1067</x:f>
        <x:v>88008.2251021383</x:v>
      </x:c>
      <x:c r="G42" s="67" t="n">
        <x:f>SUM('Bi-Weekly Engine'!E1042:E1067)+SUM('Bi-Weekly Engine'!F1042:F1067)+SUM('Bi-Weekly Engine'!P1042:P1067)+SUM('Bi-Weekly Engine'!Q1042:Q1067)</x:f>
        <x:v>18857.142857142855</x:v>
      </x:c>
      <x:c r="H42" s="67" t="n">
        <x:f>I42-C42-G42</x:f>
        <x:v>141846.08180016966</x:v>
      </x:c>
      <x:c r="I42" s="68" t="n">
        <x:f>'Bi-Weekly Engine'!M1067</x:f>
        <x:v>2993963.387084739</x:v>
      </x:c>
      <x:c r="J42" s="68" t="n">
        <x:f>'Bi-Weekly Engine'!K1067</x:f>
        <x:v>0</x:v>
      </x:c>
      <x:c r="K42" s="69" t="str">
        <x:f>IF(B42=Inputs!$B$8,"Withdrawn","")</x:f>
      </x:c>
    </x:row>
    <x:row r="43">
      <x:c r="A43" s="69"/>
      <x:c r="B43" s="69"/>
      <x:c r="C43" s="69"/>
      <x:c r="D43" s="69"/>
      <x:c r="E43" s="69"/>
      <x:c r="F43" s="69"/>
      <x:c r="G43" s="69"/>
      <x:c r="H43" s="69"/>
      <x:c r="I43" s="69"/>
      <x:c r="J43" s="69"/>
      <x:c r="K43" s="69"/>
    </x:row>
    <x:row r="44">
      <x:c r="A44" s="70" t="str">
        <x:v>ILLUSTRATIVE AFTER-TAX RETIREMENT VALUE</x:v>
      </x:c>
      <x:c r="B44" s="70"/>
      <x:c r="C44" s="70"/>
      <x:c r="D44" s="70"/>
      <x:c r="E44" s="69"/>
      <x:c r="F44" s="69"/>
      <x:c r="G44" s="69"/>
      <x:c r="H44" s="69"/>
      <x:c r="I44" s="69"/>
      <x:c r="J44" s="69"/>
      <x:c r="K44" s="69"/>
    </x:row>
    <x:row r="45">
      <x:c r="A45" s="71" t="str">
        <x:v>Component</x:v>
      </x:c>
      <x:c r="B45" s="71" t="str">
        <x:v>Treatment</x:v>
      </x:c>
      <x:c r="C45" s="71" t="str">
        <x:v>Value</x:v>
      </x:c>
      <x:c r="D45" s="69"/>
      <x:c r="E45" s="69"/>
      <x:c r="F45" s="69"/>
      <x:c r="G45" s="69"/>
      <x:c r="H45" s="69"/>
      <x:c r="I45" s="69"/>
      <x:c r="J45" s="69"/>
      <x:c r="K45" s="69"/>
    </x:row>
    <x:row r="46">
      <x:c r="A46" s="69" t="str">
        <x:v>TFSA</x:v>
      </x:c>
      <x:c r="B46" s="69" t="str">
        <x:v>No additional tax in this simplified summary</x:v>
      </x:c>
      <x:c r="C46" s="67" t="n">
        <x:f>D42</x:f>
        <x:v>1318762.876969822</x:v>
      </x:c>
      <x:c r="D46" s="69"/>
      <x:c r="E46" s="69"/>
      <x:c r="F46" s="69"/>
      <x:c r="G46" s="69"/>
      <x:c r="H46" s="69"/>
      <x:c r="I46" s="69"/>
      <x:c r="J46" s="69"/>
      <x:c r="K46" s="69"/>
    </x:row>
    <x:row r="47">
      <x:c r="A47" s="69" t="str">
        <x:v>RRSP</x:v>
      </x:c>
      <x:c r="B47" s="69" t="str">
        <x:v>Ending balance × (1 − marginal tax-rate proxy)</x:v>
      </x:c>
      <x:c r="C47" s="67" t="n">
        <x:f>E42*(1-Inputs!$B$6)</x:f>
        <x:v>1111034.5995089451</x:v>
      </x:c>
      <x:c r="D47" s="69"/>
      <x:c r="E47" s="69"/>
      <x:c r="F47" s="69"/>
      <x:c r="G47" s="69"/>
      <x:c r="H47" s="69"/>
      <x:c r="I47" s="69"/>
      <x:c r="J47" s="69"/>
      <x:c r="K47" s="69"/>
    </x:row>
    <x:row r="48">
      <x:c r="A48" s="69" t="str">
        <x:v>Non-Registered</x:v>
      </x:c>
      <x:c r="B48" s="69" t="str">
        <x:v>Tax only positive unrealized gains above tracked contribution cost basis; 50% inclusion-rate proxy</x:v>
      </x:c>
      <x:c r="C48" s="67" t="n">
        <x:f>F42-MAX(0,(F42-(Inputs!$B$18+SUM('Bi-Weekly Engine'!$Q$2:$Q$1067)))*(Inputs!$B$6*0.5))</x:f>
        <x:v>76996.99133681755</x:v>
      </x:c>
      <x:c r="D48" s="69"/>
      <x:c r="E48" s="69"/>
      <x:c r="F48" s="69"/>
      <x:c r="G48" s="69"/>
      <x:c r="H48" s="69"/>
      <x:c r="I48" s="69"/>
      <x:c r="J48" s="69"/>
      <x:c r="K48" s="69"/>
    </x:row>
    <x:row r="49">
      <x:c r="A49" s="69" t="str">
        <x:v>TOTAL AFTER-TAX RETIREMENT VALUE</x:v>
      </x:c>
      <x:c r="B49" s="69" t="str">
        <x:v>Illustrative; not tax advice</x:v>
      </x:c>
      <x:c r="C49" s="67" t="n">
        <x:f>SUM(C46:C48)</x:f>
        <x:v>2506794.4678155845</x:v>
      </x:c>
      <x:c r="D49" s="69"/>
      <x:c r="E49" s="69"/>
      <x:c r="F49" s="69"/>
      <x:c r="G49" s="69"/>
      <x:c r="H49" s="69"/>
      <x:c r="I49" s="69"/>
      <x:c r="J49" s="69"/>
      <x:c r="K49" s="69"/>
    </x:row>
    <x:row r="50">
      <x:c r="A50" s="59" t="str">
        <x:v>Tax limitations: current marginal rate is reused as a retirement-tax proxy; non-registered tax drag and final tax are simplified; realized gains/losses, dividends, account-specific rules, and tax-law changes are not modeled.</x:v>
      </x:c>
      <x:c r="B50" s="59"/>
      <x:c r="C50" s="59"/>
      <x:c r="D50" s="69"/>
      <x:c r="E50" s="69"/>
      <x:c r="F50" s="69"/>
      <x:c r="G50" s="69"/>
      <x:c r="H50" s="69"/>
      <x:c r="I50" s="69"/>
      <x:c r="J50" s="69"/>
      <x:c r="K50" s="69"/>
    </x:row>
  </x:sheetData>
  <x:mergeCells>
    <x:mergeCell ref="A44:D44"/>
    <x:mergeCell ref="A50:C50"/>
  </x:mergeCells>
  <x:pageMargins left="0.7" right="0.7" top="0.75" bottom="0.75" header="0.3" footer="0.3"/>
  <x:drawing xmlns:r="http://schemas.openxmlformats.org/officeDocument/2006/relationships" r:id="R3a881d0c641d499c"/>
</x:worksheet>
</file>

<file path=xl/worksheets/sheet4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7" hidden="0" customWidth="1"/>
    <x:col min="3" max="3" width="18" hidden="0" customWidth="1"/>
    <x:col min="4" max="4" width="34" hidden="0" customWidth="1"/>
    <x:col min="5" max="5" width="12" hidden="0" customWidth="1"/>
    <x:col min="6" max="6" width="8" hidden="0" customWidth="1"/>
    <x:col min="7" max="7" width="20" hidden="0" customWidth="1"/>
    <x:col min="8" max="8" width="20" hidden="0" customWidth="1"/>
    <x:col min="9" max="9" width="30" hidden="0" customWidth="1"/>
    <x:col min="10" max="10" width="22" hidden="0" customWidth="1"/>
    <x:col min="11" max="11" width="22" hidden="0" customWidth="1"/>
  </x:cols>
  <x:sheetData>
    <x:row r="1">
      <x:c r="A1" s="71" t="str">
        <x:v>Retirement Portfolio Target (Demo)</x:v>
      </x:c>
      <x:c r="B1" s="98" t="n">
        <x:f>1000000</x:f>
        <x:v>1000000</x:v>
      </x:c>
      <x:c r="C1" s="69"/>
      <x:c r="D1" s="69"/>
      <x:c r="E1" s="69"/>
      <x:c r="F1" s="69"/>
      <x:c r="G1" s="69"/>
      <x:c r="H1" s="69"/>
      <x:c r="I1" s="69"/>
      <x:c r="J1" s="69"/>
      <x:c r="K1" s="69"/>
    </x:row>
    <x:row r="2">
      <x:c r="A2" s="69" t="str">
        <x:v>First Coast Year</x:v>
      </x:c>
      <x:c r="B2" s="69" t="n">
        <x:f>IF(E8,A8,IF(E9,A9,IF(E10,A10,IF(E11,A11,IF(E12,A12,IF(E13,A13,IF(E14,A14,IF(E15,A15,IF(E16,A16,IF(E17,A17,IF(E18,A18,IF(E19,A19,IF(E20,A20,IF(E21,A21,IF(E22,A22,IF(E23,A23,IF(E24,A24,IF(E25,A25,IF(E26,A26,IF(E27,A27,IF(E28,A28,IF(E29,A29,IF(E30,A30,IF(E31,A31,IF(E32,A32,IF(E33,A33,IF(E34,A34,IF(E35,A35,IF(E36,A36,IF(E37,A37,IF(E38,A38,IF(E39,A39,IF(E40,A40,IF(E41,A41,IF(E42,A42,IF(E43,A43,IF(E44,A44,IF(E45,A45,IF(E46,A46,IF(E47,A47,IF(E48,A48,"Not reached")))))))))))))))))))))))))))))))))))))))))</x:f>
        <x:v>2030</x:v>
      </x:c>
      <x:c r="C2" s="69"/>
      <x:c r="D2" s="69"/>
      <x:c r="E2" s="69"/>
      <x:c r="F2" s="69"/>
      <x:c r="G2" s="69"/>
      <x:c r="H2" s="69"/>
      <x:c r="I2" s="69"/>
      <x:c r="J2" s="69"/>
      <x:c r="K2" s="69"/>
    </x:row>
    <x:row r="3">
      <x:c r="A3" s="69" t="str">
        <x:v>Estimated Coast Age</x:v>
      </x:c>
      <x:c r="B3" s="69" t="n">
        <x:f>IF(B2="Not reached","Not reached",NetworthCalc!A2+(B2-Inputs!$B$3))</x:f>
        <x:v>28</x:v>
      </x:c>
      <x:c r="C3" s="69"/>
      <x:c r="D3" s="69"/>
      <x:c r="E3" s="69"/>
      <x:c r="F3" s="69"/>
      <x:c r="G3" s="69"/>
      <x:c r="H3" s="69"/>
      <x:c r="I3" s="69"/>
      <x:c r="J3" s="69"/>
      <x:c r="K3" s="69"/>
    </x:row>
    <x:row r="4">
      <x:c r="A4" s="69" t="str">
        <x:v>Cumulative Contributions by Coast Year</x:v>
      </x:c>
      <x:c r="B4" s="67" t="n">
        <x:f>IF(E8,G8,IF(E9,G9,IF(E10,G10,IF(E11,G11,IF(E12,G12,IF(E13,G13,IF(E14,G14,IF(E15,G15,IF(E16,G16,IF(E17,G17,IF(E18,G18,IF(E19,G19,IF(E20,G20,IF(E21,G21,IF(E22,G22,IF(E23,G23,IF(E24,G24,IF(E25,G25,IF(E26,G26,IF(E27,G27,IF(E28,G28,IF(E29,G29,IF(E30,G30,IF(E31,G31,IF(E32,G32,IF(E33,G33,IF(E34,G34,IF(E35,G35,IF(E36,G36,IF(E37,G37,IF(E38,G38,IF(E39,G39,IF(E40,G40,IF(E41,G41,IF(E42,G42,IF(E43,G43,IF(E44,G44,IF(E45,G45,IF(E46,G46,IF(E47,G47,IF(E48,G48,"Not reached")))))))))))))))))))))))))))))))))))))))))</x:f>
        <x:v>88800</x:v>
      </x:c>
      <x:c r="C4" s="69"/>
      <x:c r="D4" s="69"/>
      <x:c r="E4" s="69"/>
      <x:c r="F4" s="69"/>
      <x:c r="G4" s="69"/>
      <x:c r="H4" s="69"/>
      <x:c r="I4" s="69"/>
      <x:c r="J4" s="69"/>
      <x:c r="K4" s="69"/>
    </x:row>
    <x:row r="5">
      <x:c r="A5" s="69" t="str">
        <x:v>Definition</x:v>
      </x:c>
      <x:c r="B5" s="69" t="str">
        <x:v>First modeled year in which existing retirement assets could grow to the target by the final modeled year with no further contributions after that year.</x:v>
      </x:c>
      <x:c r="C5" s="69"/>
      <x:c r="D5" s="69"/>
      <x:c r="E5" s="69"/>
      <x:c r="F5" s="69"/>
      <x:c r="G5" s="69"/>
      <x:c r="H5" s="69"/>
      <x:c r="I5" s="69"/>
      <x:c r="J5" s="69"/>
      <x:c r="K5" s="69"/>
    </x:row>
    <x:row r="6">
      <x:c r="A6" s="69"/>
      <x:c r="B6" s="69"/>
      <x:c r="C6" s="69"/>
      <x:c r="D6" s="69"/>
      <x:c r="E6" s="69"/>
      <x:c r="F6" s="69"/>
      <x:c r="G6" s="69"/>
      <x:c r="H6" s="69"/>
      <x:c r="I6" s="69"/>
      <x:c r="J6" s="69"/>
      <x:c r="K6" s="69"/>
    </x:row>
    <x:row r="7">
      <x:c r="A7" s="64" t="str">
        <x:v>Year</x:v>
      </x:c>
      <x:c r="B7" s="64" t="str">
        <x:v>Retirement Assets</x:v>
      </x:c>
      <x:c r="C7" s="64" t="str">
        <x:v>Years to Retirement</x:v>
      </x:c>
      <x:c r="D7" s="64" t="str">
        <x:v>Projected Value at Retirement if Contributions Stop</x:v>
      </x:c>
      <x:c r="E7" s="64" t="str">
        <x:v>Goal Met?</x:v>
      </x:c>
      <x:c r="F7" s="64" t="str">
        <x:v>Age</x:v>
      </x:c>
      <x:c r="G7" s="64" t="str">
        <x:v>Cumulative Contributions</x:v>
      </x:c>
      <x:c r="H7" s="64" t="str">
        <x:v>Required Coast Balance</x:v>
      </x:c>
      <x:c r="I7" s="64" t="str">
        <x:v>Required Bi-Weekly Contribution to Reach Coast by Year</x:v>
      </x:c>
      <x:c r="J7" s="64" t="str">
        <x:v>Contribution-Supplied Gap</x:v>
      </x:c>
      <x:c r="K7" s="64" t="str">
        <x:v>Cost of Delaying One Year</x:v>
      </x:c>
    </x:row>
    <x:row r="8">
      <x:c r="A8" s="66" t="n">
        <x:f>NetworthCalc!B2</x:f>
        <x:v>2027</x:v>
      </x:c>
      <x:c r="B8" s="68" t="n">
        <x:f>NetworthCalc!I2</x:f>
        <x:v>84278.27794200809</x:v>
      </x:c>
      <x:c r="C8" s="69" t="n">
        <x:f>MAX(0,NetworthCalc!$B$42-A8)</x:f>
        <x:v>40</x:v>
      </x:c>
      <x:c r="D8" s="67" t="n">
        <x:f>(NetworthCalc!D2+NetworthCalc!E2)*(1+Inputs!$B$5)^C8+NetworthCalc!F2*(1+Inputs!$B$5-Inputs!$B$9)^C8</x:f>
        <x:v>588008.617617505</x:v>
      </x:c>
      <x:c r="E8" s="69" t="b">
        <x:f>D8&gt;=$B$1</x:f>
        <x:v>0</x:v>
      </x:c>
      <x:c r="F8" s="66" t="n">
        <x:f>NetworthCalc!A2</x:f>
        <x:v>25</x:v>
      </x:c>
      <x:c r="G8" s="67" t="n">
        <x:f>NetworthCalc!G2</x:f>
        <x:v>20800</x:v>
      </x:c>
      <x:c r="H8" s="67" t="n">
        <x:f>$B$1/(1+Inputs!$B$5)^C8</x:f>
        <x:v>142045.68230027784</x:v>
      </x:c>
      <x:c r="I8" s="67" t="n">
        <x:f>IF(J8=0,0,IF(Inputs!$B$12=0,J8/((A8-Inputs!$B$3+1)*26),J8/(((1+Inputs!$B$12)^((A8-Inputs!$B$3+1)*26)-1)/Inputs!$B$12)))</x:f>
        <x:v>2970.097923281482</x:v>
      </x:c>
      <x:c r="J8" s="67" t="n">
        <x:f>MAX(0,H8-((Inputs!$B$16+Inputs!$B$17)*(1+Inputs!$B$5)^(A8-Inputs!$B$3+1)+Inputs!$B$18*(1+Inputs!$B$5-Inputs!$B$9)^(A8-Inputs!$B$3+1)))</x:f>
        <x:v>79063.18230027784</x:v>
      </x:c>
      <x:c r="K8" s="67" t="n">
        <x:f>J9-J8</x:f>
        <x:v>3971.4728650138713</x:v>
      </x:c>
    </x:row>
    <x:row r="9">
      <x:c r="A9" s="66" t="n">
        <x:f>NetworthCalc!B3</x:f>
        <x:v>2028</x:v>
      </x:c>
      <x:c r="B9" s="68" t="n">
        <x:f>NetworthCalc!I3</x:f>
        <x:v>113482.25991653676</x:v>
      </x:c>
      <x:c r="C9" s="69" t="n">
        <x:f>MAX(0,NetworthCalc!$B$42-A9)</x:f>
        <x:v>39</x:v>
      </x:c>
      <x:c r="D9" s="67" t="n">
        <x:f>(NetworthCalc!D3+NetworthCalc!E3)*(1+Inputs!$B$5)^C9+NetworthCalc!F3*(1+Inputs!$B$5-Inputs!$B$9)^C9</x:f>
        <x:v>752086.095073324</x:v>
      </x:c>
      <x:c r="E9" s="69" t="b">
        <x:f>D9&gt;=$B$1</x:f>
        <x:v>0</x:v>
      </x:c>
      <x:c r="F9" s="66" t="n">
        <x:f>NetworthCalc!A3</x:f>
        <x:v>26</x:v>
      </x:c>
      <x:c r="G9" s="67" t="n">
        <x:f>G8+NetworthCalc!G3</x:f>
        <x:v>45200</x:v>
      </x:c>
      <x:c r="H9" s="67" t="n">
        <x:f>$B$1/(1+Inputs!$B$5)^C9</x:f>
        <x:v>149147.9664152917</x:v>
      </x:c>
      <x:c r="I9" s="67" t="n">
        <x:f>IF(J9=0,0,IF(Inputs!$B$12=0,J9/((A9-Inputs!$B$3+1)*26),J9/(((1+Inputs!$B$12)^((A9-Inputs!$B$3+1)*26)-1)/Inputs!$B$12)))</x:f>
        <x:v>1521.6052664346303</x:v>
      </x:c>
      <x:c r="J9" s="67" t="n">
        <x:f>MAX(0,H9-((Inputs!$B$16+Inputs!$B$17)*(1+Inputs!$B$5)^(A9-Inputs!$B$3+1)+Inputs!$B$18*(1+Inputs!$B$5-Inputs!$B$9)^(A9-Inputs!$B$3+1)))</x:f>
        <x:v>83034.65516529171</x:v>
      </x:c>
      <x:c r="K9" s="67" t="n">
        <x:f>J10-J9</x:f>
        <x:v>4170.898097639583</x:v>
      </x:c>
    </x:row>
    <x:row r="10">
      <x:c r="A10" s="66" t="n">
        <x:f>NetworthCalc!B4</x:f>
        <x:v>2029</x:v>
      </x:c>
      <x:c r="B10" s="68" t="n">
        <x:f>NetworthCalc!I4</x:f>
        <x:v>144129.99783378994</x:v>
      </x:c>
      <x:c r="C10" s="69" t="n">
        <x:f>MAX(0,NetworthCalc!$B$42-A10)</x:f>
        <x:v>38</x:v>
      </x:c>
      <x:c r="D10" s="67" t="n">
        <x:f>(NetworthCalc!D4+NetworthCalc!E4)*(1+Inputs!$B$5)^C10+NetworthCalc!F4*(1+Inputs!$B$5-Inputs!$B$9)^C10</x:f>
        <x:v>908433.1820239685</x:v>
      </x:c>
      <x:c r="E10" s="69" t="b">
        <x:f>D10&gt;=$B$1</x:f>
        <x:v>0</x:v>
      </x:c>
      <x:c r="F10" s="66" t="n">
        <x:f>NetworthCalc!A4</x:f>
        <x:v>27</x:v>
      </x:c>
      <x:c r="G10" s="67" t="n">
        <x:f>G9+NetworthCalc!G4</x:f>
        <x:v>69600</x:v>
      </x:c>
      <x:c r="H10" s="67" t="n">
        <x:f>$B$1/(1+Inputs!$B$5)^C10</x:f>
        <x:v>156605.3647360563</x:v>
      </x:c>
      <x:c r="I10" s="67" t="n">
        <x:f>IF(J10=0,0,IF(Inputs!$B$12=0,J10/((A10-Inputs!$B$3+1)*26),J10/(((1+Inputs!$B$12)^((A10-Inputs!$B$3+1)*26)-1)/Inputs!$B$12)))</x:f>
        <x:v>1039.1674238428684</x:v>
      </x:c>
      <x:c r="J10" s="67" t="n">
        <x:f>MAX(0,H10-((Inputs!$B$16+Inputs!$B$17)*(1+Inputs!$B$5)^(A10-Inputs!$B$3+1)+Inputs!$B$18*(1+Inputs!$B$5-Inputs!$B$9)^(A10-Inputs!$B$3+1)))</x:f>
        <x:v>87205.5532629313</x:v>
      </x:c>
      <x:c r="K10" s="67" t="n">
        <x:f>J11-J10</x:f>
        <x:v>4380.334190802503</x:v>
      </x:c>
    </x:row>
    <x:row r="11">
      <x:c r="A11" s="66" t="n">
        <x:f>NetworthCalc!B5</x:f>
        <x:v>2030</x:v>
      </x:c>
      <x:c r="B11" s="68" t="n">
        <x:f>NetworthCalc!I5</x:f>
        <x:v>170970.26253205715</x:v>
      </x:c>
      <x:c r="C11" s="69" t="n">
        <x:f>MAX(0,NetworthCalc!$B$42-A11)</x:f>
        <x:v>37</x:v>
      </x:c>
      <x:c r="D11" s="67" t="n">
        <x:f>(NetworthCalc!D5+NetworthCalc!E5)*(1+Inputs!$B$5)^C11+NetworthCalc!F5*(1+Inputs!$B$5-Inputs!$B$9)^C11</x:f>
        <x:v>1028167.1418682142</x:v>
      </x:c>
      <x:c r="E11" s="69" t="b">
        <x:f>D11&gt;=$B$1</x:f>
        <x:v>1</x:v>
      </x:c>
      <x:c r="F11" s="66" t="n">
        <x:f>NetworthCalc!A5</x:f>
        <x:v>28</x:v>
      </x:c>
      <x:c r="G11" s="67" t="n">
        <x:f>G10+NetworthCalc!G5</x:f>
        <x:v>88800</x:v>
      </x:c>
      <x:c r="H11" s="67" t="n">
        <x:f>$B$1/(1+Inputs!$B$5)^C11</x:f>
        <x:v>164435.6329728591</x:v>
      </x:c>
      <x:c r="I11" s="67" t="n">
        <x:f>IF(J11=0,0,IF(Inputs!$B$12=0,J11/((A11-Inputs!$B$3+1)*26),J11/(((1+Inputs!$B$12)^((A11-Inputs!$B$3+1)*26)-1)/Inputs!$B$12)))</x:f>
        <x:v>798.2430938797261</x:v>
      </x:c>
      <x:c r="J11" s="67" t="n">
        <x:f>MAX(0,H11-((Inputs!$B$16+Inputs!$B$17)*(1+Inputs!$B$5)^(A11-Inputs!$B$3+1)+Inputs!$B$18*(1+Inputs!$B$5-Inputs!$B$9)^(A11-Inputs!$B$3+1)))</x:f>
        <x:v>91585.8874537338</x:v>
      </x:c>
      <x:c r="K11" s="67" t="n">
        <x:f>J12-J11</x:f>
        <x:v>4600.28352887863</x:v>
      </x:c>
    </x:row>
    <x:row r="12">
      <x:c r="A12" s="66" t="n">
        <x:f>NetworthCalc!B6</x:f>
        <x:v>2031</x:v>
      </x:c>
      <x:c r="B12" s="68" t="n">
        <x:f>NetworthCalc!I6</x:f>
        <x:v>198902.21417355177</x:v>
      </x:c>
      <x:c r="C12" s="69" t="n">
        <x:f>MAX(0,NetworthCalc!$B$42-A12)</x:f>
        <x:v>36</x:v>
      </x:c>
      <x:c r="D12" s="67" t="n">
        <x:f>(NetworthCalc!D6+NetworthCalc!E6)*(1+Inputs!$B$5)^C12+NetworthCalc!F6*(1+Inputs!$B$5-Inputs!$B$9)^C12</x:f>
        <x:v>1140764.3899120614</x:v>
      </x:c>
      <x:c r="E12" s="69" t="b">
        <x:f>D12&gt;=$B$1</x:f>
        <x:v>1</x:v>
      </x:c>
      <x:c r="F12" s="66" t="n">
        <x:f>NetworthCalc!A6</x:f>
        <x:v>29</x:v>
      </x:c>
      <x:c r="G12" s="67" t="n">
        <x:f>G11+NetworthCalc!G6</x:f>
        <x:v>107760</x:v>
      </x:c>
      <x:c r="H12" s="67" t="n">
        <x:f>$B$1/(1+Inputs!$B$5)^C12</x:f>
        <x:v>172657.41462150207</x:v>
      </x:c>
      <x:c r="I12" s="67" t="n">
        <x:f>IF(J12=0,0,IF(Inputs!$B$12=0,J12/((A12-Inputs!$B$3+1)*26),J12/(((1+Inputs!$B$12)^((A12-Inputs!$B$3+1)*26)-1)/Inputs!$B$12)))</x:f>
        <x:v>653.9239063710079</x:v>
      </x:c>
      <x:c r="J12" s="67" t="n">
        <x:f>MAX(0,H12-((Inputs!$B$16+Inputs!$B$17)*(1+Inputs!$B$5)^(A12-Inputs!$B$3+1)+Inputs!$B$18*(1+Inputs!$B$5-Inputs!$B$9)^(A12-Inputs!$B$3+1)))</x:f>
        <x:v>96186.17098261243</x:v>
      </x:c>
      <x:c r="K12" s="67" t="n">
        <x:f>J13-J12</x:f>
        <x:v>4831.273701085476</x:v>
      </x:c>
    </x:row>
    <x:row r="13">
      <x:c r="A13" s="66" t="n">
        <x:f>NetworthCalc!B7</x:f>
        <x:v>2032</x:v>
      </x:c>
      <x:c r="B13" s="68" t="n">
        <x:f>NetworthCalc!I7</x:f>
        <x:v>228153.76450474214</x:v>
      </x:c>
      <x:c r="C13" s="69" t="n">
        <x:f>MAX(0,NetworthCalc!$B$42-A13)</x:f>
        <x:v>35</x:v>
      </x:c>
      <x:c r="D13" s="67" t="n">
        <x:f>(NetworthCalc!D7+NetworthCalc!E7)*(1+Inputs!$B$5)^C13+NetworthCalc!F7*(1+Inputs!$B$5-Inputs!$B$9)^C13</x:f>
        <x:v>1247589.8371924045</x:v>
      </x:c>
      <x:c r="E13" s="69" t="b">
        <x:f>D13&gt;=$B$1</x:f>
        <x:v>1</x:v>
      </x:c>
      <x:c r="F13" s="66" t="n">
        <x:f>NetworthCalc!A7</x:f>
        <x:v>30</x:v>
      </x:c>
      <x:c r="G13" s="67" t="n">
        <x:f>G12+NetworthCalc!G7</x:f>
        <x:v>126648</x:v>
      </x:c>
      <x:c r="H13" s="67" t="n">
        <x:f>$B$1/(1+Inputs!$B$5)^C13</x:f>
        <x:v>181290.28535257716</x:v>
      </x:c>
      <x:c r="I13" s="67" t="n">
        <x:f>IF(J13=0,0,IF(Inputs!$B$12=0,J13/((A13-Inputs!$B$3+1)*26),J13/(((1+Inputs!$B$12)^((A13-Inputs!$B$3+1)*26)-1)/Inputs!$B$12)))</x:f>
        <x:v>557.9069801648335</x:v>
      </x:c>
      <x:c r="J13" s="67" t="n">
        <x:f>MAX(0,H13-((Inputs!$B$16+Inputs!$B$17)*(1+Inputs!$B$5)^(A13-Inputs!$B$3+1)+Inputs!$B$18*(1+Inputs!$B$5-Inputs!$B$9)^(A13-Inputs!$B$3+1)))</x:f>
        <x:v>101017.4446836979</x:v>
      </x:c>
      <x:c r="K13" s="67" t="n">
        <x:f>J14-J13</x:f>
        <x:v>5073.858765705649</x:v>
      </x:c>
    </x:row>
    <x:row r="14">
      <x:c r="A14" s="66" t="n">
        <x:f>NetworthCalc!B8</x:f>
        <x:v>2033</x:v>
      </x:c>
      <x:c r="B14" s="68" t="n">
        <x:f>NetworthCalc!I8</x:f>
        <x:v>258842.80328317863</x:v>
      </x:c>
      <x:c r="C14" s="69" t="n">
        <x:f>MAX(0,NetworthCalc!$B$42-A14)</x:f>
        <x:v>34</x:v>
      </x:c>
      <x:c r="D14" s="67" t="n">
        <x:f>(NetworthCalc!D8+NetworthCalc!E8)*(1+Inputs!$B$5)^C14+NetworthCalc!F8*(1+Inputs!$B$5-Inputs!$B$9)^C14</x:f>
        <x:v>1349211.207826883</x:v>
      </x:c>
      <x:c r="E14" s="69" t="b">
        <x:f>D14&gt;=$B$1</x:f>
        <x:v>1</x:v>
      </x:c>
      <x:c r="F14" s="66" t="n">
        <x:f>NetworthCalc!A8</x:f>
        <x:v>31</x:v>
      </x:c>
      <x:c r="G14" s="67" t="n">
        <x:f>G13+NetworthCalc!G8</x:f>
        <x:v>145514.4</x:v>
      </x:c>
      <x:c r="H14" s="67" t="n">
        <x:f>$B$1/(1+Inputs!$B$5)^C14</x:f>
        <x:v>190354.79962020603</x:v>
      </x:c>
      <x:c r="I14" s="67" t="n">
        <x:f>IF(J14=0,0,IF(Inputs!$B$12=0,J14/((A14-Inputs!$B$3+1)*26),J14/(((1+Inputs!$B$12)^((A14-Inputs!$B$3+1)*26)-1)/Inputs!$B$12)))</x:f>
        <x:v>489.49100291547035</x:v>
      </x:c>
      <x:c r="J14" s="67" t="n">
        <x:f>MAX(0,H14-((Inputs!$B$16+Inputs!$B$17)*(1+Inputs!$B$5)^(A14-Inputs!$B$3+1)+Inputs!$B$18*(1+Inputs!$B$5-Inputs!$B$9)^(A14-Inputs!$B$3+1)))</x:f>
        <x:v>106091.30344940355</x:v>
      </x:c>
      <x:c r="K14" s="67" t="n">
        <x:f>J15-J14</x:f>
        <x:v>5328.620577706679</x:v>
      </x:c>
    </x:row>
    <x:row r="15">
      <x:c r="A15" s="66" t="n">
        <x:f>NetworthCalc!B9</x:f>
        <x:v>2034</x:v>
      </x:c>
      <x:c r="B15" s="68" t="n">
        <x:f>NetworthCalc!I9</x:f>
        <x:v>291056.6853709689</x:v>
      </x:c>
      <x:c r="C15" s="69" t="n">
        <x:f>MAX(0,NetworthCalc!$B$42-A15)</x:f>
        <x:v>33</x:v>
      </x:c>
      <x:c r="D15" s="67" t="n">
        <x:f>(NetworthCalc!D9+NetworthCalc!E9)*(1+Inputs!$B$5)^C15+NetworthCalc!F9*(1+Inputs!$B$5-Inputs!$B$9)^C15</x:f>
        <x:v>1445959.993978322</x:v>
      </x:c>
      <x:c r="E15" s="69" t="b">
        <x:f>D15&gt;=$B$1</x:f>
        <x:v>1</x:v>
      </x:c>
      <x:c r="F15" s="66" t="n">
        <x:f>NetworthCalc!A9</x:f>
        <x:v>32</x:v>
      </x:c>
      <x:c r="G15" s="67" t="n">
        <x:f>G14+NetworthCalc!G9</x:f>
        <x:v>164374.32</x:v>
      </x:c>
      <x:c r="H15" s="67" t="n">
        <x:f>$B$1/(1+Inputs!$B$5)^C15</x:f>
        <x:v>199872.53960121633</x:v>
      </x:c>
      <x:c r="I15" s="67" t="n">
        <x:f>IF(J15=0,0,IF(Inputs!$B$12=0,J15/((A15-Inputs!$B$3+1)*26),J15/(((1+Inputs!$B$12)^((A15-Inputs!$B$3+1)*26)-1)/Inputs!$B$12)))</x:f>
        <x:v>438.32525114232936</x:v>
      </x:c>
      <x:c r="J15" s="67" t="n">
        <x:f>MAX(0,H15-((Inputs!$B$16+Inputs!$B$17)*(1+Inputs!$B$5)^(A15-Inputs!$B$3+1)+Inputs!$B$18*(1+Inputs!$B$5-Inputs!$B$9)^(A15-Inputs!$B$3+1)))</x:f>
        <x:v>111419.92402711023</x:v>
      </x:c>
      <x:c r="K15" s="67" t="n">
        <x:f>J16-J15</x:f>
        <x:v>5596.170182935486</x:v>
      </x:c>
    </x:row>
    <x:row r="16">
      <x:c r="A16" s="66" t="n">
        <x:f>NetworthCalc!B10</x:f>
        <x:v>2035</x:v>
      </x:c>
      <x:c r="B16" s="68" t="n">
        <x:f>NetworthCalc!I10</x:f>
        <x:v>324876.2002567459</x:v>
      </x:c>
      <x:c r="C16" s="69" t="n">
        <x:f>MAX(0,NetworthCalc!$B$42-A16)</x:f>
        <x:v>32</x:v>
      </x:c>
      <x:c r="D16" s="67" t="n">
        <x:f>(NetworthCalc!D10+NetworthCalc!E10)*(1+Inputs!$B$5)^C16+NetworthCalc!F10*(1+Inputs!$B$5-Inputs!$B$9)^C16</x:f>
        <x:v>1538092.1317618762</x:v>
      </x:c>
      <x:c r="E16" s="69" t="b">
        <x:f>D16&gt;=$B$1</x:f>
        <x:v>1</x:v>
      </x:c>
      <x:c r="F16" s="66" t="n">
        <x:f>NetworthCalc!A10</x:f>
        <x:v>33</x:v>
      </x:c>
      <x:c r="G16" s="67" t="n">
        <x:f>G15+NetworthCalc!G10</x:f>
        <x:v>183232.296</x:v>
      </x:c>
      <x:c r="H16" s="67" t="n">
        <x:f>$B$1/(1+Inputs!$B$5)^C16</x:f>
        <x:v>209866.16658127715</x:v>
      </x:c>
      <x:c r="I16" s="67" t="n">
        <x:f>IF(J16=0,0,IF(Inputs!$B$12=0,J16/((A16-Inputs!$B$3+1)*26),J16/(((1+Inputs!$B$12)^((A16-Inputs!$B$3+1)*26)-1)/Inputs!$B$12)))</x:f>
        <x:v>398.6592636817372</x:v>
      </x:c>
      <x:c r="J16" s="67" t="n">
        <x:f>MAX(0,H16-((Inputs!$B$16+Inputs!$B$17)*(1+Inputs!$B$5)^(A16-Inputs!$B$3+1)+Inputs!$B$18*(1+Inputs!$B$5-Inputs!$B$9)^(A16-Inputs!$B$3+1)))</x:f>
        <x:v>117016.09421004572</x:v>
      </x:c>
      <x:c r="K16" s="67" t="n">
        <x:f>J17-J16</x:f>
        <x:v>5877.149282225713</x:v>
      </x:c>
    </x:row>
    <x:row r="17">
      <x:c r="A17" s="66" t="n">
        <x:f>NetworthCalc!B11</x:f>
        <x:v>2036</x:v>
      </x:c>
      <x:c r="B17" s="68" t="n">
        <x:f>NetworthCalc!I11</x:f>
        <x:v>360382.8924669938</x:v>
      </x:c>
      <x:c r="C17" s="69" t="n">
        <x:f>MAX(0,NetworthCalc!$B$42-A17)</x:f>
        <x:v>31</x:v>
      </x:c>
      <x:c r="D17" s="67" t="n">
        <x:f>(NetworthCalc!D11+NetworthCalc!E11)*(1+Inputs!$B$5)^C17+NetworthCalc!F11*(1+Inputs!$B$5-Inputs!$B$9)^C17</x:f>
        <x:v>1625834.2925139135</x:v>
      </x:c>
      <x:c r="E17" s="69" t="b">
        <x:f>D17&gt;=$B$1</x:f>
        <x:v>1</x:v>
      </x:c>
      <x:c r="F17" s="66" t="n">
        <x:f>NetworthCalc!A11</x:f>
        <x:v>34</x:v>
      </x:c>
      <x:c r="G17" s="67" t="n">
        <x:f>G16+NetworthCalc!G11</x:f>
        <x:v>202089.6888</x:v>
      </x:c>
      <x:c r="H17" s="67" t="n">
        <x:f>$B$1/(1+Inputs!$B$5)^C17</x:f>
        <x:v>220359.474910341</x:v>
      </x:c>
      <x:c r="I17" s="67" t="n">
        <x:f>IF(J17=0,0,IF(Inputs!$B$12=0,J17/((A17-Inputs!$B$3+1)*26),J17/(((1+Inputs!$B$12)^((A17-Inputs!$B$3+1)*26)-1)/Inputs!$B$12)))</x:f>
        <x:v>367.0427111547222</x:v>
      </x:c>
      <x:c r="J17" s="67" t="n">
        <x:f>MAX(0,H17-((Inputs!$B$16+Inputs!$B$17)*(1+Inputs!$B$5)^(A17-Inputs!$B$3+1)+Inputs!$B$18*(1+Inputs!$B$5-Inputs!$B$9)^(A17-Inputs!$B$3+1)))</x:f>
        <x:v>122893.24349227143</x:v>
      </x:c>
      <x:c r="K17" s="67" t="n">
        <x:f>J18-J17</x:f>
        <x:v>6172.23176892224</x:v>
      </x:c>
    </x:row>
    <x:row r="18">
      <x:c r="A18" s="66" t="n">
        <x:f>NetworthCalc!B12</x:f>
        <x:v>2037</x:v>
      </x:c>
      <x:c r="B18" s="68" t="n">
        <x:f>NetworthCalc!I12</x:f>
        <x:v>397661.3937126141</x:v>
      </x:c>
      <x:c r="C18" s="69" t="n">
        <x:f>MAX(0,NetworthCalc!$B$42-A18)</x:f>
        <x:v>30</x:v>
      </x:c>
      <x:c r="D18" s="67" t="n">
        <x:f>(NetworthCalc!D12+NetworthCalc!E12)*(1+Inputs!$B$5)^C18+NetworthCalc!F12*(1+Inputs!$B$5-Inputs!$B$9)^C18</x:f>
        <x:v>1709397.4744562837</x:v>
      </x:c>
      <x:c r="E18" s="69" t="b">
        <x:f>D18&gt;=$B$1</x:f>
        <x:v>1</x:v>
      </x:c>
      <x:c r="F18" s="66" t="n">
        <x:f>NetworthCalc!A12</x:f>
        <x:v>35</x:v>
      </x:c>
      <x:c r="G18" s="67" t="n">
        <x:f>G17+NetworthCalc!G12</x:f>
        <x:v>220946.90664</x:v>
      </x:c>
      <x:c r="H18" s="67" t="n">
        <x:f>$B$1/(1+Inputs!$B$5)^C18</x:f>
        <x:v>231377.44865585814</x:v>
      </x:c>
      <x:c r="I18" s="67" t="n">
        <x:f>IF(J18=0,0,IF(Inputs!$B$12=0,J18/((A18-Inputs!$B$3+1)*26),J18/(((1+Inputs!$B$12)^((A18-Inputs!$B$3+1)*26)-1)/Inputs!$B$12)))</x:f>
        <x:v>341.27988216597953</x:v>
      </x:c>
      <x:c r="J18" s="67" t="n">
        <x:f>MAX(0,H18-((Inputs!$B$16+Inputs!$B$17)*(1+Inputs!$B$5)^(A18-Inputs!$B$3+1)+Inputs!$B$18*(1+Inputs!$B$5-Inputs!$B$9)^(A18-Inputs!$B$3+1)))</x:f>
        <x:v>129065.47526119367</x:v>
      </x:c>
      <x:c r="K18" s="67" t="n">
        <x:f>J19-J18</x:f>
        <x:v>6482.125343503547</x:v>
      </x:c>
    </x:row>
    <x:row r="19">
      <x:c r="A19" s="66" t="n">
        <x:f>NetworthCalc!B13</x:f>
        <x:v>2038</x:v>
      </x:c>
      <x:c r="B19" s="68" t="n">
        <x:f>NetworthCalc!I13</x:f>
        <x:v>436800.26534749125</x:v>
      </x:c>
      <x:c r="C19" s="69" t="n">
        <x:f>MAX(0,NetworthCalc!$B$42-A19)</x:f>
        <x:v>29</x:v>
      </x:c>
      <x:c r="D19" s="67" t="n">
        <x:f>(NetworthCalc!D13+NetworthCalc!E13)*(1+Inputs!$B$5)^C19+NetworthCalc!F13*(1+Inputs!$B$5-Inputs!$B$9)^C19</x:f>
        <x:v>1788981.2342075086</x:v>
      </x:c>
      <x:c r="E19" s="69" t="b">
        <x:f>D19&gt;=$B$1</x:f>
        <x:v>1</x:v>
      </x:c>
      <x:c r="F19" s="66" t="n">
        <x:f>NetworthCalc!A13</x:f>
        <x:v>36</x:v>
      </x:c>
      <x:c r="G19" s="67" t="n">
        <x:f>G18+NetworthCalc!G13</x:f>
        <x:v>239804.071992</x:v>
      </x:c>
      <x:c r="H19" s="67" t="n">
        <x:f>$B$1/(1+Inputs!$B$5)^C19</x:f>
        <x:v>242946.32108865096</x:v>
      </x:c>
      <x:c r="I19" s="67" t="n">
        <x:f>IF(J19=0,0,IF(Inputs!$B$12=0,J19/((A19-Inputs!$B$3+1)*26),J19/(((1+Inputs!$B$12)^((A19-Inputs!$B$3+1)*26)-1)/Inputs!$B$12)))</x:f>
        <x:v>319.9069264722019</x:v>
      </x:c>
      <x:c r="J19" s="67" t="n">
        <x:f>MAX(0,H19-((Inputs!$B$16+Inputs!$B$17)*(1+Inputs!$B$5)^(A19-Inputs!$B$3+1)+Inputs!$B$18*(1+Inputs!$B$5-Inputs!$B$9)^(A19-Inputs!$B$3+1)))</x:f>
        <x:v>135547.60060469722</x:v>
      </x:c>
      <x:c r="K19" s="67" t="n">
        <x:f>J20-J19</x:f>
        <x:v>6807.573209169466</x:v>
      </x:c>
    </x:row>
    <x:row r="20">
      <x:c r="A20" s="66" t="n">
        <x:f>NetworthCalc!B14</x:f>
        <x:v>2039</x:v>
      </x:c>
      <x:c r="B20" s="68" t="n">
        <x:f>NetworthCalc!I14</x:f>
        <x:v>477892.40105120034</x:v>
      </x:c>
      <x:c r="C20" s="69" t="n">
        <x:f>MAX(0,NetworthCalc!$B$42-A20)</x:f>
        <x:v>28</x:v>
      </x:c>
      <x:c r="D20" s="67" t="n">
        <x:f>(NetworthCalc!D14+NetworthCalc!E14)*(1+Inputs!$B$5)^C20+NetworthCalc!F14*(1+Inputs!$B$5-Inputs!$B$9)^C20</x:f>
        <x:v>1864775.2273845691</x:v>
      </x:c>
      <x:c r="E20" s="69" t="b">
        <x:f>D20&gt;=$B$1</x:f>
        <x:v>1</x:v>
      </x:c>
      <x:c r="F20" s="66" t="n">
        <x:f>NetworthCalc!A14</x:f>
        <x:v>37</x:v>
      </x:c>
      <x:c r="G20" s="67" t="n">
        <x:f>G19+NetworthCalc!G14</x:f>
        <x:v>258661.2215976</x:v>
      </x:c>
      <x:c r="H20" s="67" t="n">
        <x:f>$B$1/(1+Inputs!$B$5)^C20</x:f>
        <x:v>255093.63714308356</x:v>
      </x:c>
      <x:c r="I20" s="67" t="n">
        <x:f>IF(J20=0,0,IF(Inputs!$B$12=0,J20/((A20-Inputs!$B$3+1)*26),J20/(((1+Inputs!$B$12)^((A20-Inputs!$B$3+1)*26)-1)/Inputs!$B$12)))</x:f>
        <x:v>301.9103705957958</x:v>
      </x:c>
      <x:c r="J20" s="67" t="n">
        <x:f>MAX(0,H20-((Inputs!$B$16+Inputs!$B$17)*(1+Inputs!$B$5)^(A20-Inputs!$B$3+1)+Inputs!$B$18*(1+Inputs!$B$5-Inputs!$B$9)^(A20-Inputs!$B$3+1)))</x:f>
        <x:v>142355.17381386668</x:v>
      </x:c>
      <x:c r="K20" s="67" t="n">
        <x:f>J21-J20</x:f>
        <x:v>7149.3558524483815</x:v>
      </x:c>
    </x:row>
    <x:row r="21">
      <x:c r="A21" s="66" t="n">
        <x:f>NetworthCalc!B15</x:f>
        <x:v>2040</x:v>
      </x:c>
      <x:c r="B21" s="68" t="n">
        <x:f>NetworthCalc!I15</x:f>
        <x:v>521035.3050655551</x:v>
      </x:c>
      <x:c r="C21" s="69" t="n">
        <x:f>MAX(0,NetworthCalc!$B$42-A21)</x:f>
        <x:v>27</x:v>
      </x:c>
      <x:c r="D21" s="67" t="n">
        <x:f>(NetworthCalc!D15+NetworthCalc!E15)*(1+Inputs!$B$5)^C21+NetworthCalc!F15*(1+Inputs!$B$5-Inputs!$B$9)^C21</x:f>
        <x:v>1936959.9645830456</x:v>
      </x:c>
      <x:c r="E21" s="69" t="b">
        <x:f>D21&gt;=$B$1</x:f>
        <x:v>1</x:v>
      </x:c>
      <x:c r="F21" s="66" t="n">
        <x:f>NetworthCalc!A15</x:f>
        <x:v>38</x:v>
      </x:c>
      <x:c r="G21" s="67" t="n">
        <x:f>G20+NetworthCalc!G15</x:f>
        <x:v>277518.36647928</x:v>
      </x:c>
      <x:c r="H21" s="67" t="n">
        <x:f>$B$1/(1+Inputs!$B$5)^C21</x:f>
        <x:v>267848.3190002377</x:v>
      </x:c>
      <x:c r="I21" s="67" t="n">
        <x:f>IF(J21=0,0,IF(Inputs!$B$12=0,J21/((A21-Inputs!$B$3+1)*26),J21/(((1+Inputs!$B$12)^((A21-Inputs!$B$3+1)*26)-1)/Inputs!$B$12)))</x:f>
        <x:v>286.5662696592486</x:v>
      </x:c>
      <x:c r="J21" s="67" t="n">
        <x:f>MAX(0,H21-((Inputs!$B$16+Inputs!$B$17)*(1+Inputs!$B$5)^(A21-Inputs!$B$3+1)+Inputs!$B$18*(1+Inputs!$B$5-Inputs!$B$9)^(A21-Inputs!$B$3+1)))</x:f>
        <x:v>149504.52966631507</x:v>
      </x:c>
      <x:c r="K21" s="67" t="n">
        <x:f>J22-J21</x:f>
        <x:v>7508.2929130923585</x:v>
      </x:c>
    </x:row>
    <x:row r="22">
      <x:c r="A22" s="66" t="n">
        <x:f>NetworthCalc!B16</x:f>
        <x:v>2041</x:v>
      </x:c>
      <x:c r="B22" s="68" t="n">
        <x:f>NetworthCalc!I16</x:f>
        <x:v>566331.3409577383</x:v>
      </x:c>
      <x:c r="C22" s="69" t="n">
        <x:f>MAX(0,NetworthCalc!$B$42-A22)</x:f>
        <x:v>26</x:v>
      </x:c>
      <x:c r="D22" s="67" t="n">
        <x:f>(NetworthCalc!D16+NetworthCalc!E16)*(1+Inputs!$B$5)^C22+NetworthCalc!F16*(1+Inputs!$B$5-Inputs!$B$9)^C22</x:f>
        <x:v>2005707.3281411421</x:v>
      </x:c>
      <x:c r="E22" s="69" t="b">
        <x:f>D22&gt;=$B$1</x:f>
        <x:v>1</x:v>
      </x:c>
      <x:c r="F22" s="66" t="n">
        <x:f>NetworthCalc!A16</x:f>
        <x:v>39</x:v>
      </x:c>
      <x:c r="G22" s="67" t="n">
        <x:f>G21+NetworthCalc!G16</x:f>
        <x:v>296375.509943784</x:v>
      </x:c>
      <x:c r="H22" s="67" t="n">
        <x:f>$B$1/(1+Inputs!$B$5)^C22</x:f>
        <x:v>281240.7349502496</x:v>
      </x:c>
      <x:c r="I22" s="67" t="n">
        <x:f>IF(J22=0,0,IF(Inputs!$B$12=0,J22/((A22-Inputs!$B$3+1)*26),J22/(((1+Inputs!$B$12)^((A22-Inputs!$B$3+1)*26)-1)/Inputs!$B$12)))</x:f>
        <x:v>273.3436985351335</x:v>
      </x:c>
      <x:c r="J22" s="67" t="n">
        <x:f>MAX(0,H22-((Inputs!$B$16+Inputs!$B$17)*(1+Inputs!$B$5)^(A22-Inputs!$B$3+1)+Inputs!$B$18*(1+Inputs!$B$5-Inputs!$B$9)^(A22-Inputs!$B$3+1)))</x:f>
        <x:v>157012.82257940742</x:v>
      </x:c>
      <x:c r="K22" s="67" t="n">
        <x:f>J23-J22</x:f>
        <x:v>7885.24514773165</x:v>
      </x:c>
    </x:row>
    <x:row r="23">
      <x:c r="A23" s="66" t="n">
        <x:f>NetworthCalc!B17</x:f>
        <x:v>2042</x:v>
      </x:c>
      <x:c r="B23" s="68" t="n">
        <x:f>NetworthCalc!I17</x:f>
        <x:v>613887.9797943423</x:v>
      </x:c>
      <x:c r="C23" s="69" t="n">
        <x:f>MAX(0,NetworthCalc!$B$42-A23)</x:f>
        <x:v>25</x:v>
      </x:c>
      <x:c r="D23" s="67" t="n">
        <x:f>(NetworthCalc!D17+NetworthCalc!E17)*(1+Inputs!$B$5)^C23+NetworthCalc!F17*(1+Inputs!$B$5-Inputs!$B$9)^C23</x:f>
        <x:v>2071181.0062338938</x:v>
      </x:c>
      <x:c r="E23" s="69" t="b">
        <x:f>D23&gt;=$B$1</x:f>
        <x:v>1</x:v>
      </x:c>
      <x:c r="F23" s="66" t="n">
        <x:f>NetworthCalc!A17</x:f>
        <x:v>40</x:v>
      </x:c>
      <x:c r="G23" s="67" t="n">
        <x:f>G22+NetworthCalc!G17</x:f>
        <x:v>315232.6529831352</x:v>
      </x:c>
      <x:c r="H23" s="67" t="n">
        <x:f>$B$1/(1+Inputs!$B$5)^C23</x:f>
        <x:v>295302.7716977621</x:v>
      </x:c>
      <x:c r="I23" s="67" t="n">
        <x:f>IF(J23=0,0,IF(Inputs!$B$12=0,J23/((A23-Inputs!$B$3+1)*26),J23/(((1+Inputs!$B$12)^((A23-Inputs!$B$3+1)*26)-1)/Inputs!$B$12)))</x:f>
        <x:v>261.84443385910356</x:v>
      </x:c>
      <x:c r="J23" s="67" t="n">
        <x:f>MAX(0,H23-((Inputs!$B$16+Inputs!$B$17)*(1+Inputs!$B$5)^(A23-Inputs!$B$3+1)+Inputs!$B$18*(1+Inputs!$B$5-Inputs!$B$9)^(A23-Inputs!$B$3+1)))</x:f>
        <x:v>164898.06772713907</x:v>
      </x:c>
      <x:c r="K23" s="67" t="n">
        <x:f>J24-J23</x:f>
        <x:v>8281.11649199063</x:v>
      </x:c>
    </x:row>
    <x:row r="24">
      <x:c r="A24" s="66" t="n">
        <x:f>NetworthCalc!B18</x:f>
        <x:v>2043</x:v>
      </x:c>
      <x:c r="B24" s="68" t="n">
        <x:f>NetworthCalc!I18</x:f>
        <x:v>663818.0568037187</x:v>
      </x:c>
      <x:c r="C24" s="69" t="n">
        <x:f>MAX(0,NetworthCalc!$B$42-A24)</x:f>
        <x:v>24</x:v>
      </x:c>
      <x:c r="D24" s="67" t="n">
        <x:f>(NetworthCalc!D18+NetworthCalc!E18)*(1+Inputs!$B$5)^C24+NetworthCalc!F18*(1+Inputs!$B$5-Inputs!$B$9)^C24</x:f>
        <x:v>2133536.889707071</x:v>
      </x:c>
      <x:c r="E24" s="69" t="b">
        <x:f>D24&gt;=$B$1</x:f>
        <x:v>1</x:v>
      </x:c>
      <x:c r="F24" s="66" t="n">
        <x:f>NetworthCalc!A18</x:f>
        <x:v>41</x:v>
      </x:c>
      <x:c r="G24" s="67" t="n">
        <x:f>G23+NetworthCalc!G18</x:f>
        <x:v>334089.79589494056</x:v>
      </x:c>
      <x:c r="H24" s="67" t="n">
        <x:f>$B$1/(1+Inputs!$B$5)^C24</x:f>
        <x:v>310067.9102826502</x:v>
      </x:c>
      <x:c r="I24" s="67" t="n">
        <x:f>IF(J24=0,0,IF(Inputs!$B$12=0,J24/((A24-Inputs!$B$3+1)*26),J24/(((1+Inputs!$B$12)^((A24-Inputs!$B$3+1)*26)-1)/Inputs!$B$12)))</x:f>
        <x:v>251.76392478377846</x:v>
      </x:c>
      <x:c r="J24" s="67" t="n">
        <x:f>MAX(0,H24-((Inputs!$B$16+Inputs!$B$17)*(1+Inputs!$B$5)^(A24-Inputs!$B$3+1)+Inputs!$B$18*(1+Inputs!$B$5-Inputs!$B$9)^(A24-Inputs!$B$3+1)))</x:f>
        <x:v>173179.1842191297</x:v>
      </x:c>
      <x:c r="K24" s="67" t="n">
        <x:f>J25-J24</x:f>
        <x:v>8696.85622600204</x:v>
      </x:c>
    </x:row>
    <x:row r="25">
      <x:c r="A25" s="66" t="n">
        <x:f>NetworthCalc!B19</x:f>
        <x:v>2044</x:v>
      </x:c>
      <x:c r="B25" s="68" t="n">
        <x:f>NetworthCalc!I19</x:f>
        <x:v>716240.0396825441</x:v>
      </x:c>
      <x:c r="C25" s="69" t="n">
        <x:f>MAX(0,NetworthCalc!$B$42-A25)</x:f>
        <x:v>23</x:v>
      </x:c>
      <x:c r="D25" s="67" t="n">
        <x:f>(NetworthCalc!D19+NetworthCalc!E19)*(1+Inputs!$B$5)^C25+NetworthCalc!F19*(1+Inputs!$B$5-Inputs!$B$9)^C25</x:f>
        <x:v>2192923.445274472</x:v>
      </x:c>
      <x:c r="E25" s="69" t="b">
        <x:f>D25&gt;=$B$1</x:f>
        <x:v>1</x:v>
      </x:c>
      <x:c r="F25" s="66" t="n">
        <x:f>NetworthCalc!A19</x:f>
        <x:v>42</x:v>
      </x:c>
      <x:c r="G25" s="67" t="n">
        <x:f>G24+NetworthCalc!G19</x:f>
        <x:v>352946.9387684822</x:v>
      </x:c>
      <x:c r="H25" s="67" t="n">
        <x:f>$B$1/(1+Inputs!$B$5)^C25</x:f>
        <x:v>325571.30579678266</x:v>
      </x:c>
      <x:c r="I25" s="67" t="n">
        <x:f>IF(J25=0,0,IF(Inputs!$B$12=0,J25/((A25-Inputs!$B$3+1)*26),J25/(((1+Inputs!$B$12)^((A25-Inputs!$B$3+1)*26)-1)/Inputs!$B$12)))</x:f>
        <x:v>242.86527351670742</x:v>
      </x:c>
      <x:c r="J25" s="67" t="n">
        <x:f>MAX(0,H25-((Inputs!$B$16+Inputs!$B$17)*(1+Inputs!$B$5)^(A25-Inputs!$B$3+1)+Inputs!$B$18*(1+Inputs!$B$5-Inputs!$B$9)^(A25-Inputs!$B$3+1)))</x:f>
        <x:v>181876.04044513174</x:v>
      </x:c>
      <x:c r="K25" s="67" t="n">
        <x:f>J26-J25</x:f>
        <x:v>9133.461248501932</x:v>
      </x:c>
    </x:row>
    <x:row r="26">
      <x:c r="A26" s="66" t="n">
        <x:f>NetworthCalc!B20</x:f>
        <x:v>2045</x:v>
      </x:c>
      <x:c r="B26" s="68" t="n">
        <x:f>NetworthCalc!I20</x:f>
        <x:v>771278.3099476638</x:v>
      </x:c>
      <x:c r="C26" s="69" t="n">
        <x:f>MAX(0,NetworthCalc!$B$42-A26)</x:f>
        <x:v>22</x:v>
      </x:c>
      <x:c r="D26" s="67" t="n">
        <x:f>(NetworthCalc!D20+NetworthCalc!E20)*(1+Inputs!$B$5)^C26+NetworthCalc!F20*(1+Inputs!$B$5-Inputs!$B$9)^C26</x:f>
        <x:v>2249482.069589709</x:v>
      </x:c>
      <x:c r="E26" s="69" t="b">
        <x:f>D26&gt;=$B$1</x:f>
        <x:v>1</x:v>
      </x:c>
      <x:c r="F26" s="66" t="n">
        <x:f>NetworthCalc!A20</x:f>
        <x:v>43</x:v>
      </x:c>
      <x:c r="G26" s="67" t="n">
        <x:f>G25+NetworthCalc!G20</x:f>
        <x:v>371804.0816305447</x:v>
      </x:c>
      <x:c r="H26" s="67" t="n">
        <x:f>$B$1/(1+Inputs!$B$5)^C26</x:f>
        <x:v>341849.8710866219</x:v>
      </x:c>
      <x:c r="I26" s="67" t="n">
        <x:f>IF(J26=0,0,IF(Inputs!$B$12=0,J26/((A26-Inputs!$B$3+1)*26),J26/(((1+Inputs!$B$12)^((A26-Inputs!$B$3+1)*26)-1)/Inputs!$B$12)))</x:f>
        <x:v>234.96143256206273</x:v>
      </x:c>
      <x:c r="J26" s="67" t="n">
        <x:f>MAX(0,H26-((Inputs!$B$16+Inputs!$B$17)*(1+Inputs!$B$5)^(A26-Inputs!$B$3+1)+Inputs!$B$18*(1+Inputs!$B$5-Inputs!$B$9)^(A26-Inputs!$B$3+1)))</x:f>
        <x:v>191009.50169363368</x:v>
      </x:c>
      <x:c r="K26" s="67" t="n">
        <x:f>J27-J26</x:f>
        <x:v>9591.978464947315</x:v>
      </x:c>
    </x:row>
    <x:row r="27">
      <x:c r="A27" s="66" t="n">
        <x:f>NetworthCalc!B21</x:f>
        <x:v>2046</x:v>
      </x:c>
      <x:c r="B27" s="68" t="n">
        <x:f>NetworthCalc!I21</x:f>
        <x:v>829063.4582305083</x:v>
      </x:c>
      <x:c r="C27" s="69" t="n">
        <x:f>MAX(0,NetworthCalc!$B$42-A27)</x:f>
        <x:v>21</x:v>
      </x:c>
      <x:c r="D27" s="67" t="n">
        <x:f>(NetworthCalc!D21+NetworthCalc!E21)*(1+Inputs!$B$5)^C27+NetworthCalc!F21*(1+Inputs!$B$5-Inputs!$B$9)^C27</x:f>
        <x:v>2303347.4260705058</x:v>
      </x:c>
      <x:c r="E27" s="69" t="b">
        <x:f>D27&gt;=$B$1</x:f>
        <x:v>1</x:v>
      </x:c>
      <x:c r="F27" s="66" t="n">
        <x:f>NetworthCalc!A21</x:f>
        <x:v>44</x:v>
      </x:c>
      <x:c r="G27" s="67" t="n">
        <x:f>G26+NetworthCalc!G21</x:f>
        <x:v>390661.22448916343</x:v>
      </x:c>
      <x:c r="H27" s="67" t="n">
        <x:f>$B$1/(1+Inputs!$B$5)^C27</x:f>
        <x:v>358942.36464095296</x:v>
      </x:c>
      <x:c r="I27" s="67" t="n">
        <x:f>IF(J27=0,0,IF(Inputs!$B$12=0,J27/((A27-Inputs!$B$3+1)*26),J27/(((1+Inputs!$B$12)^((A27-Inputs!$B$3+1)*26)-1)/Inputs!$B$12)))</x:f>
        <x:v>227.90274281778846</x:v>
      </x:c>
      <x:c r="J27" s="67" t="n">
        <x:f>MAX(0,H27-((Inputs!$B$16+Inputs!$B$17)*(1+Inputs!$B$5)^(A27-Inputs!$B$3+1)+Inputs!$B$18*(1+Inputs!$B$5-Inputs!$B$9)^(A27-Inputs!$B$3+1)))</x:f>
        <x:v>200601.480158581</x:v>
      </x:c>
      <x:c r="K27" s="67" t="n">
        <x:f>J28-J27</x:f>
        <x:v>10073.507295377058</x:v>
      </x:c>
    </x:row>
    <x:row r="28">
      <x:c r="A28" s="66" t="n">
        <x:f>NetworthCalc!B22</x:f>
        <x:v>2047</x:v>
      </x:c>
      <x:c r="B28" s="68" t="n">
        <x:f>NetworthCalc!I22</x:f>
        <x:v>889732.5942840761</x:v>
      </x:c>
      <x:c r="C28" s="69" t="n">
        <x:f>MAX(0,NetworthCalc!$B$42-A28)</x:f>
        <x:v>20</x:v>
      </x:c>
      <x:c r="D28" s="67" t="n">
        <x:f>(NetworthCalc!D22+NetworthCalc!E22)*(1+Inputs!$B$5)^C28+NetworthCalc!F22*(1+Inputs!$B$5-Inputs!$B$9)^C28</x:f>
        <x:v>2354647.765573196</x:v>
      </x:c>
      <x:c r="E28" s="69" t="b">
        <x:f>D28&gt;=$B$1</x:f>
        <x:v>1</x:v>
      </x:c>
      <x:c r="F28" s="66" t="n">
        <x:f>NetworthCalc!A22</x:f>
        <x:v>45</x:v>
      </x:c>
      <x:c r="G28" s="67" t="n">
        <x:f>G27+NetworthCalc!G22</x:f>
        <x:v>409518.36734674906</x:v>
      </x:c>
      <x:c r="H28" s="67" t="n">
        <x:f>$B$1/(1+Inputs!$B$5)^C28</x:f>
        <x:v>376889.4828730006</x:v>
      </x:c>
      <x:c r="I28" s="67" t="n">
        <x:f>IF(J28=0,0,IF(Inputs!$B$12=0,J28/((A28-Inputs!$B$3+1)*26),J28/(((1+Inputs!$B$12)^((A28-Inputs!$B$3+1)*26)-1)/Inputs!$B$12)))</x:f>
        <x:v>221.5680322411224</x:v>
      </x:c>
      <x:c r="J28" s="67" t="n">
        <x:f>MAX(0,H28-((Inputs!$B$16+Inputs!$B$17)*(1+Inputs!$B$5)^(A28-Inputs!$B$3+1)+Inputs!$B$18*(1+Inputs!$B$5-Inputs!$B$9)^(A28-Inputs!$B$3+1)))</x:f>
        <x:v>210674.98745395805</x:v>
      </x:c>
      <x:c r="K28" s="67" t="n">
        <x:f>J29-J28</x:f>
        <x:v>10579.202308012202</x:v>
      </x:c>
    </x:row>
    <x:row r="29">
      <x:c r="A29" s="66" t="n">
        <x:f>NetworthCalc!B23</x:f>
        <x:v>2048</x:v>
      </x:c>
      <x:c r="B29" s="68" t="n">
        <x:f>NetworthCalc!I23</x:f>
        <x:v>953429.6724592805</x:v>
      </x:c>
      <x:c r="C29" s="69" t="n">
        <x:f>MAX(0,NetworthCalc!$B$42-A29)</x:f>
        <x:v>19</x:v>
      </x:c>
      <x:c r="D29" s="67" t="n">
        <x:f>(NetworthCalc!D23+NetworthCalc!E23)*(1+Inputs!$B$5)^C29+NetworthCalc!F23*(1+Inputs!$B$5-Inputs!$B$9)^C29</x:f>
        <x:v>2403505.2317654258</x:v>
      </x:c>
      <x:c r="E29" s="69" t="b">
        <x:f>D29&gt;=$B$1</x:f>
        <x:v>1</x:v>
      </x:c>
      <x:c r="F29" s="66" t="n">
        <x:f>NetworthCalc!A23</x:f>
        <x:v>46</x:v>
      </x:c>
      <x:c r="G29" s="67" t="n">
        <x:f>G28+NetworthCalc!G23</x:f>
        <x:v>428375.51020402473</x:v>
      </x:c>
      <x:c r="H29" s="67" t="n">
        <x:f>$B$1/(1+Inputs!$B$5)^C29</x:f>
        <x:v>395733.9570166506</x:v>
      </x:c>
      <x:c r="I29" s="67" t="n">
        <x:f>IF(J29=0,0,IF(Inputs!$B$12=0,J29/((A29-Inputs!$B$3+1)*26),J29/(((1+Inputs!$B$12)^((A29-Inputs!$B$3+1)*26)-1)/Inputs!$B$12)))</x:f>
        <x:v>215.8581421724836</x:v>
      </x:c>
      <x:c r="J29" s="67" t="n">
        <x:f>MAX(0,H29-((Inputs!$B$16+Inputs!$B$17)*(1+Inputs!$B$5)^(A29-Inputs!$B$3+1)+Inputs!$B$18*(1+Inputs!$B$5-Inputs!$B$9)^(A29-Inputs!$B$3+1)))</x:f>
        <x:v>221254.18976197025</x:v>
      </x:c>
      <x:c r="K29" s="67" t="n">
        <x:f>J30-J29</x:f>
        <x:v>11110.275984904933</x:v>
      </x:c>
    </x:row>
    <x:row r="30">
      <x:c r="A30" s="66" t="n">
        <x:f>NetworthCalc!B24</x:f>
        <x:v>2049</x:v>
      </x:c>
      <x:c r="B30" s="68" t="n">
        <x:f>NetworthCalc!I24</x:f>
        <x:v>1020305.8334297739</x:v>
      </x:c>
      <x:c r="C30" s="69" t="n">
        <x:f>MAX(0,NetworthCalc!$B$42-A30)</x:f>
        <x:v>18</x:v>
      </x:c>
      <x:c r="D30" s="67" t="n">
        <x:f>(NetworthCalc!D24+NetworthCalc!E24)*(1+Inputs!$B$5)^C30+NetworthCalc!F24*(1+Inputs!$B$5-Inputs!$B$9)^C30</x:f>
        <x:v>2450036.15194827</x:v>
      </x:c>
      <x:c r="E30" s="69" t="b">
        <x:f>D30&gt;=$B$1</x:f>
        <x:v>1</x:v>
      </x:c>
      <x:c r="F30" s="66" t="n">
        <x:f>NetworthCalc!A24</x:f>
        <x:v>47</x:v>
      </x:c>
      <x:c r="G30" s="67" t="n">
        <x:f>G29+NetworthCalc!G24</x:f>
        <x:v>447232.65306120744</x:v>
      </x:c>
      <x:c r="H30" s="67" t="n">
        <x:f>$B$1/(1+Inputs!$B$5)^C30</x:f>
        <x:v>415520.6548674831</x:v>
      </x:c>
      <x:c r="I30" s="67" t="n">
        <x:f>IF(J30=0,0,IF(Inputs!$B$12=0,J30/((A30-Inputs!$B$3+1)*26),J30/(((1+Inputs!$B$12)^((A30-Inputs!$B$3+1)*26)-1)/Inputs!$B$12)))</x:f>
        <x:v>210.6911424633382</x:v>
      </x:c>
      <x:c r="J30" s="67" t="n">
        <x:f>MAX(0,H30-((Inputs!$B$16+Inputs!$B$17)*(1+Inputs!$B$5)^(A30-Inputs!$B$3+1)+Inputs!$B$18*(1+Inputs!$B$5-Inputs!$B$9)^(A30-Inputs!$B$3+1)))</x:f>
        <x:v>232364.46574687518</x:v>
      </x:c>
      <x:c r="K30" s="67" t="n">
        <x:f>J31-J30</x:f>
        <x:v>11668.00162625176</x:v>
      </x:c>
    </x:row>
    <x:row r="31">
      <x:c r="A31" s="66" t="n">
        <x:f>NetworthCalc!B25</x:f>
        <x:v>2050</x:v>
      </x:c>
      <x:c r="B31" s="68" t="n">
        <x:f>NetworthCalc!I25</x:f>
        <x:v>1090519.762978616</x:v>
      </x:c>
      <x:c r="C31" s="69" t="n">
        <x:f>MAX(0,NetworthCalc!$B$42-A31)</x:f>
        <x:v>17</x:v>
      </x:c>
      <x:c r="D31" s="67" t="n">
        <x:f>(NetworthCalc!D25+NetworthCalc!E25)*(1+Inputs!$B$5)^C31+NetworthCalc!F25*(1+Inputs!$B$5-Inputs!$B$9)^C31</x:f>
        <x:v>2494351.3140271036</x:v>
      </x:c>
      <x:c r="E31" s="69" t="b">
        <x:f>D31&gt;=$B$1</x:f>
        <x:v>1</x:v>
      </x:c>
      <x:c r="F31" s="66" t="n">
        <x:f>NetworthCalc!A25</x:f>
        <x:v>48</x:v>
      </x:c>
      <x:c r="G31" s="67" t="n">
        <x:f>G30+NetworthCalc!G25</x:f>
        <x:v>466089.7959183623</x:v>
      </x:c>
      <x:c r="H31" s="67" t="n">
        <x:f>$B$1/(1+Inputs!$B$5)^C31</x:f>
        <x:v>436296.6876108573</x:v>
      </x:c>
      <x:c r="I31" s="67" t="n">
        <x:f>IF(J31=0,0,IF(Inputs!$B$12=0,J31/((A31-Inputs!$B$3+1)*26),J31/(((1+Inputs!$B$12)^((A31-Inputs!$B$3+1)*26)-1)/Inputs!$B$12)))</x:f>
        <x:v>205.9987428384292</x:v>
      </x:c>
      <x:c r="J31" s="67" t="n">
        <x:f>MAX(0,H31-((Inputs!$B$16+Inputs!$B$17)*(1+Inputs!$B$5)^(A31-Inputs!$B$3+1)+Inputs!$B$18*(1+Inputs!$B$5-Inputs!$B$9)^(A31-Inputs!$B$3+1)))</x:f>
        <x:v>244032.46737312694</x:v>
      </x:c>
      <x:c r="K31" s="67" t="n">
        <x:f>J32-J31</x:f>
        <x:v>12253.716400323552</x:v>
      </x:c>
    </x:row>
    <x:row r="32">
      <x:c r="A32" s="66" t="n">
        <x:f>NetworthCalc!B26</x:f>
        <x:v>2051</x:v>
      </x:c>
      <x:c r="B32" s="68" t="n">
        <x:f>NetworthCalc!I26</x:f>
        <x:v>1164238.0686993818</x:v>
      </x:c>
      <x:c r="C32" s="69" t="n">
        <x:f>MAX(0,NetworthCalc!$B$42-A32)</x:f>
        <x:v>16</x:v>
      </x:c>
      <x:c r="D32" s="67" t="n">
        <x:f>(NetworthCalc!D26+NetworthCalc!E26)*(1+Inputs!$B$5)^C32+NetworthCalc!F26*(1+Inputs!$B$5-Inputs!$B$9)^C32</x:f>
        <x:v>2536556.2302926383</x:v>
      </x:c>
      <x:c r="E32" s="69" t="b">
        <x:f>D32&gt;=$B$1</x:f>
        <x:v>1</x:v>
      </x:c>
      <x:c r="F32" s="66" t="n">
        <x:f>NetworthCalc!A26</x:f>
        <x:v>49</x:v>
      </x:c>
      <x:c r="G32" s="67" t="n">
        <x:f>G31+NetworthCalc!G26</x:f>
        <x:v>484946.9387755087</x:v>
      </x:c>
      <x:c r="H32" s="67" t="n">
        <x:f>$B$1/(1+Inputs!$B$5)^C32</x:f>
        <x:v>458111.5219914002</x:v>
      </x:c>
      <x:c r="I32" s="67" t="n">
        <x:f>IF(J32=0,0,IF(Inputs!$B$12=0,J32/((A32-Inputs!$B$3+1)*26),J32/(((1+Inputs!$B$12)^((A32-Inputs!$B$3+1)*26)-1)/Inputs!$B$12)))</x:f>
        <x:v>201.7235655450134</x:v>
      </x:c>
      <x:c r="J32" s="67" t="n">
        <x:f>MAX(0,H32-((Inputs!$B$16+Inputs!$B$17)*(1+Inputs!$B$5)^(A32-Inputs!$B$3+1)+Inputs!$B$18*(1+Inputs!$B$5-Inputs!$B$9)^(A32-Inputs!$B$3+1)))</x:f>
        <x:v>256286.1837734505</x:v>
      </x:c>
      <x:c r="K32" s="67" t="n">
        <x:f>J33-J32</x:f>
        <x:v>12868.824546312157</x:v>
      </x:c>
    </x:row>
    <x:row r="33">
      <x:c r="A33" s="66" t="n">
        <x:f>NetworthCalc!B27</x:f>
        <x:v>2052</x:v>
      </x:c>
      <x:c r="B33" s="68" t="n">
        <x:f>NetworthCalc!I27</x:f>
        <x:v>1241635.6755064684</x:v>
      </x:c>
      <x:c r="C33" s="69" t="n">
        <x:f>MAX(0,NetworthCalc!$B$42-A33)</x:f>
        <x:v>15</x:v>
      </x:c>
      <x:c r="D33" s="67" t="n">
        <x:f>(NetworthCalc!D27+NetworthCalc!E27)*(1+Inputs!$B$5)^C33+NetworthCalc!F27*(1+Inputs!$B$5-Inputs!$B$9)^C33</x:f>
        <x:v>2576751.3886407623</x:v>
      </x:c>
      <x:c r="E33" s="69" t="b">
        <x:f>D33&gt;=$B$1</x:f>
        <x:v>1</x:v>
      </x:c>
      <x:c r="F33" s="66" t="n">
        <x:f>NetworthCalc!A27</x:f>
        <x:v>50</x:v>
      </x:c>
      <x:c r="G33" s="67" t="n">
        <x:f>G32+NetworthCalc!G27</x:f>
        <x:v>503804.08163265267</x:v>
      </x:c>
      <x:c r="H33" s="67" t="n">
        <x:f>$B$1/(1+Inputs!$B$5)^C33</x:f>
        <x:v>481017.0980909702</x:v>
      </x:c>
      <x:c r="I33" s="67" t="n">
        <x:f>IF(J33=0,0,IF(Inputs!$B$12=0,J33/((A33-Inputs!$B$3+1)*26),J33/(((1+Inputs!$B$12)^((A33-Inputs!$B$3+1)*26)-1)/Inputs!$B$12)))</x:f>
        <x:v>197.8170474024685</x:v>
      </x:c>
      <x:c r="J33" s="67" t="n">
        <x:f>MAX(0,H33-((Inputs!$B$16+Inputs!$B$17)*(1+Inputs!$B$5)^(A33-Inputs!$B$3+1)+Inputs!$B$18*(1+Inputs!$B$5-Inputs!$B$9)^(A33-Inputs!$B$3+1)))</x:f>
        <x:v>269155.00831976265</x:v>
      </x:c>
      <x:c r="K33" s="67" t="n">
        <x:f>J34-J33</x:f>
        <x:v>13514.800737758225</x:v>
      </x:c>
    </x:row>
    <x:row r="34">
      <x:c r="A34" s="66" t="n">
        <x:f>NetworthCalc!B28</x:f>
        <x:v>2053</x:v>
      </x:c>
      <x:c r="B34" s="68" t="n">
        <x:f>NetworthCalc!I28</x:f>
        <x:v>1322896.240893906</x:v>
      </x:c>
      <x:c r="C34" s="69" t="n">
        <x:f>MAX(0,NetworthCalc!$B$42-A34)</x:f>
        <x:v>14</x:v>
      </x:c>
      <x:c r="D34" s="67" t="n">
        <x:f>(NetworthCalc!D28+NetworthCalc!E28)*(1+Inputs!$B$5)^C34+NetworthCalc!F28*(1+Inputs!$B$5-Inputs!$B$9)^C34</x:f>
        <x:v>2615032.4918294474</x:v>
      </x:c>
      <x:c r="E34" s="69" t="b">
        <x:f>D34&gt;=$B$1</x:f>
        <x:v>1</x:v>
      </x:c>
      <x:c r="F34" s="66" t="n">
        <x:f>NetworthCalc!A28</x:f>
        <x:v>51</x:v>
      </x:c>
      <x:c r="G34" s="67" t="n">
        <x:f>G33+NetworthCalc!G28</x:f>
        <x:v>522661.22448979586</x:v>
      </x:c>
      <x:c r="H34" s="67" t="n">
        <x:f>$B$1/(1+Inputs!$B$5)^C34</x:f>
        <x:v>505067.95299551886</x:v>
      </x:c>
      <x:c r="I34" s="67" t="n">
        <x:f>IF(J34=0,0,IF(Inputs!$B$12=0,J34/((A34-Inputs!$B$3+1)*26),J34/(((1+Inputs!$B$12)^((A34-Inputs!$B$3+1)*26)-1)/Inputs!$B$12)))</x:f>
        <x:v>194.2378080727811</x:v>
      </x:c>
      <x:c r="J34" s="67" t="n">
        <x:f>MAX(0,H34-((Inputs!$B$16+Inputs!$B$17)*(1+Inputs!$B$5)^(A34-Inputs!$B$3+1)+Inputs!$B$18*(1+Inputs!$B$5-Inputs!$B$9)^(A34-Inputs!$B$3+1)))</x:f>
        <x:v>282669.8090575209</x:v>
      </x:c>
      <x:c r="K34" s="67" t="n">
        <x:f>J35-J34</x:f>
        <x:v>14193.193614608143</x:v>
      </x:c>
    </x:row>
    <x:row r="35">
      <x:c r="A35" s="66" t="n">
        <x:f>NetworthCalc!B29</x:f>
        <x:v>2054</x:v>
      </x:c>
      <x:c r="B35" s="68" t="n">
        <x:f>NetworthCalc!I29</x:f>
        <x:v>1408212.5909288737</x:v>
      </x:c>
      <x:c r="C35" s="69" t="n">
        <x:f>MAX(0,NetworthCalc!$B$42-A35)</x:f>
        <x:v>13</x:v>
      </x:c>
      <x:c r="D35" s="67" t="n">
        <x:f>(NetworthCalc!D29+NetworthCalc!E29)*(1+Inputs!$B$5)^C35+NetworthCalc!F29*(1+Inputs!$B$5-Inputs!$B$9)^C35</x:f>
        <x:v>2651490.685342483</x:v>
      </x:c>
      <x:c r="E35" s="69" t="b">
        <x:f>D35&gt;=$B$1</x:f>
        <x:v>1</x:v>
      </x:c>
      <x:c r="F35" s="66" t="n">
        <x:f>NetworthCalc!A29</x:f>
        <x:v>52</x:v>
      </x:c>
      <x:c r="G35" s="67" t="n">
        <x:f>G34+NetworthCalc!G29</x:f>
        <x:v>541518.3673469388</x:v>
      </x:c>
      <x:c r="H35" s="67" t="n">
        <x:f>$B$1/(1+Inputs!$B$5)^C35</x:f>
        <x:v>530321.3506452946</x:v>
      </x:c>
      <x:c r="I35" s="67" t="n">
        <x:f>IF(J35=0,0,IF(Inputs!$B$12=0,J35/((A35-Inputs!$B$3+1)*26),J35/(((1+Inputs!$B$12)^((A35-Inputs!$B$3+1)*26)-1)/Inputs!$B$12)))</x:f>
        <x:v>190.95036799514344</x:v>
      </x:c>
      <x:c r="J35" s="67" t="n">
        <x:f>MAX(0,H35-((Inputs!$B$16+Inputs!$B$17)*(1+Inputs!$B$5)^(A35-Inputs!$B$3+1)+Inputs!$B$18*(1+Inputs!$B$5-Inputs!$B$9)^(A35-Inputs!$B$3+1)))</x:f>
        <x:v>296863.002672129</x:v>
      </x:c>
      <x:c r="K35" s="67" t="n">
        <x:f>J36-J35</x:f>
        <x:v>14905.629492359294</x:v>
      </x:c>
    </x:row>
    <x:row r="36">
      <x:c r="A36" s="66" t="n">
        <x:f>NetworthCalc!B30</x:f>
        <x:v>2055</x:v>
      </x:c>
      <x:c r="B36" s="68" t="n">
        <x:f>NetworthCalc!I30</x:f>
        <x:v>1497787.1780153313</x:v>
      </x:c>
      <x:c r="C36" s="69" t="n">
        <x:f>MAX(0,NetworthCalc!$B$42-A36)</x:f>
        <x:v>12</x:v>
      </x:c>
      <x:c r="D36" s="67" t="n">
        <x:f>(NetworthCalc!D30+NetworthCalc!E30)*(1+Inputs!$B$5)^C36+NetworthCalc!F30*(1+Inputs!$B$5-Inputs!$B$9)^C36</x:f>
        <x:v>2686212.7744025146</x:v>
      </x:c>
      <x:c r="E36" s="69" t="b">
        <x:f>D36&gt;=$B$1</x:f>
        <x:v>1</x:v>
      </x:c>
      <x:c r="F36" s="66" t="n">
        <x:f>NetworthCalc!A30</x:f>
        <x:v>53</x:v>
      </x:c>
      <x:c r="G36" s="67" t="n">
        <x:f>G35+NetworthCalc!G30</x:f>
        <x:v>560375.5102040817</x:v>
      </x:c>
      <x:c r="H36" s="67" t="n">
        <x:f>$B$1/(1+Inputs!$B$5)^C36</x:f>
        <x:v>556837.4181775595</x:v>
      </x:c>
      <x:c r="I36" s="67" t="n">
        <x:f>IF(J36=0,0,IF(Inputs!$B$12=0,J36/((A36-Inputs!$B$3+1)*26),J36/(((1+Inputs!$B$12)^((A36-Inputs!$B$3+1)*26)-1)/Inputs!$B$12)))</x:f>
        <x:v>187.92413158149452</x:v>
      </x:c>
      <x:c r="J36" s="67" t="n">
        <x:f>MAX(0,H36-((Inputs!$B$16+Inputs!$B$17)*(1+Inputs!$B$5)^(A36-Inputs!$B$3+1)+Inputs!$B$18*(1+Inputs!$B$5-Inputs!$B$9)^(A36-Inputs!$B$3+1)))</x:f>
        <x:v>311768.6321644883</x:v>
      </x:c>
      <x:c r="K36" s="67" t="n">
        <x:f>J37-J36</x:f>
        <x:v>15653.816257159284</x:v>
      </x:c>
    </x:row>
    <x:row r="37">
      <x:c r="A37" s="66" t="n">
        <x:f>NetworthCalc!B31</x:f>
        <x:v>2056</x:v>
      </x:c>
      <x:c r="B37" s="68" t="n">
        <x:f>NetworthCalc!I31</x:f>
        <x:v>1591832.5615149173</x:v>
      </x:c>
      <x:c r="C37" s="69" t="n">
        <x:f>MAX(0,NetworthCalc!$B$42-A37)</x:f>
        <x:v>11</x:v>
      </x:c>
      <x:c r="D37" s="67" t="n">
        <x:f>(NetworthCalc!D31+NetworthCalc!E31)*(1+Inputs!$B$5)^C37+NetworthCalc!F31*(1+Inputs!$B$5-Inputs!$B$9)^C37</x:f>
        <x:v>2719281.430650164</x:v>
      </x:c>
      <x:c r="E37" s="69" t="b">
        <x:f>D37&gt;=$B$1</x:f>
        <x:v>1</x:v>
      </x:c>
      <x:c r="F37" s="66" t="n">
        <x:f>NetworthCalc!A31</x:f>
        <x:v>54</x:v>
      </x:c>
      <x:c r="G37" s="67" t="n">
        <x:f>G36+NetworthCalc!G31</x:f>
        <x:v>579232.6530612245</x:v>
      </x:c>
      <x:c r="H37" s="67" t="n">
        <x:f>$B$1/(1+Inputs!$B$5)^C37</x:f>
        <x:v>584679.2890864374</x:v>
      </x:c>
      <x:c r="I37" s="67" t="n">
        <x:f>IF(J37=0,0,IF(Inputs!$B$12=0,J37/((A37-Inputs!$B$3+1)*26),J37/(((1+Inputs!$B$12)^((A37-Inputs!$B$3+1)*26)-1)/Inputs!$B$12)))</x:f>
        <x:v>185.13257377735886</x:v>
      </x:c>
      <x:c r="J37" s="67" t="n">
        <x:f>MAX(0,H37-((Inputs!$B$16+Inputs!$B$17)*(1+Inputs!$B$5)^(A37-Inputs!$B$3+1)+Inputs!$B$18*(1+Inputs!$B$5-Inputs!$B$9)^(A37-Inputs!$B$3+1)))</x:f>
        <x:v>327422.4484216476</x:v>
      </x:c>
      <x:c r="K37" s="67" t="n">
        <x:f>J38-J37</x:f>
        <x:v>16439.54745619255</x:v>
      </x:c>
    </x:row>
    <x:row r="38">
      <x:c r="A38" s="66" t="n">
        <x:f>NetworthCalc!B32</x:f>
        <x:v>2057</x:v>
      </x:c>
      <x:c r="B38" s="68" t="n">
        <x:f>NetworthCalc!I32</x:f>
        <x:v>1690571.912366522</x:v>
      </x:c>
      <x:c r="C38" s="69" t="n">
        <x:f>MAX(0,NetworthCalc!$B$42-A38)</x:f>
        <x:v>10</x:v>
      </x:c>
      <x:c r="D38" s="67" t="n">
        <x:f>(NetworthCalc!D32+NetworthCalc!E32)*(1+Inputs!$B$5)^C38+NetworthCalc!F32*(1+Inputs!$B$5-Inputs!$B$9)^C38</x:f>
        <x:v>2750775.388981258</x:v>
      </x:c>
      <x:c r="E38" s="69" t="b">
        <x:f>D38&gt;=$B$1</x:f>
        <x:v>1</x:v>
      </x:c>
      <x:c r="F38" s="66" t="n">
        <x:f>NetworthCalc!A32</x:f>
        <x:v>55</x:v>
      </x:c>
      <x:c r="G38" s="67" t="n">
        <x:f>G37+NetworthCalc!G32</x:f>
        <x:v>598089.7959183673</x:v>
      </x:c>
      <x:c r="H38" s="67" t="n">
        <x:f>$B$1/(1+Inputs!$B$5)^C38</x:f>
        <x:v>613913.2535407593</x:v>
      </x:c>
      <x:c r="I38" s="67" t="n">
        <x:f>IF(J38=0,0,IF(Inputs!$B$12=0,J38/((A38-Inputs!$B$3+1)*26),J38/(((1+Inputs!$B$12)^((A38-Inputs!$B$3+1)*26)-1)/Inputs!$B$12)))</x:f>
        <x:v>182.55258406543837</x:v>
      </x:c>
      <x:c r="J38" s="67" t="n">
        <x:f>MAX(0,H38-((Inputs!$B$16+Inputs!$B$17)*(1+Inputs!$B$5)^(A38-Inputs!$B$3+1)+Inputs!$B$18*(1+Inputs!$B$5-Inputs!$B$9)^(A38-Inputs!$B$3+1)))</x:f>
        <x:v>343861.99587784015</x:v>
      </x:c>
      <x:c r="K38" s="67" t="n">
        <x:f>J39-J38</x:f>
        <x:v>17264.706593134964</x:v>
      </x:c>
    </x:row>
    <x:row r="39">
      <x:c r="A39" s="66" t="n">
        <x:f>NetworthCalc!B33</x:f>
        <x:v>2058</x:v>
      </x:c>
      <x:c r="B39" s="68" t="n">
        <x:f>NetworthCalc!I33</x:f>
        <x:v>1794239.5429029788</x:v>
      </x:c>
      <x:c r="C39" s="69" t="n">
        <x:f>MAX(0,NetworthCalc!$B$42-A39)</x:f>
        <x:v>9</x:v>
      </x:c>
      <x:c r="D39" s="67" t="n">
        <x:f>(NetworthCalc!D33+NetworthCalc!E33)*(1+Inputs!$B$5)^C39+NetworthCalc!F33*(1+Inputs!$B$5-Inputs!$B$9)^C39</x:f>
        <x:v>2780769.6350108706</x:v>
      </x:c>
      <x:c r="E39" s="69" t="b">
        <x:f>D39&gt;=$B$1</x:f>
        <x:v>1</x:v>
      </x:c>
      <x:c r="F39" s="66" t="n">
        <x:f>NetworthCalc!A33</x:f>
        <x:v>56</x:v>
      </x:c>
      <x:c r="G39" s="67" t="n">
        <x:f>G38+NetworthCalc!G33</x:f>
        <x:v>616946.9387755102</x:v>
      </x:c>
      <x:c r="H39" s="67" t="n">
        <x:f>$B$1/(1+Inputs!$B$5)^C39</x:f>
        <x:v>644608.9162177973</x:v>
      </x:c>
      <x:c r="I39" s="67" t="n">
        <x:f>IF(J39=0,0,IF(Inputs!$B$12=0,J39/((A39-Inputs!$B$3+1)*26),J39/(((1+Inputs!$B$12)^((A39-Inputs!$B$3+1)*26)-1)/Inputs!$B$12)))</x:f>
        <x:v>180.16393347006553</x:v>
      </x:c>
      <x:c r="J39" s="67" t="n">
        <x:f>MAX(0,H39-((Inputs!$B$16+Inputs!$B$17)*(1+Inputs!$B$5)^(A39-Inputs!$B$3+1)+Inputs!$B$18*(1+Inputs!$B$5-Inputs!$B$9)^(A39-Inputs!$B$3+1)))</x:f>
        <x:v>361126.7024709751</x:v>
      </x:c>
      <x:c r="K39" s="67" t="n">
        <x:f>J40-J39</x:f>
        <x:v>18131.271638956387</x:v>
      </x:c>
    </x:row>
    <x:row r="40">
      <x:c r="A40" s="66" t="n">
        <x:f>NetworthCalc!B34</x:f>
        <x:v>2059</x:v>
      </x:c>
      <x:c r="B40" s="68" t="n">
        <x:f>NetworthCalc!I34</x:f>
        <x:v>1903081.4631231464</x:v>
      </x:c>
      <x:c r="C40" s="69" t="n">
        <x:f>MAX(0,NetworthCalc!$B$42-A40)</x:f>
        <x:v>8</x:v>
      </x:c>
      <x:c r="D40" s="67" t="n">
        <x:f>(NetworthCalc!D34+NetworthCalc!E34)*(1+Inputs!$B$5)^C40+NetworthCalc!F34*(1+Inputs!$B$5-Inputs!$B$9)^C40</x:f>
        <x:v>2809335.583610502</x:v>
      </x:c>
      <x:c r="E40" s="69" t="b">
        <x:f>D40&gt;=$B$1</x:f>
        <x:v>1</x:v>
      </x:c>
      <x:c r="F40" s="66" t="n">
        <x:f>NetworthCalc!A34</x:f>
        <x:v>57</x:v>
      </x:c>
      <x:c r="G40" s="67" t="n">
        <x:f>G39+NetworthCalc!G34</x:f>
        <x:v>635804.081632653</x:v>
      </x:c>
      <x:c r="H40" s="67" t="n">
        <x:f>$B$1/(1+Inputs!$B$5)^C40</x:f>
        <x:v>676839.3620286871</x:v>
      </x:c>
      <x:c r="I40" s="67" t="n">
        <x:f>IF(J40=0,0,IF(Inputs!$B$12=0,J40/((A40-Inputs!$B$3+1)*26),J40/(((1+Inputs!$B$12)^((A40-Inputs!$B$3+1)*26)-1)/Inputs!$B$12)))</x:f>
        <x:v>177.94883847020753</x:v>
      </x:c>
      <x:c r="J40" s="67" t="n">
        <x:f>MAX(0,H40-((Inputs!$B$16+Inputs!$B$17)*(1+Inputs!$B$5)^(A40-Inputs!$B$3+1)+Inputs!$B$18*(1+Inputs!$B$5-Inputs!$B$9)^(A40-Inputs!$B$3+1)))</x:f>
        <x:v>379257.9741099315</x:v>
      </x:c>
      <x:c r="K40" s="67" t="n">
        <x:f>J41-J40</x:f>
        <x:v>19041.319768870657</x:v>
      </x:c>
    </x:row>
    <x:row r="41">
      <x:c r="A41" s="66" t="n">
        <x:f>NetworthCalc!B35</x:f>
        <x:v>2060</x:v>
      </x:c>
      <x:c r="B41" s="68" t="n">
        <x:f>NetworthCalc!I35</x:f>
        <x:v>2017355.9647405054</x:v>
      </x:c>
      <x:c r="C41" s="69" t="n">
        <x:f>MAX(0,NetworthCalc!$B$42-A41)</x:f>
        <x:v>7</x:v>
      </x:c>
      <x:c r="D41" s="67" t="n">
        <x:f>(NetworthCalc!D35+NetworthCalc!E35)*(1+Inputs!$B$5)^C41+NetworthCalc!F35*(1+Inputs!$B$5-Inputs!$B$9)^C41</x:f>
        <x:v>2836541.2489434844</x:v>
      </x:c>
      <x:c r="E41" s="69" t="b">
        <x:f>D41&gt;=$B$1</x:f>
        <x:v>1</x:v>
      </x:c>
      <x:c r="F41" s="66" t="n">
        <x:f>NetworthCalc!A35</x:f>
        <x:v>58</x:v>
      </x:c>
      <x:c r="G41" s="67" t="n">
        <x:f>G40+NetworthCalc!G35</x:f>
        <x:v>654661.2244897959</x:v>
      </x:c>
      <x:c r="H41" s="67" t="n">
        <x:f>$B$1/(1+Inputs!$B$5)^C41</x:f>
        <x:v>710681.3301301214</x:v>
      </x:c>
      <x:c r="I41" s="67" t="n">
        <x:f>IF(J41=0,0,IF(Inputs!$B$12=0,J41/((A41-Inputs!$B$3+1)*26),J41/(((1+Inputs!$B$12)^((A41-Inputs!$B$3+1)*26)-1)/Inputs!$B$12)))</x:f>
        <x:v>175.89160186811196</x:v>
      </x:c>
      <x:c r="J41" s="67" t="n">
        <x:f>MAX(0,H41-((Inputs!$B$16+Inputs!$B$17)*(1+Inputs!$B$5)^(A41-Inputs!$B$3+1)+Inputs!$B$18*(1+Inputs!$B$5-Inputs!$B$9)^(A41-Inputs!$B$3+1)))</x:f>
        <x:v>398299.29387880216</x:v>
      </x:c>
      <x:c r="K41" s="67" t="n">
        <x:f>J42-J41</x:f>
        <x:v>19997.032336761244</x:v>
      </x:c>
    </x:row>
    <x:row r="42">
      <x:c r="A42" s="66" t="n">
        <x:f>NetworthCalc!B36</x:f>
        <x:v>2061</x:v>
      </x:c>
      <x:c r="B42" s="68" t="n">
        <x:f>NetworthCalc!I36</x:f>
        <x:v>2137334.234395372</x:v>
      </x:c>
      <x:c r="C42" s="69" t="n">
        <x:f>MAX(0,NetworthCalc!$B$42-A42)</x:f>
        <x:v>6</x:v>
      </x:c>
      <x:c r="D42" s="67" t="n">
        <x:f>(NetworthCalc!D36+NetworthCalc!E36)*(1+Inputs!$B$5)^C42+NetworthCalc!F36*(1+Inputs!$B$5-Inputs!$B$9)^C42</x:f>
        <x:v>2862451.4064034657</x:v>
      </x:c>
      <x:c r="E42" s="69" t="b">
        <x:f>D42&gt;=$B$1</x:f>
        <x:v>1</x:v>
      </x:c>
      <x:c r="F42" s="66" t="n">
        <x:f>NetworthCalc!A36</x:f>
        <x:v>59</x:v>
      </x:c>
      <x:c r="G42" s="67" t="n">
        <x:f>G41+NetworthCalc!G36</x:f>
        <x:v>673518.3673469387</x:v>
      </x:c>
      <x:c r="H42" s="67" t="n">
        <x:f>$B$1/(1+Inputs!$B$5)^C42</x:f>
        <x:v>746215.3966366276</x:v>
      </x:c>
      <x:c r="I42" s="67" t="n">
        <x:f>IF(J42=0,0,IF(Inputs!$B$12=0,J42/((A42-Inputs!$B$3+1)*26),J42/(((1+Inputs!$B$12)^((A42-Inputs!$B$3+1)*26)-1)/Inputs!$B$12)))</x:f>
        <x:v>173.97831522137997</x:v>
      </x:c>
      <x:c r="J42" s="67" t="n">
        <x:f>MAX(0,H42-((Inputs!$B$16+Inputs!$B$17)*(1+Inputs!$B$5)^(A42-Inputs!$B$3+1)+Inputs!$B$18*(1+Inputs!$B$5-Inputs!$B$9)^(A42-Inputs!$B$3+1)))</x:f>
        <x:v>418296.3262155634</x:v>
      </x:c>
      <x:c r="K42" s="67" t="n">
        <x:f>J43-J42</x:f>
        <x:v>21000.700098990346</x:v>
      </x:c>
    </x:row>
    <x:row r="43">
      <x:c r="A43" s="66" t="n">
        <x:f>NetworthCalc!B37</x:f>
        <x:v>2062</x:v>
      </x:c>
      <x:c r="B43" s="68" t="n">
        <x:f>NetworthCalc!I37</x:f>
        <x:v>2263300.997487107</x:v>
      </x:c>
      <x:c r="C43" s="69" t="n">
        <x:f>MAX(0,NetworthCalc!$B$42-A43)</x:f>
        <x:v>5</x:v>
      </x:c>
      <x:c r="D43" s="67" t="n">
        <x:f>(NetworthCalc!D37+NetworthCalc!E37)*(1+Inputs!$B$5)^C43+NetworthCalc!F37*(1+Inputs!$B$5-Inputs!$B$9)^C43</x:f>
        <x:v>2887127.746841544</x:v>
      </x:c>
      <x:c r="E43" s="69" t="b">
        <x:f>D43&gt;=$B$1</x:f>
        <x:v>1</x:v>
      </x:c>
      <x:c r="F43" s="66" t="n">
        <x:f>NetworthCalc!A37</x:f>
        <x:v>60</x:v>
      </x:c>
      <x:c r="G43" s="67" t="n">
        <x:f>G42+NetworthCalc!G37</x:f>
        <x:v>692375.5102040815</x:v>
      </x:c>
      <x:c r="H43" s="67" t="n">
        <x:f>$B$1/(1+Inputs!$B$5)^C43</x:f>
        <x:v>783526.166468459</x:v>
      </x:c>
      <x:c r="I43" s="67" t="n">
        <x:f>IF(J43=0,0,IF(Inputs!$B$12=0,J43/((A43-Inputs!$B$3+1)*26),J43/(((1+Inputs!$B$12)^((A43-Inputs!$B$3+1)*26)-1)/Inputs!$B$12)))</x:f>
        <x:v>172.19661086678352</x:v>
      </x:c>
      <x:c r="J43" s="67" t="n">
        <x:f>MAX(0,H43-((Inputs!$B$16+Inputs!$B$17)*(1+Inputs!$B$5)^(A43-Inputs!$B$3+1)+Inputs!$B$18*(1+Inputs!$B$5-Inputs!$B$9)^(A43-Inputs!$B$3+1)))</x:f>
        <x:v>439297.02631455375</x:v>
      </x:c>
      <x:c r="K43" s="67" t="n">
        <x:f>J44-J43</x:f>
        <x:v>22054.72870009183</x:v>
      </x:c>
    </x:row>
    <x:row r="44">
      <x:c r="A44" s="66" t="n">
        <x:f>NetworthCalc!B38</x:f>
        <x:v>2063</x:v>
      </x:c>
      <x:c r="B44" s="68" t="n">
        <x:f>NetworthCalc!I38</x:f>
        <x:v>2395555.194155419</x:v>
      </x:c>
      <x:c r="C44" s="69" t="n">
        <x:f>MAX(0,NetworthCalc!$B$42-A44)</x:f>
        <x:v>4</x:v>
      </x:c>
      <x:c r="D44" s="67" t="n">
        <x:f>(NetworthCalc!D38+NetworthCalc!E38)*(1+Inputs!$B$5)^C44+NetworthCalc!F38*(1+Inputs!$B$5-Inputs!$B$9)^C44</x:f>
        <x:v>2910629.0234492365</x:v>
      </x:c>
      <x:c r="E44" s="69" t="b">
        <x:f>D44&gt;=$B$1</x:f>
        <x:v>1</x:v>
      </x:c>
      <x:c r="F44" s="66" t="n">
        <x:f>NetworthCalc!A38</x:f>
        <x:v>61</x:v>
      </x:c>
      <x:c r="G44" s="67" t="n">
        <x:f>G43+NetworthCalc!G38</x:f>
        <x:v>711232.6530612244</x:v>
      </x:c>
      <x:c r="H44" s="67" t="n">
        <x:f>$B$1/(1+Inputs!$B$5)^C44</x:f>
        <x:v>822702.474791882</x:v>
      </x:c>
      <x:c r="I44" s="67" t="n">
        <x:f>IF(J44=0,0,IF(Inputs!$B$12=0,J44/((A44-Inputs!$B$3+1)*26),J44/(((1+Inputs!$B$12)^((A44-Inputs!$B$3+1)*26)-1)/Inputs!$B$12)))</x:f>
        <x:v>170.53545415265637</x:v>
      </x:c>
      <x:c r="J44" s="67" t="n">
        <x:f>MAX(0,H44-((Inputs!$B$16+Inputs!$B$17)*(1+Inputs!$B$5)^(A44-Inputs!$B$3+1)+Inputs!$B$18*(1+Inputs!$B$5-Inputs!$B$9)^(A44-Inputs!$B$3+1)))</x:f>
        <x:v>461351.7550146456</x:v>
      </x:c>
      <x:c r="K44" s="67" t="n">
        <x:f>J45-J44</x:f>
        <x:v>23161.64443346928</x:v>
      </x:c>
    </x:row>
    <x:row r="45">
      <x:c r="A45" s="66" t="n">
        <x:f>NetworthCalc!B39</x:f>
        <x:v>2064</x:v>
      </x:c>
      <x:c r="B45" s="68" t="n">
        <x:f>NetworthCalc!I39</x:f>
        <x:v>2534410.6890162607</x:v>
      </x:c>
      <x:c r="C45" s="69" t="n">
        <x:f>MAX(0,NetworthCalc!$B$42-A45)</x:f>
        <x:v>3</x:v>
      </x:c>
      <x:c r="D45" s="67" t="n">
        <x:f>(NetworthCalc!D39+NetworthCalc!E39)*(1+Inputs!$B$5)^C45+NetworthCalc!F39*(1+Inputs!$B$5-Inputs!$B$9)^C45</x:f>
        <x:v>2933011.19164704</x:v>
      </x:c>
      <x:c r="E45" s="69" t="b">
        <x:f>D45&gt;=$B$1</x:f>
        <x:v>1</x:v>
      </x:c>
      <x:c r="F45" s="66" t="n">
        <x:f>NetworthCalc!A39</x:f>
        <x:v>62</x:v>
      </x:c>
      <x:c r="G45" s="67" t="n">
        <x:f>G44+NetworthCalc!G39</x:f>
        <x:v>730089.7959183672</x:v>
      </x:c>
      <x:c r="H45" s="67" t="n">
        <x:f>$B$1/(1+Inputs!$B$5)^C45</x:f>
        <x:v>863837.598531476</x:v>
      </x:c>
      <x:c r="I45" s="67" t="n">
        <x:f>IF(J45=0,0,IF(Inputs!$B$12=0,J45/((A45-Inputs!$B$3+1)*26),J45/(((1+Inputs!$B$12)^((A45-Inputs!$B$3+1)*26)-1)/Inputs!$B$12)))</x:f>
        <x:v>168.98496847212644</x:v>
      </x:c>
      <x:c r="J45" s="67" t="n">
        <x:f>MAX(0,H45-((Inputs!$B$16+Inputs!$B$17)*(1+Inputs!$B$5)^(A45-Inputs!$B$3+1)+Inputs!$B$18*(1+Inputs!$B$5-Inputs!$B$9)^(A45-Inputs!$B$3+1)))</x:f>
        <x:v>484513.39944811485</x:v>
      </x:c>
      <x:c r="K45" s="67" t="n">
        <x:f>J46-J45</x:f>
        <x:v>24324.100290889968</x:v>
      </x:c>
    </x:row>
    <x:row r="46">
      <x:c r="A46" s="66" t="n">
        <x:f>NetworthCalc!B40</x:f>
        <x:v>2065</x:v>
      </x:c>
      <x:c r="B46" s="68" t="n">
        <x:f>NetworthCalc!I40</x:f>
        <x:v>2680197.016337956</x:v>
      </x:c>
      <x:c r="C46" s="69" t="n">
        <x:f>MAX(0,NetworthCalc!$B$42-A46)</x:f>
        <x:v>2</x:v>
      </x:c>
      <x:c r="D46" s="67" t="n">
        <x:f>(NetworthCalc!D40+NetworthCalc!E40)*(1+Inputs!$B$5)^C46+NetworthCalc!F40*(1+Inputs!$B$5-Inputs!$B$9)^C46</x:f>
        <x:v>2954327.542311612</x:v>
      </x:c>
      <x:c r="E46" s="69" t="b">
        <x:f>D46&gt;=$B$1</x:f>
        <x:v>1</x:v>
      </x:c>
      <x:c r="F46" s="66" t="n">
        <x:f>NetworthCalc!A40</x:f>
        <x:v>63</x:v>
      </x:c>
      <x:c r="G46" s="67" t="n">
        <x:f>G45+NetworthCalc!G40</x:f>
        <x:v>748946.9387755101</x:v>
      </x:c>
      <x:c r="H46" s="67" t="n">
        <x:f>$B$1/(1+Inputs!$B$5)^C46</x:f>
        <x:v>907029.4784580498</x:v>
      </x:c>
      <x:c r="I46" s="67" t="n">
        <x:f>IF(J46=0,0,IF(Inputs!$B$12=0,J46/((A46-Inputs!$B$3+1)*26),J46/(((1+Inputs!$B$12)^((A46-Inputs!$B$3+1)*26)-1)/Inputs!$B$12)))</x:f>
        <x:v>167.5362872090391</x:v>
      </x:c>
      <x:c r="J46" s="67" t="n">
        <x:f>MAX(0,H46-((Inputs!$B$16+Inputs!$B$17)*(1+Inputs!$B$5)^(A46-Inputs!$B$3+1)+Inputs!$B$18*(1+Inputs!$B$5-Inputs!$B$9)^(A46-Inputs!$B$3+1)))</x:f>
        <x:v>508837.4997390048</x:v>
      </x:c>
      <x:c r="K46" s="67" t="n">
        <x:f>J47-J46</x:f>
        <x:v>25544.88231524412</x:v>
      </x:c>
    </x:row>
    <x:row r="47">
      <x:c r="A47" s="66" t="n">
        <x:f>NetworthCalc!B41</x:f>
        <x:v>2066</x:v>
      </x:c>
      <x:c r="B47" s="68" t="n">
        <x:f>NetworthCalc!I41</x:f>
        <x:v>2833260.1624274263</x:v>
      </x:c>
      <x:c r="C47" s="69" t="n">
        <x:f>MAX(0,NetworthCalc!$B$42-A47)</x:f>
        <x:v>1</x:v>
      </x:c>
      <x:c r="D47" s="67" t="n">
        <x:f>(NetworthCalc!D41+NetworthCalc!E41)*(1+Inputs!$B$5)^C47+NetworthCalc!F41*(1+Inputs!$B$5-Inputs!$B$9)^C47</x:f>
        <x:v>2974628.8286588243</x:v>
      </x:c>
      <x:c r="E47" s="69" t="b">
        <x:f>D47&gt;=$B$1</x:f>
        <x:v>1</x:v>
      </x:c>
      <x:c r="F47" s="66" t="n">
        <x:f>NetworthCalc!A41</x:f>
        <x:v>64</x:v>
      </x:c>
      <x:c r="G47" s="67" t="n">
        <x:f>G46+NetworthCalc!G41</x:f>
        <x:v>767804.0816326529</x:v>
      </x:c>
      <x:c r="H47" s="67" t="n">
        <x:f>$B$1/(1+Inputs!$B$5)^C47</x:f>
        <x:v>952380.9523809523</x:v>
      </x:c>
      <x:c r="I47" s="67" t="n">
        <x:f>IF(J47=0,0,IF(Inputs!$B$12=0,J47/((A47-Inputs!$B$3+1)*26),J47/(((1+Inputs!$B$12)^((A47-Inputs!$B$3+1)*26)-1)/Inputs!$B$12)))</x:f>
        <x:v>166.1814278860903</x:v>
      </x:c>
      <x:c r="J47" s="67" t="n">
        <x:f>MAX(0,H47-((Inputs!$B$16+Inputs!$B$17)*(1+Inputs!$B$5)^(A47-Inputs!$B$3+1)+Inputs!$B$18*(1+Inputs!$B$5-Inputs!$B$9)^(A47-Inputs!$B$3+1)))</x:f>
        <x:v>534382.3820542489</x:v>
      </x:c>
      <x:c r="K47" s="67" t="n">
        <x:f>J48-J47</x:f>
        <x:v>26826.916271771886</x:v>
      </x:c>
    </x:row>
    <x:row r="48">
      <x:c r="A48" s="66" t="n">
        <x:f>NetworthCalc!B42</x:f>
        <x:v>2067</x:v>
      </x:c>
      <x:c r="B48" s="68" t="n">
        <x:f>NetworthCalc!I42</x:f>
        <x:v>2993963.387084739</x:v>
      </x:c>
      <x:c r="C48" s="69" t="n">
        <x:f>MAX(0,NetworthCalc!$B$42-A48)</x:f>
        <x:v>0</x:v>
      </x:c>
      <x:c r="D48" s="67" t="n">
        <x:f>(NetworthCalc!D42+NetworthCalc!E42)*(1+Inputs!$B$5)^C48+NetworthCalc!F42*(1+Inputs!$B$5-Inputs!$B$9)^C48</x:f>
        <x:v>2993963.387084739</x:v>
      </x:c>
      <x:c r="E48" s="69" t="b">
        <x:f>D48&gt;=$B$1</x:f>
        <x:v>1</x:v>
      </x:c>
      <x:c r="F48" s="66" t="n">
        <x:f>NetworthCalc!A42</x:f>
        <x:v>65</x:v>
      </x:c>
      <x:c r="G48" s="67" t="n">
        <x:f>G47+NetworthCalc!G42</x:f>
        <x:v>786661.2244897957</x:v>
      </x:c>
      <x:c r="H48" s="67" t="n">
        <x:f>$B$1/(1+Inputs!$B$5)^C48</x:f>
        <x:v>1000000</x:v>
      </x:c>
      <x:c r="I48" s="67" t="n">
        <x:f>IF(J48=0,0,IF(Inputs!$B$12=0,J48/((A48-Inputs!$B$3+1)*26),J48/(((1+Inputs!$B$12)^((A48-Inputs!$B$3+1)*26)-1)/Inputs!$B$12)))</x:f>
        <x:v>164.91318472384447</x:v>
      </x:c>
      <x:c r="J48" s="67" t="n">
        <x:f>MAX(0,H48-((Inputs!$B$16+Inputs!$B$17)*(1+Inputs!$B$5)^(A48-Inputs!$B$3+1)+Inputs!$B$18*(1+Inputs!$B$5-Inputs!$B$9)^(A48-Inputs!$B$3+1)))</x:f>
        <x:v>561209.2983260208</x:v>
      </x:c>
      <x:c r="K48" s="67" t="str">
        <x:f>""</x:f>
      </x:c>
    </x:row>
    <x:row r="49">
      <x:c r="A49" s="69"/>
      <x:c r="B49" s="69"/>
      <x:c r="C49" s="69"/>
      <x:c r="D49" s="69"/>
      <x:c r="E49" s="69"/>
      <x:c r="F49" s="69"/>
      <x:c r="G49" s="69"/>
      <x:c r="H49" s="69"/>
      <x:c r="I49" s="69"/>
      <x:c r="J49" s="69"/>
      <x:c r="K49" s="69"/>
    </x:row>
    <x:row r="50">
      <x:c r="A50" s="93" t="str">
        <x:v>Important: The Coast table is part of the broader workbook and uses simplified return/tax assumptions. “Goal Met” means the modeled assets at that year are sufficient to compound to the target by the final modeled year with no later contributions; it is not a recommendation to stop saving.</x:v>
      </x:c>
      <x:c r="B50" s="93"/>
      <x:c r="C50" s="93"/>
      <x:c r="D50" s="93"/>
      <x:c r="E50" s="93"/>
      <x:c r="F50" s="93"/>
      <x:c r="G50" s="93"/>
      <x:c r="H50" s="93"/>
      <x:c r="I50" s="93"/>
      <x:c r="J50" s="93"/>
      <x:c r="K50" s="93"/>
    </x:row>
    <x:row r="51">
      <x:c r="A51" s="93"/>
      <x:c r="B51" s="93"/>
      <x:c r="C51" s="93"/>
      <x:c r="D51" s="93"/>
      <x:c r="E51" s="93"/>
      <x:c r="F51" s="93"/>
      <x:c r="G51" s="93"/>
      <x:c r="H51" s="93"/>
      <x:c r="I51" s="93"/>
      <x:c r="J51" s="93"/>
      <x:c r="K51" s="93"/>
    </x:row>
    <x:row r="52">
      <x:c r="A52" s="93"/>
      <x:c r="B52" s="93"/>
      <x:c r="C52" s="93"/>
      <x:c r="D52" s="93"/>
      <x:c r="E52" s="93"/>
      <x:c r="F52" s="93"/>
      <x:c r="G52" s="93"/>
      <x:c r="H52" s="93"/>
      <x:c r="I52" s="93"/>
      <x:c r="J52" s="93"/>
      <x:c r="K52" s="93"/>
    </x:row>
  </x:sheetData>
  <x:mergeCells>
    <x:mergeCell ref="A50:K52"/>
  </x:mergeCells>
  <x:pageMargins left="0.7" right="0.7" top="0.75" bottom="0.75" header="0.3" footer="0.3"/>
</x:worksheet>
</file>
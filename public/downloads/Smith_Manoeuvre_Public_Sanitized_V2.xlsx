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3a17b1ee1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246928429c242c0"/>
    <x:sheet xmlns:r="http://schemas.openxmlformats.org/officeDocument/2006/relationships" name="Inputs &amp; Summary" sheetId="2" r:id="Rf0226df9175c45f7"/>
    <x:sheet xmlns:r="http://schemas.openxmlformats.org/officeDocument/2006/relationships" name="Monthly Model" sheetId="3" r:id="Re9b5dad694664bd1"/>
    <x:sheet xmlns:r="http://schemas.openxmlformats.org/officeDocument/2006/relationships" name="Yearly View" sheetId="4" r:id="Rffe391042f9d466c"/>
    <x:sheet xmlns:r="http://schemas.openxmlformats.org/officeDocument/2006/relationships" name="QA &amp; Sources" sheetId="5" r:id="R6b14f4e8c5d8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;[Red]($#,##0);-"/>
    <x:numFmt numFmtId="201" formatCode="0.00%"/>
    <x:numFmt numFmtId="202" formatCode="0.0000%"/>
    <x:numFmt numFmtId="203" formatCode="$#,##0.00;[Red]($#,##0.00);-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582a97bdf4770" /><Relationship Type="http://schemas.openxmlformats.org/officeDocument/2006/relationships/theme" Target="/xl/theme/theme1.xml" Id="Rc3b586df9f7c4ddd" /><Relationship Type="http://schemas.openxmlformats.org/officeDocument/2006/relationships/sharedStrings" Target="/xl/sharedStrings.xml" Id="Racb4478cd347460e" /><Relationship Type="http://schemas.openxmlformats.org/officeDocument/2006/relationships/worksheet" Target="/xl/worksheets/sheet1.xml" Id="R2246928429c242c0" /><Relationship Type="http://schemas.openxmlformats.org/officeDocument/2006/relationships/worksheet" Target="/xl/worksheets/sheet2.xml" Id="Rf0226df9175c45f7" /><Relationship Type="http://schemas.openxmlformats.org/officeDocument/2006/relationships/worksheet" Target="/xl/worksheets/sheet3.xml" Id="Re9b5dad694664bd1" /><Relationship Type="http://schemas.openxmlformats.org/officeDocument/2006/relationships/worksheet" Target="/xl/worksheets/sheet4.xml" Id="Rffe391042f9d466c" /><Relationship Type="http://schemas.openxmlformats.org/officeDocument/2006/relationships/worksheet" Target="/xl/worksheets/sheet5.xml" Id="R6b14f4e8c5d84e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e0c0eecba64e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Debt and Investment Paths — Hypothetical V2 Scenario</a:t>
            </a:r>
          </a:p>
        </c:rich>
      </c:tx>
    </c:title>
    <c:plotArea>
      <c:lineChart>
        <c:grouping val="standard"/>
        <c:ser>
          <c:idx val="0"/>
          <c:order val="0"/>
          <c:tx>
            <c:v>Smith Mortgage ($)</c:v>
          </c:tx>
          <c:marker>
            <c:symbol val="none"/>
          </c:marker>
          <c:cat>
            <c:strRef>
              <c:f>'Yearly View'!$A$4:$A$29</c:f>
              <c:strCache>
                <c:ptCount val="0"/>
              </c:strCache>
            </c:strRef>
          </c:cat>
          <c:val>
            <c:numRef>
              <c:f>'Yearly View'!$B$4:$B$29</c:f>
              <c:numCache>
                <c:formatCode>$#,##0.00;[Red]($#,##0.00);-</c:formatCode>
                <c:ptCount val="0"/>
              </c:numCache>
            </c:numRef>
          </c:val>
        </c:ser>
        <c:ser>
          <c:idx val="1"/>
          <c:order val="1"/>
          <c:tx>
            <c:v>Smith HELOC ($)</c:v>
          </c:tx>
          <c:marker>
            <c:symbol val="none"/>
          </c:marker>
          <c:cat>
            <c:strRef>
              <c:f>'Yearly View'!$A$4:$A$29</c:f>
              <c:strCache>
                <c:ptCount val="0"/>
              </c:strCache>
            </c:strRef>
          </c:cat>
          <c:val>
            <c:numRef>
              <c:f>'Yearly View'!$C$4:$C$29</c:f>
              <c:numCache>
                <c:formatCode>$#,##0.00;[Red]($#,##0.00);-</c:formatCode>
                <c:ptCount val="0"/>
              </c:numCache>
            </c:numRef>
          </c:val>
        </c:ser>
        <c:ser>
          <c:idx val="2"/>
          <c:order val="2"/>
          <c:tx>
            <c:v>Smith Secured Debt ($)</c:v>
          </c:tx>
          <c:marker>
            <c:symbol val="none"/>
          </c:marker>
          <c:cat>
            <c:strRef>
              <c:f>'Yearly View'!$A$4:$A$29</c:f>
              <c:strCache>
                <c:ptCount val="0"/>
              </c:strCache>
            </c:strRef>
          </c:cat>
          <c:val>
            <c:numRef>
              <c:f>'Yearly View'!$D$4:$D$29</c:f>
              <c:numCache>
                <c:formatCode>$#,##0.00;[Red]($#,##0.00);-</c:formatCode>
                <c:ptCount val="0"/>
              </c:numCache>
            </c:numRef>
          </c:val>
        </c:ser>
        <c:ser>
          <c:idx val="3"/>
          <c:order val="3"/>
          <c:tx>
            <c:v>Smith Portfolio ($)</c:v>
          </c:tx>
          <c:marker>
            <c:symbol val="none"/>
          </c:marker>
          <c:cat>
            <c:strRef>
              <c:f>'Yearly View'!$A$4:$A$29</c:f>
              <c:strCache>
                <c:ptCount val="0"/>
              </c:strCache>
            </c:strRef>
          </c:cat>
          <c:val>
            <c:numRef>
              <c:f>'Yearly View'!$E$4:$E$29</c:f>
              <c:numCache>
                <c:formatCode>$#,##0.00;[Red]($#,##0.00);-</c:formatCode>
                <c:ptCount val="0"/>
              </c:numCache>
            </c:numRef>
          </c:val>
        </c:ser>
        <c:ser>
          <c:idx val="4"/>
          <c:order val="4"/>
          <c:tx>
            <c:v>Baseline Mortgage ($)</c:v>
          </c:tx>
          <c:marker>
            <c:symbol val="none"/>
          </c:marker>
          <c:cat>
            <c:strRef>
              <c:f>'Yearly View'!$A$4:$A$29</c:f>
              <c:strCache>
                <c:ptCount val="0"/>
              </c:strCache>
            </c:strRef>
          </c:cat>
          <c:val>
            <c:numRef>
              <c:f>'Yearly View'!$F$4:$F$29</c:f>
              <c:numCache>
                <c:formatCode>$#,##0.00;[Red]($#,##0.00);-</c:formatCode>
                <c:ptCount val="0"/>
              </c:numCache>
            </c:numRef>
          </c:val>
        </c:ser>
        <c:ser>
          <c:idx val="5"/>
          <c:order val="5"/>
          <c:tx>
            <c:v>Baseline Portfolio ($)</c:v>
          </c:tx>
          <c:marker>
            <c:symbol val="none"/>
          </c:marker>
          <c:cat>
            <c:strRef>
              <c:f>'Yearly View'!$A$4:$A$29</c:f>
              <c:strCache>
                <c:ptCount val="0"/>
              </c:strCache>
            </c:strRef>
          </c:cat>
          <c:val>
            <c:numRef>
              <c:f>'Yearly View'!$G$4:$G$29</c:f>
              <c:numCache>
                <c:formatCode>$#,##0.00;[Red]($#,##0.00);-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e0c0eecba64e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2953162bbf641b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2" t="str">
        <x:v>Smith Manoeuvre — Public Sanitized V2 Demonstration</x:v>
      </x:c>
      <x:c r="B1" s="12"/>
      <x:c r="C1" s="3"/>
      <x:c r="D1" s="3"/>
      <x:c r="E1" s="3"/>
      <x:c r="F1" s="3"/>
    </x:row>
    <x:row r="2">
      <x:c r="A2" s="13"/>
      <x:c r="B2" s="13"/>
    </x:row>
    <x:row r="3">
      <x:c r="A3" s="14" t="str">
        <x:v>Purpose</x:v>
      </x:c>
      <x:c r="B3" s="13" t="str">
        <x:v>Educational scenario model showing how a simplified readvanceable-mortgage investing scenario behaves relative to an equal-cash non-Smith baseline.</x:v>
      </x:c>
    </x:row>
    <x:row r="4">
      <x:c r="A4" s="14" t="str">
        <x:v>Boundary</x:v>
      </x:c>
      <x:c r="B4" s="13" t="str">
        <x:v>Not financial, tax, legal, or lending advice. It does not determine deductibility, reproduce any lender product, recommend leverage, or say whether the strategy is worth it.</x:v>
      </x:c>
    </x:row>
    <x:row r="5">
      <x:c r="A5" s="14" t="str">
        <x:v>Privacy</x:v>
      </x:c>
      <x:c r="B5" s="13" t="str">
        <x:v>All financial inputs are invented hypothetical values. No private household scenario from the source workbook is included.</x:v>
      </x:c>
    </x:row>
    <x:row r="6">
      <x:c r="A6" s="14" t="str">
        <x:v>Relationship to website calculator</x:v>
      </x:c>
      <x:c r="B6" s="13" t="str">
        <x:v>This workbook is a sanitized spreadsheet companion aligned to the V2 public formula contract. It is still a demonstration workbook, not a lender billing or tax engine.</x:v>
      </x:c>
    </x:row>
    <x:row r="7">
      <x:c r="A7" s="14" t="str">
        <x:v>Period convention</x:v>
      </x:c>
      <x:c r="B7" s="13" t="str">
        <x:v>Monthly. Mortgage payment is level monthly. HELOC interest is a simplified monthly approximation paid from external cash.</x:v>
      </x:c>
    </x:row>
    <x:row r="8">
      <x:c r="A8" s="14" t="str">
        <x:v>Mortgage-rate convention</x:v>
      </x:c>
      <x:c r="B8" s="13" t="str">
        <x:v>Quoted annual mortgage rate is converted using Canadian nominal semi-annual compounding: (1 + r/2)^(2/12) - 1.</x:v>
      </x:c>
    </x:row>
    <x:row r="9">
      <x:c r="A9" s="14" t="str">
        <x:v>HELOC timing</x:v>
      </x:c>
      <x:c r="B9" s="13" t="str">
        <x:v>Current-month HELOC interest is calculated on the opening HELOC balance. New month-end draws begin accruing interest in the following month.</x:v>
      </x:c>
    </x:row>
    <x:row r="10">
      <x:c r="A10" s="14" t="str">
        <x:v>Tax-offset timing</x:v>
      </x:c>
      <x:c r="B10" s="13" t="str">
        <x:v>Estimated tax offset is calculated once every 12 model months from that model year's HELOC interest, then routed to mortgage principal; any excess after payoff is invested.</x:v>
      </x:c>
    </x:row>
    <x:row r="11">
      <x:c r="A11" s="14" t="str">
        <x:v>Equal-cash baseline</x:v>
      </x:c>
      <x:c r="B11" s="13" t="str">
        <x:v>Every dollar of Smith HELOC interest paid from external household cash is matched by an equal baseline investment contribution. Both scenarios also use the same fixed monthly mortgage cash budget.</x:v>
      </x:c>
    </x:row>
    <x:row r="12">
      <x:c r="A12" s="14" t="str">
        <x:v>Readvancement</x:v>
      </x:c>
      <x:c r="B12" s="13" t="str">
        <x:v>New HELOC draw is limited to actual mortgage principal reduction and remaining room under a 65% total secured-LTV envelope.</x:v>
      </x:c>
    </x:row>
    <x:row r="13">
      <x:c r="A13" s="14" t="str">
        <x:v>Home value</x:v>
      </x:c>
      <x:c r="B13" s="13" t="str">
        <x:v>Held constant for the full demonstration. No projected appreciation creates borrowing room.</x:v>
      </x:c>
    </x:row>
    <x:row r="14">
      <x:c r="A14" s="14" t="str">
        <x:v>Model limitations</x:v>
      </x:c>
      <x:c r="B14" s="13" t="str">
        <x:v>Deterministic return, constant rates, no fees, no market-path risk, no registered-account waterfall, no capitalization of HELOC interest, no lender-specific above-65 amortizing segment.</x:v>
      </x:c>
    </x:row>
    <x:row r="15">
      <x:c r="A15" s="13"/>
      <x:c r="B15" s="13"/>
    </x:row>
    <x:row r="16">
      <x:c r="A16" s="15" t="str">
        <x:v>Official reference</x:v>
      </x:c>
      <x:c r="B16" s="15" t="str">
        <x:v>URL</x:v>
      </x:c>
    </x:row>
    <x:row r="17">
      <x:c r="A17" s="13" t="str">
        <x:v>CMHC — Canadian mortgage monthly cash-flow convention</x:v>
      </x:c>
      <x:c r="B17" s="13" t="str">
        <x:v>https://www.cmhc-schl.gc.ca/professionals/project-funding-and-mortgage-financing/securitization/nha-mbs/terminology-and-calculations-for-mortgage-backed-securities/calculating-mbs-cash-flows</x:v>
      </x:c>
    </x:row>
    <x:row r="18">
      <x:c r="A18" s="13" t="str">
        <x:v>OSFI — Combined Loan Plan / Guideline B-20 clarification</x:v>
      </x:c>
      <x:c r="B18" s="13" t="str">
        <x:v>https://www.osfi-bsif.gc.ca/en/guidance/guidance-library/clarification-treatment-innovative-real-estate-secured-lending-products-under-guideline-b-20</x:v>
      </x:c>
    </x:row>
    <x:row r="19">
      <x:c r="A19" s="13" t="str">
        <x:v>FCAC — Home equity lines of credit</x:v>
      </x:c>
      <x:c r="B19" s="13" t="str">
        <x:v>https://www.canada.ca/en/financial-consumer-agency/services/mortgages/home-equity-line-credit.html</x:v>
      </x:c>
    </x:row>
    <x:row r="20">
      <x:c r="A20" s="13" t="str">
        <x:v>CRA — Interest Deductibility Folio S3-F6-C1</x:v>
      </x:c>
      <x:c r="B20" s="13" t="str">
        <x:v>https://www.canada.ca/en/revenue-agency/services/tax/technical-information/income-tax/income-tax-folios-index/series-3-property-investments-savings-plans/series-3-property-investments-savings-plan-folio-6-interest/income-tax-folio-s3-f6-c1-interest-deductibility.html</x:v>
      </x:c>
    </x:row>
    <x:row r="21">
      <x:c r="A21" s="13"/>
      <x:c r="B21" s="13"/>
    </x:row>
    <x:row r="22">
      <x:c r="A22" s="14" t="str">
        <x:v>Publication status</x:v>
      </x:c>
      <x:c r="B22" s="13" t="str">
        <x:v>V2 workbook is the publication candidate. The older annual-period sanitized workbook is retained only as a legacy planning artifact and is not approved as the V2 formula implementation.</x:v>
      </x:c>
    </x:row>
    <x:row r="23">
      <x:c r="A23" s="14" t="str">
        <x:v>Last verification</x:v>
      </x:c>
      <x:c r="B23" s="13" t="str">
        <x:v>2026-09-09 — privacy/package scan plus formula-contract regression pass.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58" hidden="0" customWidth="1"/>
    <x:col min="5" max="5" width="38" hidden="0" customWidth="1"/>
    <x:col min="6" max="6" width="22" hidden="0" customWidth="1"/>
    <x:col min="7" max="7" width="54" hidden="0" customWidth="1"/>
  </x:cols>
  <x:sheetData>
    <x:row r="1">
      <x:c r="A1" s="12" t="str">
        <x:v>V2 Hypothetical Inputs &amp; Scenario Summary</x:v>
      </x:c>
      <x:c r="B1" s="12"/>
      <x:c r="C1" s="12"/>
      <x:c r="D1" s="12"/>
      <x:c r="E1" s="12"/>
      <x:c r="F1" s="12"/>
      <x:c r="G1" s="12"/>
      <x:c r="H1" s="3"/>
    </x:row>
    <x:row r="2">
      <x:c r="A2" s="13"/>
      <x:c r="B2" s="13"/>
      <x:c r="C2" s="13"/>
      <x:c r="D2" s="13"/>
      <x:c r="E2" s="13"/>
      <x:c r="F2" s="13"/>
      <x:c r="G2" s="13"/>
    </x:row>
    <x:row r="3">
      <x:c r="A3" s="15" t="str">
        <x:v>Input</x:v>
      </x:c>
      <x:c r="B3" s="15" t="str">
        <x:v>Hypothetical value</x:v>
      </x:c>
      <x:c r="C3" s="15" t="str">
        <x:v>Notes</x:v>
      </x:c>
      <x:c r="D3" s="13"/>
      <x:c r="E3" s="15" t="str">
        <x:v>Output</x:v>
      </x:c>
      <x:c r="F3" s="15" t="str">
        <x:v>Value</x:v>
      </x:c>
      <x:c r="G3" s="15" t="str">
        <x:v>Meaning</x:v>
      </x:c>
    </x:row>
    <x:row r="4">
      <x:c r="A4" s="13" t="str">
        <x:v>Home value ($)</x:v>
      </x:c>
      <x:c r="B4" s="24" t="n">
        <x:v>700000</x:v>
      </x:c>
      <x:c r="C4" s="13" t="str">
        <x:v>Held constant; no appreciation-driven credit increase.</x:v>
      </x:c>
      <x:c r="D4" s="13"/>
      <x:c r="E4" s="13" t="str">
        <x:v>Ending Smith mortgage balance</x:v>
      </x:c>
      <x:c r="F4" s="32" t="n">
        <x:f>'Monthly Model'!O304</x:f>
        <x:v>0</x:v>
      </x:c>
      <x:c r="G4" s="13" t="str">
        <x:v>Debt remaining in the Smith scenario.</x:v>
      </x:c>
    </x:row>
    <x:row r="5">
      <x:c r="A5" s="13" t="str">
        <x:v>Starting mortgage balance ($)</x:v>
      </x:c>
      <x:c r="B5" s="24" t="n">
        <x:v>420000</x:v>
      </x:c>
      <x:c r="C5" s="13" t="str">
        <x:v>60% starting LTV in this invented example.</x:v>
      </x:c>
      <x:c r="D5" s="13"/>
      <x:c r="E5" s="13" t="str">
        <x:v>Ending HELOC balance</x:v>
      </x:c>
      <x:c r="F5" s="32" t="n">
        <x:f>'Monthly Model'!S304</x:f>
        <x:v>419999.99999999994</x:v>
      </x:c>
      <x:c r="G5" s="13" t="str">
        <x:v>Revolving investment borrowing outstanding.</x:v>
      </x:c>
    </x:row>
    <x:row r="6">
      <x:c r="A6" s="13" t="str">
        <x:v>Quoted annual mortgage rate</x:v>
      </x:c>
      <x:c r="B6" s="26" t="n">
        <x:v>0.045</x:v>
      </x:c>
      <x:c r="C6" s="13" t="str">
        <x:v>Nominal annual rate with semi-annual compounding for the monthly mortgage conversion.</x:v>
      </x:c>
      <x:c r="D6" s="13"/>
      <x:c r="E6" s="13" t="str">
        <x:v>Ending Smith taxable portfolio</x:v>
      </x:c>
      <x:c r="F6" s="32" t="n">
        <x:f>'Monthly Model'!U304</x:f>
        <x:v>1060806.6594520542</x:v>
      </x:c>
      <x:c r="G6" s="13" t="str">
        <x:v>Deterministic model portfolio value.</x:v>
      </x:c>
    </x:row>
    <x:row r="7">
      <x:c r="A7" s="13" t="str">
        <x:v>Remaining amortization (years)</x:v>
      </x:c>
      <x:c r="B7" s="22" t="n">
        <x:v>25</x:v>
      </x:c>
      <x:c r="C7" s="13" t="str">
        <x:v>Level monthly payment calculated at model start.</x:v>
      </x:c>
      <x:c r="D7" s="13"/>
      <x:c r="E7" s="13" t="str">
        <x:v>Ending baseline mortgage balance</x:v>
      </x:c>
      <x:c r="F7" s="32" t="n">
        <x:f>'Monthly Model'!Y304</x:f>
        <x:v>0</x:v>
      </x:c>
      <x:c r="G7" s="13" t="str">
        <x:v>Debt remaining in the non-Smith baseline.</x:v>
      </x:c>
    </x:row>
    <x:row r="8">
      <x:c r="A8" s="13" t="str">
        <x:v>Annual HELOC rate</x:v>
      </x:c>
      <x:c r="B8" s="26" t="n">
        <x:v>0.065</x:v>
      </x:c>
      <x:c r="C8" s="13" t="str">
        <x:v>Converted as annual rate / 12 for this simplified model.</x:v>
      </x:c>
      <x:c r="D8" s="13"/>
      <x:c r="E8" s="13" t="str">
        <x:v>Ending baseline portfolio</x:v>
      </x:c>
      <x:c r="F8" s="32" t="n">
        <x:f>'Monthly Model'!AC304</x:f>
        <x:v>529827.1272850146</x:v>
      </x:c>
      <x:c r="G8" s="13" t="str">
        <x:v>Equal-cash baseline investment portfolio.</x:v>
      </x:c>
    </x:row>
    <x:row r="9">
      <x:c r="A9" s="13" t="str">
        <x:v>Expected annual investment return</x:v>
      </x:c>
      <x:c r="B9" s="26" t="n">
        <x:v>0.06</x:v>
      </x:c>
      <x:c r="C9" s="13" t="str">
        <x:v>Effective annual deterministic return; converted to equivalent monthly return.</x:v>
      </x:c>
      <x:c r="D9" s="13"/>
      <x:c r="E9" s="13" t="str">
        <x:v>Cumulative HELOC interest paid</x:v>
      </x:c>
      <x:c r="F9" s="32" t="n">
        <x:f>SUM('Monthly Model'!J5:J304)</x:f>
        <x:v>326860.9504583407</x:v>
      </x:c>
      <x:c r="G9" s="13" t="str">
        <x:v>External Smith household cash outflow; baseline invests an equal amount.</x:v>
      </x:c>
    </x:row>
    <x:row r="10">
      <x:c r="A10" s="13" t="str">
        <x:v>Scenario horizon (years)</x:v>
      </x:c>
      <x:c r="B10" s="22" t="n">
        <x:v>25</x:v>
      </x:c>
      <x:c r="C10" s="13" t="str">
        <x:v>This downloadable workbook is built as a 25-year demonstration.</x:v>
      </x:c>
      <x:c r="D10" s="13"/>
      <x:c r="E10" s="13" t="str">
        <x:v>Estimated cumulative tax offset</x:v>
      </x:c>
      <x:c r="F10" s="32" t="n">
        <x:f>SUM('Monthly Model'!L5:L304)</x:f>
        <x:v>114401.33266041924</x:v>
      </x:c>
      <x:c r="G10" s="13" t="str">
        <x:v>Illustrative proxy only; applied once per model year.</x:v>
      </x:c>
    </x:row>
    <x:row r="11">
      <x:c r="A11" s="13" t="str">
        <x:v>Marginal tax-rate proxy</x:v>
      </x:c>
      <x:c r="B11" s="26" t="n">
        <x:v>0.35</x:v>
      </x:c>
      <x:c r="C11" s="13" t="str">
        <x:v>Advanced assumption; not a tax calculation.</x:v>
      </x:c>
      <x:c r="D11" s="13"/>
      <x:c r="E11" s="13" t="str">
        <x:v>Smith net financial position</x:v>
      </x:c>
      <x:c r="F11" s="32" t="n">
        <x:f>'Monthly Model'!AH304</x:f>
        <x:v>640806.6594520542</x:v>
      </x:c>
      <x:c r="G11" s="13" t="str">
        <x:v>Smith portfolio − Smith mortgage − HELOC.</x:v>
      </x:c>
    </x:row>
    <x:row r="12">
      <x:c r="A12" s="13" t="str">
        <x:v>Deductible-interest assumption</x:v>
      </x:c>
      <x:c r="B12" s="26" t="n">
        <x:v>1</x:v>
      </x:c>
      <x:c r="C12" s="13" t="str">
        <x:v>Advanced assumption; does not establish eligibility.</x:v>
      </x:c>
      <x:c r="D12" s="13"/>
      <x:c r="E12" s="13" t="str">
        <x:v>Baseline net financial position</x:v>
      </x:c>
      <x:c r="F12" s="32" t="n">
        <x:f>'Monthly Model'!AI304</x:f>
        <x:v>529827.1272850146</x:v>
      </x:c>
      <x:c r="G12" s="13" t="str">
        <x:v>Baseline portfolio − baseline mortgage.</x:v>
      </x:c>
    </x:row>
    <x:row r="13">
      <x:c r="A13" s="13"/>
      <x:c r="B13" s="13"/>
      <x:c r="C13" s="13"/>
      <x:c r="D13" s="13"/>
      <x:c r="E13" s="13" t="str">
        <x:v>Illustrative net-position difference</x:v>
      </x:c>
      <x:c r="F13" s="32" t="n">
        <x:f>'Monthly Model'!AJ304</x:f>
        <x:v>110979.53216703958</x:v>
      </x:c>
      <x:c r="G13" s="13" t="str">
        <x:v>Smith net position − baseline net position. Not profit.</x:v>
      </x:c>
    </x:row>
    <x:row r="14">
      <x:c r="A14" s="15" t="str">
        <x:v>Derived contract value</x:v>
      </x:c>
      <x:c r="B14" s="15" t="str">
        <x:v>Value</x:v>
      </x:c>
      <x:c r="C14" s="13"/>
      <x:c r="D14" s="13"/>
      <x:c r="E14" s="13" t="str">
        <x:v>Smith mortgage payoff month</x:v>
      </x:c>
      <x:c r="F14" s="13" t="n">
        <x:f>IF('Monthly Model'!O304&gt;0.00000001,"Not paid",COUNTIF('Monthly Model'!O5:O304,"&gt;0.00000001")+1)</x:f>
        <x:v>253</x:v>
      </x:c>
      <x:c r="G14" s="13" t="str">
        <x:v>Month closing mortgage first reaches zero.</x:v>
      </x:c>
    </x:row>
    <x:row r="15">
      <x:c r="A15" s="13" t="str">
        <x:v>Monthly mortgage rate</x:v>
      </x:c>
      <x:c r="B15" s="30" t="n">
        <x:f>(1+B6/2)^(2/12)-1</x:f>
        <x:v>0.0037153195748071965</x:v>
      </x:c>
      <x:c r="C15" s="13"/>
      <x:c r="D15" s="13"/>
      <x:c r="E15" s="13" t="str">
        <x:v>Baseline mortgage payoff month</x:v>
      </x:c>
      <x:c r="F15" s="13" t="n">
        <x:f>IF('Monthly Model'!Y304&gt;0.00000001,"Not paid",COUNTIF('Monthly Model'!Y5:Y304,"&gt;0.00000001")+1)</x:f>
        <x:v>300</x:v>
      </x:c>
      <x:c r="G15" s="13" t="str">
        <x:v>Month closing mortgage first reaches zero.</x:v>
      </x:c>
    </x:row>
    <x:row r="16">
      <x:c r="A16" s="13" t="str">
        <x:v>Monthly HELOC rate</x:v>
      </x:c>
      <x:c r="B16" s="30" t="n">
        <x:f>B8/12</x:f>
        <x:v>0.005416666666666667</x:v>
      </x:c>
      <x:c r="C16" s="13"/>
      <x:c r="D16" s="13"/>
      <x:c r="E16" s="13" t="str">
        <x:v>Maximum secured LTV</x:v>
      </x:c>
      <x:c r="F16" s="28" t="n">
        <x:f>MAX('Monthly Model'!AG5:AG304)</x:f>
        <x:v>0.6</x:v>
      </x:c>
      <x:c r="G16" s="13" t="str">
        <x:v>Maximum (Smith mortgage + HELOC) / constant home value.</x:v>
      </x:c>
    </x:row>
    <x:row r="17">
      <x:c r="A17" s="13" t="str">
        <x:v>Monthly investment return</x:v>
      </x:c>
      <x:c r="B17" s="30" t="n">
        <x:f>(1+B9)^(1/12)-1</x:f>
        <x:v>0.004867550565343048</x:v>
      </x:c>
      <x:c r="C17" s="13"/>
      <x:c r="D17" s="13"/>
      <x:c r="E17" s="13" t="str">
        <x:v>Ending secured LTV</x:v>
      </x:c>
      <x:c r="F17" s="28" t="n">
        <x:f>'Monthly Model'!AG304</x:f>
        <x:v>0.5999999999999999</x:v>
      </x:c>
      <x:c r="G17" s="13" t="str">
        <x:v>Ending secured debt divided by constant home value.</x:v>
      </x:c>
    </x:row>
    <x:row r="18">
      <x:c r="A18" s="13" t="str">
        <x:v>Scheduled monthly mortgage cash budget</x:v>
      </x:c>
      <x:c r="B18" s="32" t="n">
        <x:f>IF(B5=0,0,IF(ABS(B15)&lt;0.00000001,B5/(B7*12),B5*B15/(1-(1+B15)^(-B7*12))))</x:f>
        <x:v>2324.586407999052</x:v>
      </x:c>
      <x:c r="C18" s="13"/>
      <x:c r="D18" s="13"/>
      <x:c r="E18" s="13" t="str">
        <x:v>Cumulative external-cash difference</x:v>
      </x:c>
      <x:c r="F18" s="32" t="n">
        <x:f>SUM('Monthly Model'!AF5:AF304)</x:f>
        <x:v>0</x:v>
      </x:c>
      <x:c r="G18" s="13" t="str">
        <x:v>Must be zero under the equal-cash-budget contract.</x:v>
      </x:c>
    </x:row>
    <x:row r="19">
      <x:c r="A19" s="13" t="str">
        <x:v>65% revolving LTV cap</x:v>
      </x:c>
      <x:c r="B19" s="28" t="n">
        <x:v>0.65</x:v>
      </x:c>
      <x:c r="C19" s="13"/>
      <x:c r="D19" s="13"/>
      <x:c r="E19" s="13"/>
      <x:c r="F19" s="13"/>
      <x:c r="G19" s="13"/>
    </x:row>
    <x:row r="20">
      <x:c r="A20" s="13" t="str">
        <x:v>80% starting LTV validation boundary</x:v>
      </x:c>
      <x:c r="B20" s="28" t="n">
        <x:v>0.8</x:v>
      </x:c>
      <x:c r="C20" s="13"/>
      <x:c r="D20" s="13"/>
      <x:c r="E20" s="13"/>
      <x:c r="F20" s="13"/>
      <x:c r="G20" s="13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4" max="34" width="17" hidden="0" customWidth="1"/>
    <x:col min="35" max="35" width="17" hidden="0" customWidth="1"/>
    <x:col min="36" max="36" width="17" hidden="0" customWidth="1"/>
    <x:col min="33" max="33" width="12" hidden="0" customWidth="1"/>
  </x:cols>
  <x:sheetData>
    <x:row r="1">
      <x:c r="A1" s="3" t="str">
        <x:v>Monthly V2 Formula Contract — 300-Month Hypothetical Demonstration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3">
      <x:c r="A3" s="12" t="str">
        <x:v>Month</x:v>
      </x:c>
      <x:c r="B3" s="12" t="str">
        <x:v>Model Year</x:v>
      </x:c>
      <x:c r="C3" s="12" t="str">
        <x:v>Month of Year</x:v>
      </x:c>
      <x:c r="D3" s="12" t="str">
        <x:v>Smith Opening Mortgage ($)</x:v>
      </x:c>
      <x:c r="E3" s="12" t="str">
        <x:v>Smith Mortgage Interest ($)</x:v>
      </x:c>
      <x:c r="F3" s="12" t="str">
        <x:v>Smith Mortgage Payment ($)</x:v>
      </x:c>
      <x:c r="G3" s="12" t="str">
        <x:v>Smith After Scheduled Payment ($)</x:v>
      </x:c>
      <x:c r="H3" s="12" t="str">
        <x:v>Smith Unused Mortgage Budget → Invest ($)</x:v>
      </x:c>
      <x:c r="I3" s="12" t="str">
        <x:v>Smith Opening HELOC ($)</x:v>
      </x:c>
      <x:c r="J3" s="12" t="str">
        <x:v>HELOC Interest Paid Externally ($)</x:v>
      </x:c>
      <x:c r="K3" s="12" t="str">
        <x:v>Year HELOC Interest Bucket ($)</x:v>
      </x:c>
      <x:c r="L3" s="12" t="str">
        <x:v>Estimated Tax Offset ($)</x:v>
      </x:c>
      <x:c r="M3" s="12" t="str">
        <x:v>Tax Offset → Mortgage ($)</x:v>
      </x:c>
      <x:c r="N3" s="12" t="str">
        <x:v>Tax Offset → Portfolio ($)</x:v>
      </x:c>
      <x:c r="O3" s="12" t="str">
        <x:v>Smith Closing Mortgage ($)</x:v>
      </x:c>
      <x:c r="P3" s="12" t="str">
        <x:v>Actual Principal Reduction ($)</x:v>
      </x:c>
      <x:c r="Q3" s="12" t="str">
        <x:v>Eligible Revolving Capacity ($)</x:v>
      </x:c>
      <x:c r="R3" s="12" t="str">
        <x:v>New HELOC Draw ($)</x:v>
      </x:c>
      <x:c r="S3" s="12" t="str">
        <x:v>Smith Closing HELOC ($)</x:v>
      </x:c>
      <x:c r="T3" s="12" t="str">
        <x:v>Smith Opening Portfolio ($)</x:v>
      </x:c>
      <x:c r="U3" s="12" t="str">
        <x:v>Smith Closing Portfolio ($)</x:v>
      </x:c>
      <x:c r="V3" s="12" t="str">
        <x:v>Baseline Opening Mortgage ($)</x:v>
      </x:c>
      <x:c r="W3" s="12" t="str">
        <x:v>Baseline Mortgage Interest ($)</x:v>
      </x:c>
      <x:c r="X3" s="12" t="str">
        <x:v>Baseline Mortgage Payment ($)</x:v>
      </x:c>
      <x:c r="Y3" s="12" t="str">
        <x:v>Baseline Closing Mortgage ($)</x:v>
      </x:c>
      <x:c r="Z3" s="12" t="str">
        <x:v>Baseline Unused Mortgage Budget → Invest ($)</x:v>
      </x:c>
      <x:c r="AA3" s="12" t="str">
        <x:v>Baseline Opening Portfolio ($)</x:v>
      </x:c>
      <x:c r="AB3" s="12" t="str">
        <x:v>Baseline Matched HELOC Interest → Invest ($)</x:v>
      </x:c>
      <x:c r="AC3" s="12" t="str">
        <x:v>Baseline Closing Portfolio ($)</x:v>
      </x:c>
      <x:c r="AD3" s="12" t="str">
        <x:v>Smith External Cash ($)</x:v>
      </x:c>
      <x:c r="AE3" s="12" t="str">
        <x:v>Baseline External Cash ($)</x:v>
      </x:c>
      <x:c r="AF3" s="12" t="str">
        <x:v>External Cash Difference ($)</x:v>
      </x:c>
      <x:c r="AG3" s="12" t="str">
        <x:v>Smith Secured LTV</x:v>
      </x:c>
      <x:c r="AH3" s="12" t="str">
        <x:v>Smith Net Financial Position ($)</x:v>
      </x:c>
      <x:c r="AI3" s="12" t="str">
        <x:v>Baseline Net Financial Position ($)</x:v>
      </x:c>
      <x:c r="AJ3" s="12" t="str">
        <x:v>Illustrative Difference ($)</x:v>
      </x:c>
    </x:row>
    <x:row r="4">
      <x:c r="A4" s="36" t="str">
        <x:v>Month-end sequence: scheduled mortgage payment → HELOC interest on opening balance → once-per-year estimated tax offset → actual principal reduction → 65% capacity → new draw → month-end investing → equal-cash baseline update.</x:v>
      </x:c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  <x:c r="AC4" s="36"/>
      <x:c r="AD4" s="36"/>
      <x:c r="AE4" s="36"/>
      <x:c r="AF4" s="36"/>
      <x:c r="AG4" s="36"/>
      <x:c r="AH4" s="36"/>
      <x:c r="AI4" s="36"/>
      <x:c r="AJ4" s="36"/>
    </x:row>
    <x:row r="5">
      <x:c r="A5" t="n">
        <x:f>1</x:f>
        <x:v>1</x:v>
      </x:c>
      <x:c r="B5" t="n">
        <x:f>INT((A5-1)/12)+1</x:f>
        <x:v>1</x:v>
      </x:c>
      <x:c r="C5" t="n">
        <x:f>MOD(A5-1,12)+1</x:f>
        <x:v>1</x:v>
      </x:c>
      <x:c r="D5" s="40" t="n">
        <x:f>'Inputs &amp; Summary'!$B$5</x:f>
        <x:v>420000</x:v>
      </x:c>
      <x:c r="E5" s="40" t="n">
        <x:f>D5*'Inputs &amp; Summary'!$B$15</x:f>
        <x:v>1560.4342214190226</x:v>
      </x:c>
      <x:c r="F5" s="40" t="n">
        <x:f>IF(D5&lt;=0.00000001,0,MIN('Inputs &amp; Summary'!$B$18,D5+E5))</x:f>
        <x:v>2324.586407999052</x:v>
      </x:c>
      <x:c r="G5" s="40" t="n">
        <x:f>IF(ABS(MAX(0,D5+E5-F5))&lt;0.00000001,0,MAX(0,D5+E5-F5))</x:f>
        <x:v>419235.84781342</x:v>
      </x:c>
      <x:c r="H5" s="40" t="n">
        <x:f>MAX(0,'Inputs &amp; Summary'!$B$18-F5)</x:f>
        <x:v>0</x:v>
      </x:c>
      <x:c r="I5" s="40" t="n">
        <x:f>0</x:f>
        <x:v>0</x:v>
      </x:c>
      <x:c r="J5" s="40" t="n">
        <x:f>I5*'Inputs &amp; Summary'!$B$16</x:f>
        <x:v>0</x:v>
      </x:c>
      <x:c r="K5" s="40" t="n">
        <x:f>J5</x:f>
        <x:v>0</x:v>
      </x:c>
      <x:c r="L5" s="40" t="n">
        <x:f>IF(C5=12,K5*'Inputs &amp; Summary'!$B$11*'Inputs &amp; Summary'!$B$12,0)</x:f>
        <x:v>0</x:v>
      </x:c>
      <x:c r="M5" s="40" t="n">
        <x:f>MIN(L5,G5)</x:f>
        <x:v>0</x:v>
      </x:c>
      <x:c r="N5" s="40" t="n">
        <x:f>MAX(0,L5-M5)</x:f>
        <x:v>0</x:v>
      </x:c>
      <x:c r="O5" s="40" t="n">
        <x:f>IF(ABS(MAX(0,G5-M5))&lt;0.00000001,0,MAX(0,G5-M5))</x:f>
        <x:v>419235.84781342</x:v>
      </x:c>
      <x:c r="P5" s="40" t="n">
        <x:f>MAX(0,D5-O5)</x:f>
        <x:v>764.1521865800023</x:v>
      </x:c>
      <x:c r="Q5" s="40" t="n">
        <x:f>MAX(0,'Inputs &amp; Summary'!$B$19*'Inputs &amp; Summary'!$B$4-O5-I5)</x:f>
        <x:v>35764.15218658</x:v>
      </x:c>
      <x:c r="R5" s="40" t="n">
        <x:f>MIN(P5,Q5)</x:f>
        <x:v>764.1521865800023</x:v>
      </x:c>
      <x:c r="S5" s="40" t="n">
        <x:f>I5+R5</x:f>
        <x:v>764.1521865800023</x:v>
      </x:c>
      <x:c r="T5" s="40" t="n">
        <x:f>0</x:f>
        <x:v>0</x:v>
      </x:c>
      <x:c r="U5" s="40" t="n">
        <x:f>T5*(1+'Inputs &amp; Summary'!$B$17)+R5+N5+H5</x:f>
        <x:v>764.1521865800023</x:v>
      </x:c>
      <x:c r="V5" s="40" t="n">
        <x:f>'Inputs &amp; Summary'!$B$5</x:f>
        <x:v>420000</x:v>
      </x:c>
      <x:c r="W5" s="40" t="n">
        <x:f>V5*'Inputs &amp; Summary'!$B$15</x:f>
        <x:v>1560.4342214190226</x:v>
      </x:c>
      <x:c r="X5" s="40" t="n">
        <x:f>IF(V5&lt;=0.00000001,0,MIN('Inputs &amp; Summary'!$B$18,V5+W5))</x:f>
        <x:v>2324.586407999052</x:v>
      </x:c>
      <x:c r="Y5" s="40" t="n">
        <x:f>IF(ABS(MAX(0,V5+W5-X5))&lt;0.00000001,0,MAX(0,V5+W5-X5))</x:f>
        <x:v>419235.84781342</x:v>
      </x:c>
      <x:c r="Z5" s="40" t="n">
        <x:f>MAX(0,'Inputs &amp; Summary'!$B$18-X5)</x:f>
        <x:v>0</x:v>
      </x:c>
      <x:c r="AA5" s="40" t="n">
        <x:f>0</x:f>
        <x:v>0</x:v>
      </x:c>
      <x:c r="AB5" s="40" t="n">
        <x:f>J5</x:f>
        <x:v>0</x:v>
      </x:c>
      <x:c r="AC5" s="40" t="n">
        <x:f>AA5*(1+'Inputs &amp; Summary'!$B$17)+Z5+AB5</x:f>
        <x:v>0</x:v>
      </x:c>
      <x:c r="AD5" s="40" t="n">
        <x:f>F5+H5+J5</x:f>
        <x:v>2324.586407999052</x:v>
      </x:c>
      <x:c r="AE5" s="40" t="n">
        <x:f>X5+Z5+AB5</x:f>
        <x:v>2324.586407999052</x:v>
      </x:c>
      <x:c r="AF5" s="40" t="n">
        <x:f>AD5-AE5</x:f>
        <x:v>0</x:v>
      </x:c>
      <x:c r="AG5" s="42" t="n">
        <x:f>(O5+S5)/'Inputs &amp; Summary'!$B$4</x:f>
        <x:v>0.6</x:v>
      </x:c>
      <x:c r="AH5" s="40" t="n">
        <x:f>U5-O5-S5</x:f>
        <x:v>-419235.84781342</x:v>
      </x:c>
      <x:c r="AI5" s="40" t="n">
        <x:f>AC5-Y5</x:f>
        <x:v>-419235.84781342</x:v>
      </x:c>
      <x:c r="AJ5" s="40" t="n">
        <x:f>AH5-AI5</x:f>
        <x:v>0</x:v>
      </x:c>
    </x:row>
    <x:row r="6">
      <x:c r="A6" t="n">
        <x:f>A5+1</x:f>
        <x:v>2</x:v>
      </x:c>
      <x:c r="B6" t="n">
        <x:f>INT((A6-1)/12)+1</x:f>
        <x:v>1</x:v>
      </x:c>
      <x:c r="C6" t="n">
        <x:f>MOD(A6-1,12)+1</x:f>
        <x:v>2</x:v>
      </x:c>
      <x:c r="D6" s="40" t="n">
        <x:f>O5</x:f>
        <x:v>419235.84781342</x:v>
      </x:c>
      <x:c r="E6" s="40" t="n">
        <x:f>D6*'Inputs &amp; Summary'!$B$15</x:f>
        <x:v>1557.5951518420902</x:v>
      </x:c>
      <x:c r="F6" s="40" t="n">
        <x:f>IF(D6&lt;=0.00000001,0,MIN('Inputs &amp; Summary'!$B$18,D6+E6))</x:f>
        <x:v>2324.586407999052</x:v>
      </x:c>
      <x:c r="G6" s="40" t="n">
        <x:f>IF(ABS(MAX(0,D6+E6-F6))&lt;0.00000001,0,MAX(0,D6+E6-F6))</x:f>
        <x:v>418468.85655726306</x:v>
      </x:c>
      <x:c r="H6" s="40" t="n">
        <x:f>MAX(0,'Inputs &amp; Summary'!$B$18-F6)</x:f>
        <x:v>0</x:v>
      </x:c>
      <x:c r="I6" s="40" t="n">
        <x:f>S5</x:f>
        <x:v>764.1521865800023</x:v>
      </x:c>
      <x:c r="J6" s="40" t="n">
        <x:f>I6*'Inputs &amp; Summary'!$B$16</x:f>
        <x:v>4.139157677308346</x:v>
      </x:c>
      <x:c r="K6" s="40" t="n">
        <x:f>IF(C6=1,J6,K5+J6)</x:f>
        <x:v>4.139157677308346</x:v>
      </x:c>
      <x:c r="L6" s="40" t="n">
        <x:f>IF(C6=12,K6*'Inputs &amp; Summary'!$B$11*'Inputs &amp; Summary'!$B$12,0)</x:f>
        <x:v>0</x:v>
      </x:c>
      <x:c r="M6" s="40" t="n">
        <x:f>MIN(L6,G6)</x:f>
        <x:v>0</x:v>
      </x:c>
      <x:c r="N6" s="40" t="n">
        <x:f>MAX(0,L6-M6)</x:f>
        <x:v>0</x:v>
      </x:c>
      <x:c r="O6" s="40" t="n">
        <x:f>IF(ABS(MAX(0,G6-M6))&lt;0.00000001,0,MAX(0,G6-M6))</x:f>
        <x:v>418468.85655726306</x:v>
      </x:c>
      <x:c r="P6" s="40" t="n">
        <x:f>MAX(0,D6-O6)</x:f>
        <x:v>766.9912561569363</x:v>
      </x:c>
      <x:c r="Q6" s="40" t="n">
        <x:f>MAX(0,'Inputs &amp; Summary'!$B$19*'Inputs &amp; Summary'!$B$4-O6-I6)</x:f>
        <x:v>35766.991256156936</x:v>
      </x:c>
      <x:c r="R6" s="40" t="n">
        <x:f>MIN(P6,Q6)</x:f>
        <x:v>766.9912561569363</x:v>
      </x:c>
      <x:c r="S6" s="40" t="n">
        <x:f>I6+R6</x:f>
        <x:v>1531.1434427369386</x:v>
      </x:c>
      <x:c r="T6" s="40" t="n">
        <x:f>U5</x:f>
        <x:v>764.1521865800023</x:v>
      </x:c>
      <x:c r="U6" s="40" t="n">
        <x:f>T6*(1+'Inputs &amp; Summary'!$B$17)+R6+N6+H6</x:f>
        <x:v>1534.862992144734</x:v>
      </x:c>
      <x:c r="V6" s="40" t="n">
        <x:f>Y5</x:f>
        <x:v>419235.84781342</x:v>
      </x:c>
      <x:c r="W6" s="40" t="n">
        <x:f>V6*'Inputs &amp; Summary'!$B$15</x:f>
        <x:v>1557.5951518420902</x:v>
      </x:c>
      <x:c r="X6" s="40" t="n">
        <x:f>IF(V6&lt;=0.00000001,0,MIN('Inputs &amp; Summary'!$B$18,V6+W6))</x:f>
        <x:v>2324.586407999052</x:v>
      </x:c>
      <x:c r="Y6" s="40" t="n">
        <x:f>IF(ABS(MAX(0,V6+W6-X6))&lt;0.00000001,0,MAX(0,V6+W6-X6))</x:f>
        <x:v>418468.85655726306</x:v>
      </x:c>
      <x:c r="Z6" s="40" t="n">
        <x:f>MAX(0,'Inputs &amp; Summary'!$B$18-X6)</x:f>
        <x:v>0</x:v>
      </x:c>
      <x:c r="AA6" s="40" t="n">
        <x:f>AC5</x:f>
        <x:v>0</x:v>
      </x:c>
      <x:c r="AB6" s="40" t="n">
        <x:f>J6</x:f>
        <x:v>4.139157677308346</x:v>
      </x:c>
      <x:c r="AC6" s="40" t="n">
        <x:f>AA6*(1+'Inputs &amp; Summary'!$B$17)+Z6+AB6</x:f>
        <x:v>4.139157677308346</x:v>
      </x:c>
      <x:c r="AD6" s="40" t="n">
        <x:f>F6+H6+J6</x:f>
        <x:v>2328.7255656763605</x:v>
      </x:c>
      <x:c r="AE6" s="40" t="n">
        <x:f>X6+Z6+AB6</x:f>
        <x:v>2328.7255656763605</x:v>
      </x:c>
      <x:c r="AF6" s="40" t="n">
        <x:f>AD6-AE6</x:f>
        <x:v>0</x:v>
      </x:c>
      <x:c r="AG6" s="42" t="n">
        <x:f>(O6+S6)/'Inputs &amp; Summary'!$B$4</x:f>
        <x:v>0.6</x:v>
      </x:c>
      <x:c r="AH6" s="40" t="n">
        <x:f>U6-O6-S6</x:f>
        <x:v>-418465.1370078553</x:v>
      </x:c>
      <x:c r="AI6" s="40" t="n">
        <x:f>AC6-Y6</x:f>
        <x:v>-418464.71739958576</x:v>
      </x:c>
      <x:c r="AJ6" s="40" t="n">
        <x:f>AH6-AI6</x:f>
        <x:v>-0.41960826952708885</x:v>
      </x:c>
    </x:row>
    <x:row r="7">
      <x:c r="A7" t="n">
        <x:f>A6+1</x:f>
        <x:v>3</x:v>
      </x:c>
      <x:c r="B7" t="n">
        <x:f>INT((A7-1)/12)+1</x:f>
        <x:v>1</x:v>
      </x:c>
      <x:c r="C7" t="n">
        <x:f>MOD(A7-1,12)+1</x:f>
        <x:v>3</x:v>
      </x:c>
      <x:c r="D7" s="40" t="n">
        <x:f>O6</x:f>
        <x:v>418468.85655726306</x:v>
      </x:c>
      <x:c r="E7" s="40" t="n">
        <x:f>D7*'Inputs &amp; Summary'!$B$15</x:f>
        <x:v>1554.7455342143844</x:v>
      </x:c>
      <x:c r="F7" s="40" t="n">
        <x:f>IF(D7&lt;=0.00000001,0,MIN('Inputs &amp; Summary'!$B$18,D7+E7))</x:f>
        <x:v>2324.586407999052</x:v>
      </x:c>
      <x:c r="G7" s="40" t="n">
        <x:f>IF(ABS(MAX(0,D7+E7-F7))&lt;0.00000001,0,MAX(0,D7+E7-F7))</x:f>
        <x:v>417699.0156834784</x:v>
      </x:c>
      <x:c r="H7" s="40" t="n">
        <x:f>MAX(0,'Inputs &amp; Summary'!$B$18-F7)</x:f>
        <x:v>0</x:v>
      </x:c>
      <x:c r="I7" s="40" t="n">
        <x:f>S6</x:f>
        <x:v>1531.1434427369386</x:v>
      </x:c>
      <x:c r="J7" s="40" t="n">
        <x:f>I7*'Inputs &amp; Summary'!$B$16</x:f>
        <x:v>8.293693648158417</x:v>
      </x:c>
      <x:c r="K7" s="40" t="n">
        <x:f>IF(C7=1,J7,K6+J7)</x:f>
        <x:v>12.432851325466764</x:v>
      </x:c>
      <x:c r="L7" s="40" t="n">
        <x:f>IF(C7=12,K7*'Inputs &amp; Summary'!$B$11*'Inputs &amp; Summary'!$B$12,0)</x:f>
        <x:v>0</x:v>
      </x:c>
      <x:c r="M7" s="40" t="n">
        <x:f>MIN(L7,G7)</x:f>
        <x:v>0</x:v>
      </x:c>
      <x:c r="N7" s="40" t="n">
        <x:f>MAX(0,L7-M7)</x:f>
        <x:v>0</x:v>
      </x:c>
      <x:c r="O7" s="40" t="n">
        <x:f>IF(ABS(MAX(0,G7-M7))&lt;0.00000001,0,MAX(0,G7-M7))</x:f>
        <x:v>417699.0156834784</x:v>
      </x:c>
      <x:c r="P7" s="40" t="n">
        <x:f>MAX(0,D7-O7)</x:f>
        <x:v>769.8408737846767</x:v>
      </x:c>
      <x:c r="Q7" s="40" t="n">
        <x:f>MAX(0,'Inputs &amp; Summary'!$B$19*'Inputs &amp; Summary'!$B$4-O7-I7)</x:f>
        <x:v>35769.84087378468</x:v>
      </x:c>
      <x:c r="R7" s="40" t="n">
        <x:f>MIN(P7,Q7)</x:f>
        <x:v>769.8408737846767</x:v>
      </x:c>
      <x:c r="S7" s="40" t="n">
        <x:f>I7+R7</x:f>
        <x:v>2300.9843165216153</x:v>
      </x:c>
      <x:c r="T7" s="40" t="n">
        <x:f>U6</x:f>
        <x:v>1534.862992144734</x:v>
      </x:c>
      <x:c r="U7" s="40" t="n">
        <x:f>T7*(1+'Inputs &amp; Summary'!$B$17)+R7+N7+H7</x:f>
        <x:v>2312.174889154549</x:v>
      </x:c>
      <x:c r="V7" s="40" t="n">
        <x:f>Y6</x:f>
        <x:v>418468.85655726306</x:v>
      </x:c>
      <x:c r="W7" s="40" t="n">
        <x:f>V7*'Inputs &amp; Summary'!$B$15</x:f>
        <x:v>1554.7455342143844</x:v>
      </x:c>
      <x:c r="X7" s="40" t="n">
        <x:f>IF(V7&lt;=0.00000001,0,MIN('Inputs &amp; Summary'!$B$18,V7+W7))</x:f>
        <x:v>2324.586407999052</x:v>
      </x:c>
      <x:c r="Y7" s="40" t="n">
        <x:f>IF(ABS(MAX(0,V7+W7-X7))&lt;0.00000001,0,MAX(0,V7+W7-X7))</x:f>
        <x:v>417699.0156834784</x:v>
      </x:c>
      <x:c r="Z7" s="40" t="n">
        <x:f>MAX(0,'Inputs &amp; Summary'!$B$18-X7)</x:f>
        <x:v>0</x:v>
      </x:c>
      <x:c r="AA7" s="40" t="n">
        <x:f>AC6</x:f>
        <x:v>4.139157677308346</x:v>
      </x:c>
      <x:c r="AB7" s="40" t="n">
        <x:f>J7</x:f>
        <x:v>8.293693648158417</x:v>
      </x:c>
      <x:c r="AC7" s="40" t="n">
        <x:f>AA7*(1+'Inputs &amp; Summary'!$B$17)+Z7+AB7</x:f>
        <x:v>12.45299888475899</x:v>
      </x:c>
      <x:c r="AD7" s="40" t="n">
        <x:f>F7+H7+J7</x:f>
        <x:v>2332.8801016472103</x:v>
      </x:c>
      <x:c r="AE7" s="40" t="n">
        <x:f>X7+Z7+AB7</x:f>
        <x:v>2332.8801016472103</x:v>
      </x:c>
      <x:c r="AF7" s="40" t="n">
        <x:f>AD7-AE7</x:f>
        <x:v>0</x:v>
      </x:c>
      <x:c r="AG7" s="42" t="n">
        <x:f>(O7+S7)/'Inputs &amp; Summary'!$B$4</x:f>
        <x:v>0.6</x:v>
      </x:c>
      <x:c r="AH7" s="40" t="n">
        <x:f>U7-O7-S7</x:f>
        <x:v>-417687.82511084544</x:v>
      </x:c>
      <x:c r="AI7" s="40" t="n">
        <x:f>AC7-Y7</x:f>
        <x:v>-417686.5626845936</x:v>
      </x:c>
      <x:c r="AJ7" s="40" t="n">
        <x:f>AH7-AI7</x:f>
        <x:v>-1.2624262518365867</x:v>
      </x:c>
    </x:row>
    <x:row r="8">
      <x:c r="A8" t="n">
        <x:f>A7+1</x:f>
        <x:v>4</x:v>
      </x:c>
      <x:c r="B8" t="n">
        <x:f>INT((A8-1)/12)+1</x:f>
        <x:v>1</x:v>
      </x:c>
      <x:c r="C8" t="n">
        <x:f>MOD(A8-1,12)+1</x:f>
        <x:v>4</x:v>
      </x:c>
      <x:c r="D8" s="40" t="n">
        <x:f>O7</x:f>
        <x:v>417699.0156834784</x:v>
      </x:c>
      <x:c r="E8" s="40" t="n">
        <x:f>D8*'Inputs &amp; Summary'!$B$15</x:f>
        <x:v>1551.8853293465254</x:v>
      </x:c>
      <x:c r="F8" s="40" t="n">
        <x:f>IF(D8&lt;=0.00000001,0,MIN('Inputs &amp; Summary'!$B$18,D8+E8))</x:f>
        <x:v>2324.586407999052</x:v>
      </x:c>
      <x:c r="G8" s="40" t="n">
        <x:f>IF(ABS(MAX(0,D8+E8-F8))&lt;0.00000001,0,MAX(0,D8+E8-F8))</x:f>
        <x:v>416926.31460482586</x:v>
      </x:c>
      <x:c r="H8" s="40" t="n">
        <x:f>MAX(0,'Inputs &amp; Summary'!$B$18-F8)</x:f>
        <x:v>0</x:v>
      </x:c>
      <x:c r="I8" s="40" t="n">
        <x:f>S7</x:f>
        <x:v>2300.9843165216153</x:v>
      </x:c>
      <x:c r="J8" s="40" t="n">
        <x:f>I8*'Inputs &amp; Summary'!$B$16</x:f>
        <x:v>12.463665047825417</x:v>
      </x:c>
      <x:c r="K8" s="40" t="n">
        <x:f>IF(C8=1,J8,K7+J8)</x:f>
        <x:v>24.89651637329218</x:v>
      </x:c>
      <x:c r="L8" s="40" t="n">
        <x:f>IF(C8=12,K8*'Inputs &amp; Summary'!$B$11*'Inputs &amp; Summary'!$B$12,0)</x:f>
        <x:v>0</x:v>
      </x:c>
      <x:c r="M8" s="40" t="n">
        <x:f>MIN(L8,G8)</x:f>
        <x:v>0</x:v>
      </x:c>
      <x:c r="N8" s="40" t="n">
        <x:f>MAX(0,L8-M8)</x:f>
        <x:v>0</x:v>
      </x:c>
      <x:c r="O8" s="40" t="n">
        <x:f>IF(ABS(MAX(0,G8-M8))&lt;0.00000001,0,MAX(0,G8-M8))</x:f>
        <x:v>416926.31460482586</x:v>
      </x:c>
      <x:c r="P8" s="40" t="n">
        <x:f>MAX(0,D8-O8)</x:f>
        <x:v>772.7010786525207</x:v>
      </x:c>
      <x:c r="Q8" s="40" t="n">
        <x:f>MAX(0,'Inputs &amp; Summary'!$B$19*'Inputs &amp; Summary'!$B$4-O8-I8)</x:f>
        <x:v>35772.70107865252</x:v>
      </x:c>
      <x:c r="R8" s="40" t="n">
        <x:f>MIN(P8,Q8)</x:f>
        <x:v>772.7010786525207</x:v>
      </x:c>
      <x:c r="S8" s="40" t="n">
        <x:f>I8+R8</x:f>
        <x:v>3073.685395174136</x:v>
      </x:c>
      <x:c r="T8" s="40" t="n">
        <x:f>U7</x:f>
        <x:v>2312.174889154549</x:v>
      </x:c>
      <x:c r="U8" s="40" t="n">
        <x:f>T8*(1+'Inputs &amp; Summary'!$B$17)+R8+N8+H8</x:f>
        <x:v>3096.130595995946</x:v>
      </x:c>
      <x:c r="V8" s="40" t="n">
        <x:f>Y7</x:f>
        <x:v>417699.0156834784</x:v>
      </x:c>
      <x:c r="W8" s="40" t="n">
        <x:f>V8*'Inputs &amp; Summary'!$B$15</x:f>
        <x:v>1551.8853293465254</x:v>
      </x:c>
      <x:c r="X8" s="40" t="n">
        <x:f>IF(V8&lt;=0.00000001,0,MIN('Inputs &amp; Summary'!$B$18,V8+W8))</x:f>
        <x:v>2324.586407999052</x:v>
      </x:c>
      <x:c r="Y8" s="40" t="n">
        <x:f>IF(ABS(MAX(0,V8+W8-X8))&lt;0.00000001,0,MAX(0,V8+W8-X8))</x:f>
        <x:v>416926.31460482586</x:v>
      </x:c>
      <x:c r="Z8" s="40" t="n">
        <x:f>MAX(0,'Inputs &amp; Summary'!$B$18-X8)</x:f>
        <x:v>0</x:v>
      </x:c>
      <x:c r="AA8" s="40" t="n">
        <x:f>AC7</x:f>
        <x:v>12.45299888475899</x:v>
      </x:c>
      <x:c r="AB8" s="40" t="n">
        <x:f>J8</x:f>
        <x:v>12.463665047825417</x:v>
      </x:c>
      <x:c r="AC8" s="40" t="n">
        <x:f>AA8*(1+'Inputs &amp; Summary'!$B$17)+Z8+AB8</x:f>
        <x:v>24.97727953434613</x:v>
      </x:c>
      <x:c r="AD8" s="40" t="n">
        <x:f>F8+H8+J8</x:f>
        <x:v>2337.0500730468775</x:v>
      </x:c>
      <x:c r="AE8" s="40" t="n">
        <x:f>X8+Z8+AB8</x:f>
        <x:v>2337.0500730468775</x:v>
      </x:c>
      <x:c r="AF8" s="40" t="n">
        <x:f>AD8-AE8</x:f>
        <x:v>0</x:v>
      </x:c>
      <x:c r="AG8" s="42" t="n">
        <x:f>(O8+S8)/'Inputs &amp; Summary'!$B$4</x:f>
        <x:v>0.6</x:v>
      </x:c>
      <x:c r="AH8" s="40" t="n">
        <x:f>U8-O8-S8</x:f>
        <x:v>-416903.8694040041</x:v>
      </x:c>
      <x:c r="AI8" s="40" t="n">
        <x:f>AC8-Y8</x:f>
        <x:v>-416901.33732529153</x:v>
      </x:c>
      <x:c r="AJ8" s="40" t="n">
        <x:f>AH8-AI8</x:f>
        <x:v>-2.5320787125383504</x:v>
      </x:c>
    </x:row>
    <x:row r="9">
      <x:c r="A9" t="n">
        <x:f>A8+1</x:f>
        <x:v>5</x:v>
      </x:c>
      <x:c r="B9" t="n">
        <x:f>INT((A9-1)/12)+1</x:f>
        <x:v>1</x:v>
      </x:c>
      <x:c r="C9" t="n">
        <x:f>MOD(A9-1,12)+1</x:f>
        <x:v>5</x:v>
      </x:c>
      <x:c r="D9" s="40" t="n">
        <x:f>O8</x:f>
        <x:v>416926.31460482586</x:v>
      </x:c>
      <x:c r="E9" s="40" t="n">
        <x:f>D9*'Inputs &amp; Summary'!$B$15</x:f>
        <x:v>1549.014497903533</x:v>
      </x:c>
      <x:c r="F9" s="40" t="n">
        <x:f>IF(D9&lt;=0.00000001,0,MIN('Inputs &amp; Summary'!$B$18,D9+E9))</x:f>
        <x:v>2324.586407999052</x:v>
      </x:c>
      <x:c r="G9" s="40" t="n">
        <x:f>IF(ABS(MAX(0,D9+E9-F9))&lt;0.00000001,0,MAX(0,D9+E9-F9))</x:f>
        <x:v>416150.74269473035</x:v>
      </x:c>
      <x:c r="H9" s="40" t="n">
        <x:f>MAX(0,'Inputs &amp; Summary'!$B$18-F9)</x:f>
        <x:v>0</x:v>
      </x:c>
      <x:c r="I9" s="40" t="n">
        <x:f>S8</x:f>
        <x:v>3073.685395174136</x:v>
      </x:c>
      <x:c r="J9" s="40" t="n">
        <x:f>I9*'Inputs &amp; Summary'!$B$16</x:f>
        <x:v>16.649129223859905</x:v>
      </x:c>
      <x:c r="K9" s="40" t="n">
        <x:f>IF(C9=1,J9,K8+J9)</x:f>
        <x:v>41.54564559715209</x:v>
      </x:c>
      <x:c r="L9" s="40" t="n">
        <x:f>IF(C9=12,K9*'Inputs &amp; Summary'!$B$11*'Inputs &amp; Summary'!$B$12,0)</x:f>
        <x:v>0</x:v>
      </x:c>
      <x:c r="M9" s="40" t="n">
        <x:f>MIN(L9,G9)</x:f>
        <x:v>0</x:v>
      </x:c>
      <x:c r="N9" s="40" t="n">
        <x:f>MAX(0,L9-M9)</x:f>
        <x:v>0</x:v>
      </x:c>
      <x:c r="O9" s="40" t="n">
        <x:f>IF(ABS(MAX(0,G9-M9))&lt;0.00000001,0,MAX(0,G9-M9))</x:f>
        <x:v>416150.74269473035</x:v>
      </x:c>
      <x:c r="P9" s="40" t="n">
        <x:f>MAX(0,D9-O9)</x:f>
        <x:v>775.5719100955175</x:v>
      </x:c>
      <x:c r="Q9" s="40" t="n">
        <x:f>MAX(0,'Inputs &amp; Summary'!$B$19*'Inputs &amp; Summary'!$B$4-O9-I9)</x:f>
        <x:v>35775.57191009552</x:v>
      </x:c>
      <x:c r="R9" s="40" t="n">
        <x:f>MIN(P9,Q9)</x:f>
        <x:v>775.5719100955175</x:v>
      </x:c>
      <x:c r="S9" s="40" t="n">
        <x:f>I9+R9</x:f>
        <x:v>3849.2573052696534</x:v>
      </x:c>
      <x:c r="T9" s="40" t="n">
        <x:f>U8</x:f>
        <x:v>3096.130595995946</x:v>
      </x:c>
      <x:c r="U9" s="40" t="n">
        <x:f>T9*(1+'Inputs &amp; Summary'!$B$17)+R9+N9+H9</x:f>
        <x:v>3886.773078324379</x:v>
      </x:c>
      <x:c r="V9" s="40" t="n">
        <x:f>Y8</x:f>
        <x:v>416926.31460482586</x:v>
      </x:c>
      <x:c r="W9" s="40" t="n">
        <x:f>V9*'Inputs &amp; Summary'!$B$15</x:f>
        <x:v>1549.014497903533</x:v>
      </x:c>
      <x:c r="X9" s="40" t="n">
        <x:f>IF(V9&lt;=0.00000001,0,MIN('Inputs &amp; Summary'!$B$18,V9+W9))</x:f>
        <x:v>2324.586407999052</x:v>
      </x:c>
      <x:c r="Y9" s="40" t="n">
        <x:f>IF(ABS(MAX(0,V9+W9-X9))&lt;0.00000001,0,MAX(0,V9+W9-X9))</x:f>
        <x:v>416150.74269473035</x:v>
      </x:c>
      <x:c r="Z9" s="40" t="n">
        <x:f>MAX(0,'Inputs &amp; Summary'!$B$18-X9)</x:f>
        <x:v>0</x:v>
      </x:c>
      <x:c r="AA9" s="40" t="n">
        <x:f>AC8</x:f>
        <x:v>24.97727953434613</x:v>
      </x:c>
      <x:c r="AB9" s="40" t="n">
        <x:f>J9</x:f>
        <x:v>16.649129223859905</x:v>
      </x:c>
      <x:c r="AC9" s="40" t="n">
        <x:f>AA9*(1+'Inputs &amp; Summary'!$B$17)+Z9+AB9</x:f>
        <x:v>41.74798692932417</x:v>
      </x:c>
      <x:c r="AD9" s="40" t="n">
        <x:f>F9+H9+J9</x:f>
        <x:v>2341.2355372229117</x:v>
      </x:c>
      <x:c r="AE9" s="40" t="n">
        <x:f>X9+Z9+AB9</x:f>
        <x:v>2341.2355372229117</x:v>
      </x:c>
      <x:c r="AF9" s="40" t="n">
        <x:f>AD9-AE9</x:f>
        <x:v>0</x:v>
      </x:c>
      <x:c r="AG9" s="42" t="n">
        <x:f>(O9+S9)/'Inputs &amp; Summary'!$B$4</x:f>
        <x:v>0.6</x:v>
      </x:c>
      <x:c r="AH9" s="40" t="n">
        <x:f>U9-O9-S9</x:f>
        <x:v>-416113.2269216756</x:v>
      </x:c>
      <x:c r="AI9" s="40" t="n">
        <x:f>AC9-Y9</x:f>
        <x:v>-416108.99470780103</x:v>
      </x:c>
      <x:c r="AJ9" s="40" t="n">
        <x:f>AH9-AI9</x:f>
        <x:v>-4.232213874580339</x:v>
      </x:c>
    </x:row>
    <x:row r="10">
      <x:c r="A10" t="n">
        <x:f>A9+1</x:f>
        <x:v>6</x:v>
      </x:c>
      <x:c r="B10" t="n">
        <x:f>INT((A10-1)/12)+1</x:f>
        <x:v>1</x:v>
      </x:c>
      <x:c r="C10" t="n">
        <x:f>MOD(A10-1,12)+1</x:f>
        <x:v>6</x:v>
      </x:c>
      <x:c r="D10" s="40" t="n">
        <x:f>O9</x:f>
        <x:v>416150.74269473035</x:v>
      </x:c>
      <x:c r="E10" s="40" t="n">
        <x:f>D10*'Inputs &amp; Summary'!$B$15</x:f>
        <x:v>1546.1330004042845</x:v>
      </x:c>
      <x:c r="F10" s="40" t="n">
        <x:f>IF(D10&lt;=0.00000001,0,MIN('Inputs &amp; Summary'!$B$18,D10+E10))</x:f>
        <x:v>2324.586407999052</x:v>
      </x:c>
      <x:c r="G10" s="40" t="n">
        <x:f>IF(ABS(MAX(0,D10+E10-F10))&lt;0.00000001,0,MAX(0,D10+E10-F10))</x:f>
        <x:v>415372.2892871356</x:v>
      </x:c>
      <x:c r="H10" s="40" t="n">
        <x:f>MAX(0,'Inputs &amp; Summary'!$B$18-F10)</x:f>
        <x:v>0</x:v>
      </x:c>
      <x:c r="I10" s="40" t="n">
        <x:f>S9</x:f>
        <x:v>3849.2573052696534</x:v>
      </x:c>
      <x:c r="J10" s="40" t="n">
        <x:f>I10*'Inputs &amp; Summary'!$B$16</x:f>
        <x:v>20.85014373687729</x:v>
      </x:c>
      <x:c r="K10" s="40" t="n">
        <x:f>IF(C10=1,J10,K9+J10)</x:f>
        <x:v>62.395789334029374</x:v>
      </x:c>
      <x:c r="L10" s="40" t="n">
        <x:f>IF(C10=12,K10*'Inputs &amp; Summary'!$B$11*'Inputs &amp; Summary'!$B$12,0)</x:f>
        <x:v>0</x:v>
      </x:c>
      <x:c r="M10" s="40" t="n">
        <x:f>MIN(L10,G10)</x:f>
        <x:v>0</x:v>
      </x:c>
      <x:c r="N10" s="40" t="n">
        <x:f>MAX(0,L10-M10)</x:f>
        <x:v>0</x:v>
      </x:c>
      <x:c r="O10" s="40" t="n">
        <x:f>IF(ABS(MAX(0,G10-M10))&lt;0.00000001,0,MAX(0,G10-M10))</x:f>
        <x:v>415372.2892871356</x:v>
      </x:c>
      <x:c r="P10" s="40" t="n">
        <x:f>MAX(0,D10-O10)</x:f>
        <x:v>778.4534075947595</x:v>
      </x:c>
      <x:c r="Q10" s="40" t="n">
        <x:f>MAX(0,'Inputs &amp; Summary'!$B$19*'Inputs &amp; Summary'!$B$4-O10-I10)</x:f>
        <x:v>35778.45340759476</x:v>
      </x:c>
      <x:c r="R10" s="40" t="n">
        <x:f>MIN(P10,Q10)</x:f>
        <x:v>778.4534075947595</x:v>
      </x:c>
      <x:c r="S10" s="40" t="n">
        <x:f>I10+R10</x:f>
        <x:v>4627.710712864413</x:v>
      </x:c>
      <x:c r="T10" s="40" t="n">
        <x:f>U9</x:f>
        <x:v>3886.773078324379</x:v>
      </x:c>
      <x:c r="U10" s="40" t="n">
        <x:f>T10*(1+'Inputs &amp; Summary'!$B$17)+R10+N10+H10</x:f>
        <x:v>4684.145550413897</x:v>
      </x:c>
      <x:c r="V10" s="40" t="n">
        <x:f>Y9</x:f>
        <x:v>416150.74269473035</x:v>
      </x:c>
      <x:c r="W10" s="40" t="n">
        <x:f>V10*'Inputs &amp; Summary'!$B$15</x:f>
        <x:v>1546.1330004042845</x:v>
      </x:c>
      <x:c r="X10" s="40" t="n">
        <x:f>IF(V10&lt;=0.00000001,0,MIN('Inputs &amp; Summary'!$B$18,V10+W10))</x:f>
        <x:v>2324.586407999052</x:v>
      </x:c>
      <x:c r="Y10" s="40" t="n">
        <x:f>IF(ABS(MAX(0,V10+W10-X10))&lt;0.00000001,0,MAX(0,V10+W10-X10))</x:f>
        <x:v>415372.2892871356</x:v>
      </x:c>
      <x:c r="Z10" s="40" t="n">
        <x:f>MAX(0,'Inputs &amp; Summary'!$B$18-X10)</x:f>
        <x:v>0</x:v>
      </x:c>
      <x:c r="AA10" s="40" t="n">
        <x:f>AC9</x:f>
        <x:v>41.74798692932417</x:v>
      </x:c>
      <x:c r="AB10" s="40" t="n">
        <x:f>J10</x:f>
        <x:v>20.85014373687729</x:v>
      </x:c>
      <x:c r="AC10" s="40" t="n">
        <x:f>AA10*(1+'Inputs &amp; Summary'!$B$17)+Z10+AB10</x:f>
        <x:v>62.80134110358122</x:v>
      </x:c>
      <x:c r="AD10" s="40" t="n">
        <x:f>F10+H10+J10</x:f>
        <x:v>2345.4365517359292</x:v>
      </x:c>
      <x:c r="AE10" s="40" t="n">
        <x:f>X10+Z10+AB10</x:f>
        <x:v>2345.4365517359292</x:v>
      </x:c>
      <x:c r="AF10" s="40" t="n">
        <x:f>AD10-AE10</x:f>
        <x:v>0</x:v>
      </x:c>
      <x:c r="AG10" s="42" t="n">
        <x:f>(O10+S10)/'Inputs &amp; Summary'!$B$4</x:f>
        <x:v>0.6</x:v>
      </x:c>
      <x:c r="AH10" s="40" t="n">
        <x:f>U10-O10-S10</x:f>
        <x:v>-415315.8544495861</x:v>
      </x:c>
      <x:c r="AI10" s="40" t="n">
        <x:f>AC10-Y10</x:f>
        <x:v>-415309.487946032</x:v>
      </x:c>
      <x:c r="AJ10" s="40" t="n">
        <x:f>AH10-AI10</x:f>
        <x:v>-6.366503554105293</x:v>
      </x:c>
    </x:row>
    <x:row r="11">
      <x:c r="A11" t="n">
        <x:f>A10+1</x:f>
        <x:v>7</x:v>
      </x:c>
      <x:c r="B11" t="n">
        <x:f>INT((A11-1)/12)+1</x:f>
        <x:v>1</x:v>
      </x:c>
      <x:c r="C11" t="n">
        <x:f>MOD(A11-1,12)+1</x:f>
        <x:v>7</x:v>
      </x:c>
      <x:c r="D11" s="40" t="n">
        <x:f>O10</x:f>
        <x:v>415372.2892871356</x:v>
      </x:c>
      <x:c r="E11" s="40" t="n">
        <x:f>D11*'Inputs &amp; Summary'!$B$15</x:f>
        <x:v>1543.2407972209724</x:v>
      </x:c>
      <x:c r="F11" s="40" t="n">
        <x:f>IF(D11&lt;=0.00000001,0,MIN('Inputs &amp; Summary'!$B$18,D11+E11))</x:f>
        <x:v>2324.586407999052</x:v>
      </x:c>
      <x:c r="G11" s="40" t="n">
        <x:f>IF(ABS(MAX(0,D11+E11-F11))&lt;0.00000001,0,MAX(0,D11+E11-F11))</x:f>
        <x:v>414590.9436763575</x:v>
      </x:c>
      <x:c r="H11" s="40" t="n">
        <x:f>MAX(0,'Inputs &amp; Summary'!$B$18-F11)</x:f>
        <x:v>0</x:v>
      </x:c>
      <x:c r="I11" s="40" t="n">
        <x:f>S10</x:f>
        <x:v>4627.710712864413</x:v>
      </x:c>
      <x:c r="J11" s="40" t="n">
        <x:f>I11*'Inputs &amp; Summary'!$B$16</x:f>
        <x:v>25.066766361348904</x:v>
      </x:c>
      <x:c r="K11" s="40" t="n">
        <x:f>IF(C11=1,J11,K10+J11)</x:f>
        <x:v>87.46255569537828</x:v>
      </x:c>
      <x:c r="L11" s="40" t="n">
        <x:f>IF(C11=12,K11*'Inputs &amp; Summary'!$B$11*'Inputs &amp; Summary'!$B$12,0)</x:f>
        <x:v>0</x:v>
      </x:c>
      <x:c r="M11" s="40" t="n">
        <x:f>MIN(L11,G11)</x:f>
        <x:v>0</x:v>
      </x:c>
      <x:c r="N11" s="40" t="n">
        <x:f>MAX(0,L11-M11)</x:f>
        <x:v>0</x:v>
      </x:c>
      <x:c r="O11" s="40" t="n">
        <x:f>IF(ABS(MAX(0,G11-M11))&lt;0.00000001,0,MAX(0,G11-M11))</x:f>
        <x:v>414590.9436763575</x:v>
      </x:c>
      <x:c r="P11" s="40" t="n">
        <x:f>MAX(0,D11-O11)</x:f>
        <x:v>781.3456107780803</x:v>
      </x:c>
      <x:c r="Q11" s="40" t="n">
        <x:f>MAX(0,'Inputs &amp; Summary'!$B$19*'Inputs &amp; Summary'!$B$4-O11-I11)</x:f>
        <x:v>35781.34561077808</x:v>
      </x:c>
      <x:c r="R11" s="40" t="n">
        <x:f>MIN(P11,Q11)</x:f>
        <x:v>781.3456107780803</x:v>
      </x:c>
      <x:c r="S11" s="40" t="n">
        <x:f>I11+R11</x:f>
        <x:v>5409.056323642493</x:v>
      </x:c>
      <x:c r="T11" s="40" t="n">
        <x:f>U10</x:f>
        <x:v>4684.145550413897</x:v>
      </x:c>
      <x:c r="U11" s="40" t="n">
        <x:f>T11*(1+'Inputs &amp; Summary'!$B$17)+R11+N11+H11</x:f>
        <x:v>5488.291476514043</x:v>
      </x:c>
      <x:c r="V11" s="40" t="n">
        <x:f>Y10</x:f>
        <x:v>415372.2892871356</x:v>
      </x:c>
      <x:c r="W11" s="40" t="n">
        <x:f>V11*'Inputs &amp; Summary'!$B$15</x:f>
        <x:v>1543.2407972209724</x:v>
      </x:c>
      <x:c r="X11" s="40" t="n">
        <x:f>IF(V11&lt;=0.00000001,0,MIN('Inputs &amp; Summary'!$B$18,V11+W11))</x:f>
        <x:v>2324.586407999052</x:v>
      </x:c>
      <x:c r="Y11" s="40" t="n">
        <x:f>IF(ABS(MAX(0,V11+W11-X11))&lt;0.00000001,0,MAX(0,V11+W11-X11))</x:f>
        <x:v>414590.9436763575</x:v>
      </x:c>
      <x:c r="Z11" s="40" t="n">
        <x:f>MAX(0,'Inputs &amp; Summary'!$B$18-X11)</x:f>
        <x:v>0</x:v>
      </x:c>
      <x:c r="AA11" s="40" t="n">
        <x:f>AC10</x:f>
        <x:v>62.80134110358122</x:v>
      </x:c>
      <x:c r="AB11" s="40" t="n">
        <x:f>J11</x:f>
        <x:v>25.066766361348904</x:v>
      </x:c>
      <x:c r="AC11" s="40" t="n">
        <x:f>AA11*(1+'Inputs &amp; Summary'!$B$17)+Z11+AB11</x:f>
        <x:v>88.17379616832316</x:v>
      </x:c>
      <x:c r="AD11" s="40" t="n">
        <x:f>F11+H11+J11</x:f>
        <x:v>2349.653174360401</x:v>
      </x:c>
      <x:c r="AE11" s="40" t="n">
        <x:f>X11+Z11+AB11</x:f>
        <x:v>2349.653174360401</x:v>
      </x:c>
      <x:c r="AF11" s="40" t="n">
        <x:f>AD11-AE11</x:f>
        <x:v>0</x:v>
      </x:c>
      <x:c r="AG11" s="42" t="n">
        <x:f>(O11+S11)/'Inputs &amp; Summary'!$B$4</x:f>
        <x:v>0.6</x:v>
      </x:c>
      <x:c r="AH11" s="40" t="n">
        <x:f>U11-O11-S11</x:f>
        <x:v>-414511.708523486</x:v>
      </x:c>
      <x:c r="AI11" s="40" t="n">
        <x:f>AC11-Y11</x:f>
        <x:v>-414502.7698801892</x:v>
      </x:c>
      <x:c r="AJ11" s="40" t="n">
        <x:f>AH11-AI11</x:f>
        <x:v>-8.93864329677308</x:v>
      </x:c>
    </x:row>
    <x:row r="12">
      <x:c r="A12" t="n">
        <x:f>A11+1</x:f>
        <x:v>8</x:v>
      </x:c>
      <x:c r="B12" t="n">
        <x:f>INT((A12-1)/12)+1</x:f>
        <x:v>1</x:v>
      </x:c>
      <x:c r="C12" t="n">
        <x:f>MOD(A12-1,12)+1</x:f>
        <x:v>8</x:v>
      </x:c>
      <x:c r="D12" s="40" t="n">
        <x:f>O11</x:f>
        <x:v>414590.9436763575</x:v>
      </x:c>
      <x:c r="E12" s="40" t="n">
        <x:f>D12*'Inputs &amp; Summary'!$B$15</x:f>
        <x:v>1540.337848578559</x:v>
      </x:c>
      <x:c r="F12" s="40" t="n">
        <x:f>IF(D12&lt;=0.00000001,0,MIN('Inputs &amp; Summary'!$B$18,D12+E12))</x:f>
        <x:v>2324.586407999052</x:v>
      </x:c>
      <x:c r="G12" s="40" t="n">
        <x:f>IF(ABS(MAX(0,D12+E12-F12))&lt;0.00000001,0,MAX(0,D12+E12-F12))</x:f>
        <x:v>413806.69511693704</x:v>
      </x:c>
      <x:c r="H12" s="40" t="n">
        <x:f>MAX(0,'Inputs &amp; Summary'!$B$18-F12)</x:f>
        <x:v>0</x:v>
      </x:c>
      <x:c r="I12" s="40" t="n">
        <x:f>S11</x:f>
        <x:v>5409.056323642493</x:v>
      </x:c>
      <x:c r="J12" s="40" t="n">
        <x:f>I12*'Inputs &amp; Summary'!$B$16</x:f>
        <x:v>29.29905508639684</x:v>
      </x:c>
      <x:c r="K12" s="40" t="n">
        <x:f>IF(C12=1,J12,K11+J12)</x:f>
        <x:v>116.76161078177512</x:v>
      </x:c>
      <x:c r="L12" s="40" t="n">
        <x:f>IF(C12=12,K12*'Inputs &amp; Summary'!$B$11*'Inputs &amp; Summary'!$B$12,0)</x:f>
        <x:v>0</x:v>
      </x:c>
      <x:c r="M12" s="40" t="n">
        <x:f>MIN(L12,G12)</x:f>
        <x:v>0</x:v>
      </x:c>
      <x:c r="N12" s="40" t="n">
        <x:f>MAX(0,L12-M12)</x:f>
        <x:v>0</x:v>
      </x:c>
      <x:c r="O12" s="40" t="n">
        <x:f>IF(ABS(MAX(0,G12-M12))&lt;0.00000001,0,MAX(0,G12-M12))</x:f>
        <x:v>413806.69511693704</x:v>
      </x:c>
      <x:c r="P12" s="40" t="n">
        <x:f>MAX(0,D12-O12)</x:f>
        <x:v>784.2485594204627</x:v>
      </x:c>
      <x:c r="Q12" s="40" t="n">
        <x:f>MAX(0,'Inputs &amp; Summary'!$B$19*'Inputs &amp; Summary'!$B$4-O12-I12)</x:f>
        <x:v>35784.24855942046</x:v>
      </x:c>
      <x:c r="R12" s="40" t="n">
        <x:f>MIN(P12,Q12)</x:f>
        <x:v>784.2485594204627</x:v>
      </x:c>
      <x:c r="S12" s="40" t="n">
        <x:f>I12+R12</x:f>
        <x:v>6193.304883062956</x:v>
      </x:c>
      <x:c r="T12" s="40" t="n">
        <x:f>U11</x:f>
        <x:v>5488.291476514043</x:v>
      </x:c>
      <x:c r="U12" s="40" t="n">
        <x:f>T12*(1+'Inputs &amp; Summary'!$B$17)+R12+N12+H12</x:f>
        <x:v>6299.254572213779</x:v>
      </x:c>
      <x:c r="V12" s="40" t="n">
        <x:f>Y11</x:f>
        <x:v>414590.9436763575</x:v>
      </x:c>
      <x:c r="W12" s="40" t="n">
        <x:f>V12*'Inputs &amp; Summary'!$B$15</x:f>
        <x:v>1540.337848578559</x:v>
      </x:c>
      <x:c r="X12" s="40" t="n">
        <x:f>IF(V12&lt;=0.00000001,0,MIN('Inputs &amp; Summary'!$B$18,V12+W12))</x:f>
        <x:v>2324.586407999052</x:v>
      </x:c>
      <x:c r="Y12" s="40" t="n">
        <x:f>IF(ABS(MAX(0,V12+W12-X12))&lt;0.00000001,0,MAX(0,V12+W12-X12))</x:f>
        <x:v>413806.69511693704</x:v>
      </x:c>
      <x:c r="Z12" s="40" t="n">
        <x:f>MAX(0,'Inputs &amp; Summary'!$B$18-X12)</x:f>
        <x:v>0</x:v>
      </x:c>
      <x:c r="AA12" s="40" t="n">
        <x:f>AC11</x:f>
        <x:v>88.17379616832316</x:v>
      </x:c>
      <x:c r="AB12" s="40" t="n">
        <x:f>J12</x:f>
        <x:v>29.29905508639684</x:v>
      </x:c>
      <x:c r="AC12" s="40" t="n">
        <x:f>AA12*(1+'Inputs &amp; Summary'!$B$17)+Z12+AB12</x:f>
        <x:v>117.90204166610758</x:v>
      </x:c>
      <x:c r="AD12" s="40" t="n">
        <x:f>F12+H12+J12</x:f>
        <x:v>2353.885463085449</x:v>
      </x:c>
      <x:c r="AE12" s="40" t="n">
        <x:f>X12+Z12+AB12</x:f>
        <x:v>2353.885463085449</x:v>
      </x:c>
      <x:c r="AF12" s="40" t="n">
        <x:f>AD12-AE12</x:f>
        <x:v>0</x:v>
      </x:c>
      <x:c r="AG12" s="42" t="n">
        <x:f>(O12+S12)/'Inputs &amp; Summary'!$B$4</x:f>
        <x:v>0.6</x:v>
      </x:c>
      <x:c r="AH12" s="40" t="n">
        <x:f>U12-O12-S12</x:f>
        <x:v>-413700.7454277862</x:v>
      </x:c>
      <x:c r="AI12" s="40" t="n">
        <x:f>AC12-Y12</x:f>
        <x:v>-413688.79307527095</x:v>
      </x:c>
      <x:c r="AJ12" s="40" t="n">
        <x:f>AH12-AI12</x:f>
        <x:v>-11.952352515247185</x:v>
      </x:c>
    </x:row>
    <x:row r="13">
      <x:c r="A13" t="n">
        <x:f>A12+1</x:f>
        <x:v>9</x:v>
      </x:c>
      <x:c r="B13" t="n">
        <x:f>INT((A13-1)/12)+1</x:f>
        <x:v>1</x:v>
      </x:c>
      <x:c r="C13" t="n">
        <x:f>MOD(A13-1,12)+1</x:f>
        <x:v>9</x:v>
      </x:c>
      <x:c r="D13" s="40" t="n">
        <x:f>O12</x:f>
        <x:v>413806.69511693704</x:v>
      </x:c>
      <x:c r="E13" s="40" t="n">
        <x:f>D13*'Inputs &amp; Summary'!$B$15</x:f>
        <x:v>1537.4241145542298</x:v>
      </x:c>
      <x:c r="F13" s="40" t="n">
        <x:f>IF(D13&lt;=0.00000001,0,MIN('Inputs &amp; Summary'!$B$18,D13+E13))</x:f>
        <x:v>2324.586407999052</x:v>
      </x:c>
      <x:c r="G13" s="40" t="n">
        <x:f>IF(ABS(MAX(0,D13+E13-F13))&lt;0.00000001,0,MAX(0,D13+E13-F13))</x:f>
        <x:v>413019.53282349225</x:v>
      </x:c>
      <x:c r="H13" s="40" t="n">
        <x:f>MAX(0,'Inputs &amp; Summary'!$B$18-F13)</x:f>
        <x:v>0</x:v>
      </x:c>
      <x:c r="I13" s="40" t="n">
        <x:f>S12</x:f>
        <x:v>6193.304883062956</x:v>
      </x:c>
      <x:c r="J13" s="40" t="n">
        <x:f>I13*'Inputs &amp; Summary'!$B$16</x:f>
        <x:v>33.547068116591014</x:v>
      </x:c>
      <x:c r="K13" s="40" t="n">
        <x:f>IF(C13=1,J13,K12+J13)</x:f>
        <x:v>150.30867889836614</x:v>
      </x:c>
      <x:c r="L13" s="40" t="n">
        <x:f>IF(C13=12,K13*'Inputs &amp; Summary'!$B$11*'Inputs &amp; Summary'!$B$12,0)</x:f>
        <x:v>0</x:v>
      </x:c>
      <x:c r="M13" s="40" t="n">
        <x:f>MIN(L13,G13)</x:f>
        <x:v>0</x:v>
      </x:c>
      <x:c r="N13" s="40" t="n">
        <x:f>MAX(0,L13-M13)</x:f>
        <x:v>0</x:v>
      </x:c>
      <x:c r="O13" s="40" t="n">
        <x:f>IF(ABS(MAX(0,G13-M13))&lt;0.00000001,0,MAX(0,G13-M13))</x:f>
        <x:v>413019.53282349225</x:v>
      </x:c>
      <x:c r="P13" s="40" t="n">
        <x:f>MAX(0,D13-O13)</x:f>
        <x:v>787.1622934447951</x:v>
      </x:c>
      <x:c r="Q13" s="40" t="n">
        <x:f>MAX(0,'Inputs &amp; Summary'!$B$19*'Inputs &amp; Summary'!$B$4-O13-I13)</x:f>
        <x:v>35787.162293444795</x:v>
      </x:c>
      <x:c r="R13" s="40" t="n">
        <x:f>MIN(P13,Q13)</x:f>
        <x:v>787.1622934447951</x:v>
      </x:c>
      <x:c r="S13" s="40" t="n">
        <x:f>I13+R13</x:f>
        <x:v>6980.467176507751</x:v>
      </x:c>
      <x:c r="T13" s="40" t="n">
        <x:f>U12</x:f>
        <x:v>6299.254572213779</x:v>
      </x:c>
      <x:c r="U13" s="40" t="n">
        <x:f>T13*(1+'Inputs &amp; Summary'!$B$17)+R13+N13+H13</x:f>
        <x:v>7117.078805812794</x:v>
      </x:c>
      <x:c r="V13" s="40" t="n">
        <x:f>Y12</x:f>
        <x:v>413806.69511693704</x:v>
      </x:c>
      <x:c r="W13" s="40" t="n">
        <x:f>V13*'Inputs &amp; Summary'!$B$15</x:f>
        <x:v>1537.4241145542298</x:v>
      </x:c>
      <x:c r="X13" s="40" t="n">
        <x:f>IF(V13&lt;=0.00000001,0,MIN('Inputs &amp; Summary'!$B$18,V13+W13))</x:f>
        <x:v>2324.586407999052</x:v>
      </x:c>
      <x:c r="Y13" s="40" t="n">
        <x:f>IF(ABS(MAX(0,V13+W13-X13))&lt;0.00000001,0,MAX(0,V13+W13-X13))</x:f>
        <x:v>413019.53282349225</x:v>
      </x:c>
      <x:c r="Z13" s="40" t="n">
        <x:f>MAX(0,'Inputs &amp; Summary'!$B$18-X13)</x:f>
        <x:v>0</x:v>
      </x:c>
      <x:c r="AA13" s="40" t="n">
        <x:f>AC12</x:f>
        <x:v>117.90204166610758</x:v>
      </x:c>
      <x:c r="AB13" s="40" t="n">
        <x:f>J13</x:f>
        <x:v>33.547068116591014</x:v>
      </x:c>
      <x:c r="AC13" s="40" t="n">
        <x:f>AA13*(1+'Inputs &amp; Summary'!$B$17)+Z13+AB13</x:f>
        <x:v>152.02300393226557</x:v>
      </x:c>
      <x:c r="AD13" s="40" t="n">
        <x:f>F13+H13+J13</x:f>
        <x:v>2358.133476115643</x:v>
      </x:c>
      <x:c r="AE13" s="40" t="n">
        <x:f>X13+Z13+AB13</x:f>
        <x:v>2358.133476115643</x:v>
      </x:c>
      <x:c r="AF13" s="40" t="n">
        <x:f>AD13-AE13</x:f>
        <x:v>0</x:v>
      </x:c>
      <x:c r="AG13" s="42" t="n">
        <x:f>(O13+S13)/'Inputs &amp; Summary'!$B$4</x:f>
        <x:v>0.6</x:v>
      </x:c>
      <x:c r="AH13" s="40" t="n">
        <x:f>U13-O13-S13</x:f>
        <x:v>-412882.9211941872</x:v>
      </x:c>
      <x:c r="AI13" s="40" t="n">
        <x:f>AC13-Y13</x:f>
        <x:v>-412867.50981956</x:v>
      </x:c>
      <x:c r="AJ13" s="40" t="n">
        <x:f>AH13-AI13</x:f>
        <x:v>-15.411374627205078</x:v>
      </x:c>
    </x:row>
    <x:row r="14">
      <x:c r="A14" t="n">
        <x:f>A13+1</x:f>
        <x:v>10</x:v>
      </x:c>
      <x:c r="B14" t="n">
        <x:f>INT((A14-1)/12)+1</x:f>
        <x:v>1</x:v>
      </x:c>
      <x:c r="C14" t="n">
        <x:f>MOD(A14-1,12)+1</x:f>
        <x:v>10</x:v>
      </x:c>
      <x:c r="D14" s="40" t="n">
        <x:f>O13</x:f>
        <x:v>413019.53282349225</x:v>
      </x:c>
      <x:c r="E14" s="40" t="n">
        <x:f>D14*'Inputs &amp; Summary'!$B$15</x:f>
        <x:v>1534.4995550768442</x:v>
      </x:c>
      <x:c r="F14" s="40" t="n">
        <x:f>IF(D14&lt;=0.00000001,0,MIN('Inputs &amp; Summary'!$B$18,D14+E14))</x:f>
        <x:v>2324.586407999052</x:v>
      </x:c>
      <x:c r="G14" s="40" t="n">
        <x:f>IF(ABS(MAX(0,D14+E14-F14))&lt;0.00000001,0,MAX(0,D14+E14-F14))</x:f>
        <x:v>412229.44597057</x:v>
      </x:c>
      <x:c r="H14" s="40" t="n">
        <x:f>MAX(0,'Inputs &amp; Summary'!$B$18-F14)</x:f>
        <x:v>0</x:v>
      </x:c>
      <x:c r="I14" s="40" t="n">
        <x:f>S13</x:f>
        <x:v>6980.467176507751</x:v>
      </x:c>
      <x:c r="J14" s="40" t="n">
        <x:f>I14*'Inputs &amp; Summary'!$B$16</x:f>
        <x:v>37.81086387275032</x:v>
      </x:c>
      <x:c r="K14" s="40" t="n">
        <x:f>IF(C14=1,J14,K13+J14)</x:f>
        <x:v>188.11954277111647</x:v>
      </x:c>
      <x:c r="L14" s="40" t="n">
        <x:f>IF(C14=12,K14*'Inputs &amp; Summary'!$B$11*'Inputs &amp; Summary'!$B$12,0)</x:f>
        <x:v>0</x:v>
      </x:c>
      <x:c r="M14" s="40" t="n">
        <x:f>MIN(L14,G14)</x:f>
        <x:v>0</x:v>
      </x:c>
      <x:c r="N14" s="40" t="n">
        <x:f>MAX(0,L14-M14)</x:f>
        <x:v>0</x:v>
      </x:c>
      <x:c r="O14" s="40" t="n">
        <x:f>IF(ABS(MAX(0,G14-M14))&lt;0.00000001,0,MAX(0,G14-M14))</x:f>
        <x:v>412229.44597057</x:v>
      </x:c>
      <x:c r="P14" s="40" t="n">
        <x:f>MAX(0,D14-O14)</x:f>
        <x:v>790.0868529222207</x:v>
      </x:c>
      <x:c r="Q14" s="40" t="n">
        <x:f>MAX(0,'Inputs &amp; Summary'!$B$19*'Inputs &amp; Summary'!$B$4-O14-I14)</x:f>
        <x:v>35790.08685292222</x:v>
      </x:c>
      <x:c r="R14" s="40" t="n">
        <x:f>MIN(P14,Q14)</x:f>
        <x:v>790.0868529222207</x:v>
      </x:c>
      <x:c r="S14" s="40" t="n">
        <x:f>I14+R14</x:f>
        <x:v>7770.554029429972</x:v>
      </x:c>
      <x:c r="T14" s="40" t="n">
        <x:f>U13</x:f>
        <x:v>7117.078805812794</x:v>
      </x:c>
      <x:c r="U14" s="40" t="n">
        <x:f>T14*(1+'Inputs &amp; Summary'!$B$17)+R14+N14+H14</x:f>
        <x:v>7941.808399699839</x:v>
      </x:c>
      <x:c r="V14" s="40" t="n">
        <x:f>Y13</x:f>
        <x:v>413019.53282349225</x:v>
      </x:c>
      <x:c r="W14" s="40" t="n">
        <x:f>V14*'Inputs &amp; Summary'!$B$15</x:f>
        <x:v>1534.4995550768442</x:v>
      </x:c>
      <x:c r="X14" s="40" t="n">
        <x:f>IF(V14&lt;=0.00000001,0,MIN('Inputs &amp; Summary'!$B$18,V14+W14))</x:f>
        <x:v>2324.586407999052</x:v>
      </x:c>
      <x:c r="Y14" s="40" t="n">
        <x:f>IF(ABS(MAX(0,V14+W14-X14))&lt;0.00000001,0,MAX(0,V14+W14-X14))</x:f>
        <x:v>412229.44597057</x:v>
      </x:c>
      <x:c r="Z14" s="40" t="n">
        <x:f>MAX(0,'Inputs &amp; Summary'!$B$18-X14)</x:f>
        <x:v>0</x:v>
      </x:c>
      <x:c r="AA14" s="40" t="n">
        <x:f>AC13</x:f>
        <x:v>152.02300393226557</x:v>
      </x:c>
      <x:c r="AB14" s="40" t="n">
        <x:f>J14</x:f>
        <x:v>37.81086387275032</x:v>
      </x:c>
      <x:c r="AC14" s="40" t="n">
        <x:f>AA14*(1+'Inputs &amp; Summary'!$B$17)+Z14+AB14</x:f>
        <x:v>190.57384746375152</x:v>
      </x:c>
      <x:c r="AD14" s="40" t="n">
        <x:f>F14+H14+J14</x:f>
        <x:v>2362.3972718718023</x:v>
      </x:c>
      <x:c r="AE14" s="40" t="n">
        <x:f>X14+Z14+AB14</x:f>
        <x:v>2362.3972718718023</x:v>
      </x:c>
      <x:c r="AF14" s="40" t="n">
        <x:f>AD14-AE14</x:f>
        <x:v>0</x:v>
      </x:c>
      <x:c r="AG14" s="42" t="n">
        <x:f>(O14+S14)/'Inputs &amp; Summary'!$B$4</x:f>
        <x:v>0.6</x:v>
      </x:c>
      <x:c r="AH14" s="40" t="n">
        <x:f>U14-O14-S14</x:f>
        <x:v>-412058.19160030014</x:v>
      </x:c>
      <x:c r="AI14" s="40" t="n">
        <x:f>AC14-Y14</x:f>
        <x:v>-412038.87212310627</x:v>
      </x:c>
      <x:c r="AJ14" s="40" t="n">
        <x:f>AH14-AI14</x:f>
        <x:v>-19.319477193872444</x:v>
      </x:c>
    </x:row>
    <x:row r="15">
      <x:c r="A15" t="n">
        <x:f>A14+1</x:f>
        <x:v>11</x:v>
      </x:c>
      <x:c r="B15" t="n">
        <x:f>INT((A15-1)/12)+1</x:f>
        <x:v>1</x:v>
      </x:c>
      <x:c r="C15" t="n">
        <x:f>MOD(A15-1,12)+1</x:f>
        <x:v>11</x:v>
      </x:c>
      <x:c r="D15" s="40" t="n">
        <x:f>O14</x:f>
        <x:v>412229.44597057</x:v>
      </x:c>
      <x:c r="E15" s="40" t="n">
        <x:f>D15*'Inputs &amp; Summary'!$B$15</x:f>
        <x:v>1531.5641299263843</x:v>
      </x:c>
      <x:c r="F15" s="40" t="n">
        <x:f>IF(D15&lt;=0.00000001,0,MIN('Inputs &amp; Summary'!$B$18,D15+E15))</x:f>
        <x:v>2324.586407999052</x:v>
      </x:c>
      <x:c r="G15" s="40" t="n">
        <x:f>IF(ABS(MAX(0,D15+E15-F15))&lt;0.00000001,0,MAX(0,D15+E15-F15))</x:f>
        <x:v>411436.42369249737</x:v>
      </x:c>
      <x:c r="H15" s="40" t="n">
        <x:f>MAX(0,'Inputs &amp; Summary'!$B$18-F15)</x:f>
        <x:v>0</x:v>
      </x:c>
      <x:c r="I15" s="40" t="n">
        <x:f>S14</x:f>
        <x:v>7770.554029429972</x:v>
      </x:c>
      <x:c r="J15" s="40" t="n">
        <x:f>I15*'Inputs &amp; Summary'!$B$16</x:f>
        <x:v>42.09050099274568</x:v>
      </x:c>
      <x:c r="K15" s="40" t="n">
        <x:f>IF(C15=1,J15,K14+J15)</x:f>
        <x:v>230.21004376386216</x:v>
      </x:c>
      <x:c r="L15" s="40" t="n">
        <x:f>IF(C15=12,K15*'Inputs &amp; Summary'!$B$11*'Inputs &amp; Summary'!$B$12,0)</x:f>
        <x:v>0</x:v>
      </x:c>
      <x:c r="M15" s="40" t="n">
        <x:f>MIN(L15,G15)</x:f>
        <x:v>0</x:v>
      </x:c>
      <x:c r="N15" s="40" t="n">
        <x:f>MAX(0,L15-M15)</x:f>
        <x:v>0</x:v>
      </x:c>
      <x:c r="O15" s="40" t="n">
        <x:f>IF(ABS(MAX(0,G15-M15))&lt;0.00000001,0,MAX(0,G15-M15))</x:f>
        <x:v>411436.42369249737</x:v>
      </x:c>
      <x:c r="P15" s="40" t="n">
        <x:f>MAX(0,D15-O15)</x:f>
        <x:v>793.0222780726617</x:v>
      </x:c>
      <x:c r="Q15" s="40" t="n">
        <x:f>MAX(0,'Inputs &amp; Summary'!$B$19*'Inputs &amp; Summary'!$B$4-O15-I15)</x:f>
        <x:v>35793.02227807266</x:v>
      </x:c>
      <x:c r="R15" s="40" t="n">
        <x:f>MIN(P15,Q15)</x:f>
        <x:v>793.0222780726617</x:v>
      </x:c>
      <x:c r="S15" s="40" t="n">
        <x:f>I15+R15</x:f>
        <x:v>8563.576307502633</x:v>
      </x:c>
      <x:c r="T15" s="40" t="n">
        <x:f>U14</x:f>
        <x:v>7941.808399699839</x:v>
      </x:c>
      <x:c r="U15" s="40" t="n">
        <x:f>T15*(1+'Inputs &amp; Summary'!$B$17)+R15+N15+H15</x:f>
        <x:v>8773.487831738306</x:v>
      </x:c>
      <x:c r="V15" s="40" t="n">
        <x:f>Y14</x:f>
        <x:v>412229.44597057</x:v>
      </x:c>
      <x:c r="W15" s="40" t="n">
        <x:f>V15*'Inputs &amp; Summary'!$B$15</x:f>
        <x:v>1531.5641299263843</x:v>
      </x:c>
      <x:c r="X15" s="40" t="n">
        <x:f>IF(V15&lt;=0.00000001,0,MIN('Inputs &amp; Summary'!$B$18,V15+W15))</x:f>
        <x:v>2324.586407999052</x:v>
      </x:c>
      <x:c r="Y15" s="40" t="n">
        <x:f>IF(ABS(MAX(0,V15+W15-X15))&lt;0.00000001,0,MAX(0,V15+W15-X15))</x:f>
        <x:v>411436.42369249737</x:v>
      </x:c>
      <x:c r="Z15" s="40" t="n">
        <x:f>MAX(0,'Inputs &amp; Summary'!$B$18-X15)</x:f>
        <x:v>0</x:v>
      </x:c>
      <x:c r="AA15" s="40" t="n">
        <x:f>AC14</x:f>
        <x:v>190.57384746375152</x:v>
      </x:c>
      <x:c r="AB15" s="40" t="n">
        <x:f>J15</x:f>
        <x:v>42.09050099274568</x:v>
      </x:c>
      <x:c r="AC15" s="40" t="n">
        <x:f>AA15*(1+'Inputs &amp; Summary'!$B$17)+Z15+AB15</x:f>
        <x:v>233.591976295459</x:v>
      </x:c>
      <x:c r="AD15" s="40" t="n">
        <x:f>F15+H15+J15</x:f>
        <x:v>2366.6769089917975</x:v>
      </x:c>
      <x:c r="AE15" s="40" t="n">
        <x:f>X15+Z15+AB15</x:f>
        <x:v>2366.6769089917975</x:v>
      </x:c>
      <x:c r="AF15" s="40" t="n">
        <x:f>AD15-AE15</x:f>
        <x:v>0</x:v>
      </x:c>
      <x:c r="AG15" s="42" t="n">
        <x:f>(O15+S15)/'Inputs &amp; Summary'!$B$4</x:f>
        <x:v>0.6</x:v>
      </x:c>
      <x:c r="AH15" s="40" t="n">
        <x:f>U15-O15-S15</x:f>
        <x:v>-411226.5121682617</x:v>
      </x:c>
      <x:c r="AI15" s="40" t="n">
        <x:f>AC15-Y15</x:f>
        <x:v>-411202.8317162019</x:v>
      </x:c>
      <x:c r="AJ15" s="40" t="n">
        <x:f>AH15-AI15</x:f>
        <x:v>-23.680452059779782</x:v>
      </x:c>
    </x:row>
    <x:row r="16">
      <x:c r="A16" t="n">
        <x:f>A15+1</x:f>
        <x:v>12</x:v>
      </x:c>
      <x:c r="B16" t="n">
        <x:f>INT((A16-1)/12)+1</x:f>
        <x:v>1</x:v>
      </x:c>
      <x:c r="C16" t="n">
        <x:f>MOD(A16-1,12)+1</x:f>
        <x:v>12</x:v>
      </x:c>
      <x:c r="D16" s="40" t="n">
        <x:f>O15</x:f>
        <x:v>411436.42369249737</x:v>
      </x:c>
      <x:c r="E16" s="40" t="n">
        <x:f>D16*'Inputs &amp; Summary'!$B$15</x:f>
        <x:v>1528.6177987334029</x:v>
      </x:c>
      <x:c r="F16" s="40" t="n">
        <x:f>IF(D16&lt;=0.00000001,0,MIN('Inputs &amp; Summary'!$B$18,D16+E16))</x:f>
        <x:v>2324.586407999052</x:v>
      </x:c>
      <x:c r="G16" s="40" t="n">
        <x:f>IF(ABS(MAX(0,D16+E16-F16))&lt;0.00000001,0,MAX(0,D16+E16-F16))</x:f>
        <x:v>410640.45508323173</x:v>
      </x:c>
      <x:c r="H16" s="40" t="n">
        <x:f>MAX(0,'Inputs &amp; Summary'!$B$18-F16)</x:f>
        <x:v>0</x:v>
      </x:c>
      <x:c r="I16" s="40" t="n">
        <x:f>S15</x:f>
        <x:v>8563.576307502633</x:v>
      </x:c>
      <x:c r="J16" s="40" t="n">
        <x:f>I16*'Inputs &amp; Summary'!$B$16</x:f>
        <x:v>46.38603833230593</x:v>
      </x:c>
      <x:c r="K16" s="40" t="n">
        <x:f>IF(C16=1,J16,K15+J16)</x:f>
        <x:v>276.59608209616806</x:v>
      </x:c>
      <x:c r="L16" s="40" t="n">
        <x:f>IF(C16=12,K16*'Inputs &amp; Summary'!$B$11*'Inputs &amp; Summary'!$B$12,0)</x:f>
        <x:v>96.80862873365882</x:v>
      </x:c>
      <x:c r="M16" s="40" t="n">
        <x:f>MIN(L16,G16)</x:f>
        <x:v>96.80862873365882</x:v>
      </x:c>
      <x:c r="N16" s="40" t="n">
        <x:f>MAX(0,L16-M16)</x:f>
        <x:v>0</x:v>
      </x:c>
      <x:c r="O16" s="40" t="n">
        <x:f>IF(ABS(MAX(0,G16-M16))&lt;0.00000001,0,MAX(0,G16-M16))</x:f>
        <x:v>410543.64645449806</x:v>
      </x:c>
      <x:c r="P16" s="40" t="n">
        <x:f>MAX(0,D16-O16)</x:f>
        <x:v>892.7772379993112</x:v>
      </x:c>
      <x:c r="Q16" s="40" t="n">
        <x:f>MAX(0,'Inputs &amp; Summary'!$B$19*'Inputs &amp; Summary'!$B$4-O16-I16)</x:f>
        <x:v>35892.77723799931</x:v>
      </x:c>
      <x:c r="R16" s="40" t="n">
        <x:f>MIN(P16,Q16)</x:f>
        <x:v>892.7772379993112</x:v>
      </x:c>
      <x:c r="S16" s="40" t="n">
        <x:f>I16+R16</x:f>
        <x:v>9456.353545501945</x:v>
      </x:c>
      <x:c r="T16" s="40" t="n">
        <x:f>U15</x:f>
        <x:v>8773.487831738306</x:v>
      </x:c>
      <x:c r="U16" s="40" t="n">
        <x:f>T16*(1+'Inputs &amp; Summary'!$B$17)+R16+N16+H16</x:f>
        <x:v>9708.970465393026</x:v>
      </x:c>
      <x:c r="V16" s="40" t="n">
        <x:f>Y15</x:f>
        <x:v>411436.42369249737</x:v>
      </x:c>
      <x:c r="W16" s="40" t="n">
        <x:f>V16*'Inputs &amp; Summary'!$B$15</x:f>
        <x:v>1528.6177987334029</x:v>
      </x:c>
      <x:c r="X16" s="40" t="n">
        <x:f>IF(V16&lt;=0.00000001,0,MIN('Inputs &amp; Summary'!$B$18,V16+W16))</x:f>
        <x:v>2324.586407999052</x:v>
      </x:c>
      <x:c r="Y16" s="40" t="n">
        <x:f>IF(ABS(MAX(0,V16+W16-X16))&lt;0.00000001,0,MAX(0,V16+W16-X16))</x:f>
        <x:v>410640.45508323173</x:v>
      </x:c>
      <x:c r="Z16" s="40" t="n">
        <x:f>MAX(0,'Inputs &amp; Summary'!$B$18-X16)</x:f>
        <x:v>0</x:v>
      </x:c>
      <x:c r="AA16" s="40" t="n">
        <x:f>AC15</x:f>
        <x:v>233.591976295459</x:v>
      </x:c>
      <x:c r="AB16" s="40" t="n">
        <x:f>J16</x:f>
        <x:v>46.38603833230593</x:v>
      </x:c>
      <x:c r="AC16" s="40" t="n">
        <x:f>AA16*(1+'Inputs &amp; Summary'!$B$17)+Z16+AB16</x:f>
        <x:v>281.1150353840415</x:v>
      </x:c>
      <x:c r="AD16" s="40" t="n">
        <x:f>F16+H16+J16</x:f>
        <x:v>2370.972446331358</x:v>
      </x:c>
      <x:c r="AE16" s="40" t="n">
        <x:f>X16+Z16+AB16</x:f>
        <x:v>2370.972446331358</x:v>
      </x:c>
      <x:c r="AF16" s="40" t="n">
        <x:f>AD16-AE16</x:f>
        <x:v>0</x:v>
      </x:c>
      <x:c r="AG16" s="42" t="n">
        <x:f>(O16+S16)/'Inputs &amp; Summary'!$B$4</x:f>
        <x:v>0.6</x:v>
      </x:c>
      <x:c r="AH16" s="40" t="n">
        <x:f>U16-O16-S16</x:f>
        <x:v>-410291.02953460696</x:v>
      </x:c>
      <x:c r="AI16" s="40" t="n">
        <x:f>AC16-Y16</x:f>
        <x:v>-410359.3400478477</x:v>
      </x:c>
      <x:c r="AJ16" s="40" t="n">
        <x:f>AH16-AI16</x:f>
        <x:v>68.31051324075088</x:v>
      </x:c>
    </x:row>
    <x:row r="17">
      <x:c r="A17" t="n">
        <x:f>A16+1</x:f>
        <x:v>13</x:v>
      </x:c>
      <x:c r="B17" t="n">
        <x:f>INT((A17-1)/12)+1</x:f>
        <x:v>2</x:v>
      </x:c>
      <x:c r="C17" t="n">
        <x:f>MOD(A17-1,12)+1</x:f>
        <x:v>1</x:v>
      </x:c>
      <x:c r="D17" s="40" t="n">
        <x:f>O16</x:f>
        <x:v>410543.64645449806</x:v>
      </x:c>
      <x:c r="E17" s="40" t="n">
        <x:f>D17*'Inputs &amp; Summary'!$B$15</x:f>
        <x:v>1525.3008459851217</x:v>
      </x:c>
      <x:c r="F17" s="40" t="n">
        <x:f>IF(D17&lt;=0.00000001,0,MIN('Inputs &amp; Summary'!$B$18,D17+E17))</x:f>
        <x:v>2324.586407999052</x:v>
      </x:c>
      <x:c r="G17" s="40" t="n">
        <x:f>IF(ABS(MAX(0,D17+E17-F17))&lt;0.00000001,0,MAX(0,D17+E17-F17))</x:f>
        <x:v>409744.36089248414</x:v>
      </x:c>
      <x:c r="H17" s="40" t="n">
        <x:f>MAX(0,'Inputs &amp; Summary'!$B$18-F17)</x:f>
        <x:v>0</x:v>
      </x:c>
      <x:c r="I17" s="40" t="n">
        <x:f>S16</x:f>
        <x:v>9456.353545501945</x:v>
      </x:c>
      <x:c r="J17" s="40" t="n">
        <x:f>I17*'Inputs &amp; Summary'!$B$16</x:f>
        <x:v>51.221915038135535</x:v>
      </x:c>
      <x:c r="K17" s="40" t="n">
        <x:f>IF(C17=1,J17,K16+J17)</x:f>
        <x:v>51.221915038135535</x:v>
      </x:c>
      <x:c r="L17" s="40" t="n">
        <x:f>IF(C17=12,K17*'Inputs &amp; Summary'!$B$11*'Inputs &amp; Summary'!$B$12,0)</x:f>
        <x:v>0</x:v>
      </x:c>
      <x:c r="M17" s="40" t="n">
        <x:f>MIN(L17,G17)</x:f>
        <x:v>0</x:v>
      </x:c>
      <x:c r="N17" s="40" t="n">
        <x:f>MAX(0,L17-M17)</x:f>
        <x:v>0</x:v>
      </x:c>
      <x:c r="O17" s="40" t="n">
        <x:f>IF(ABS(MAX(0,G17-M17))&lt;0.00000001,0,MAX(0,G17-M17))</x:f>
        <x:v>409744.36089248414</x:v>
      </x:c>
      <x:c r="P17" s="40" t="n">
        <x:f>MAX(0,D17-O17)</x:f>
        <x:v>799.2855620139162</x:v>
      </x:c>
      <x:c r="Q17" s="40" t="n">
        <x:f>MAX(0,'Inputs &amp; Summary'!$B$19*'Inputs &amp; Summary'!$B$4-O17-I17)</x:f>
        <x:v>35799.285562013916</x:v>
      </x:c>
      <x:c r="R17" s="40" t="n">
        <x:f>MIN(P17,Q17)</x:f>
        <x:v>799.2855620139162</x:v>
      </x:c>
      <x:c r="S17" s="40" t="n">
        <x:f>I17+R17</x:f>
        <x:v>10255.63910751586</x:v>
      </x:c>
      <x:c r="T17" s="40" t="n">
        <x:f>U16</x:f>
        <x:v>9708.970465393026</x:v>
      </x:c>
      <x:c r="U17" s="40" t="n">
        <x:f>T17*(1+'Inputs &amp; Summary'!$B$17)+R17+N17+H17</x:f>
        <x:v>10555.514932084665</x:v>
      </x:c>
      <x:c r="V17" s="40" t="n">
        <x:f>Y16</x:f>
        <x:v>410640.45508323173</x:v>
      </x:c>
      <x:c r="W17" s="40" t="n">
        <x:f>V17*'Inputs &amp; Summary'!$B$15</x:f>
        <x:v>1525.6605209784661</x:v>
      </x:c>
      <x:c r="X17" s="40" t="n">
        <x:f>IF(V17&lt;=0.00000001,0,MIN('Inputs &amp; Summary'!$B$18,V17+W17))</x:f>
        <x:v>2324.586407999052</x:v>
      </x:c>
      <x:c r="Y17" s="40" t="n">
        <x:f>IF(ABS(MAX(0,V17+W17-X17))&lt;0.00000001,0,MAX(0,V17+W17-X17))</x:f>
        <x:v>409841.52919621114</x:v>
      </x:c>
      <x:c r="Z17" s="40" t="n">
        <x:f>MAX(0,'Inputs &amp; Summary'!$B$18-X17)</x:f>
        <x:v>0</x:v>
      </x:c>
      <x:c r="AA17" s="40" t="n">
        <x:f>AC16</x:f>
        <x:v>281.1150353840415</x:v>
      </x:c>
      <x:c r="AB17" s="40" t="n">
        <x:f>J17</x:f>
        <x:v>51.221915038135535</x:v>
      </x:c>
      <x:c r="AC17" s="40" t="n">
        <x:f>AA17*(1+'Inputs &amp; Summary'!$B$17)+Z17+AB17</x:f>
        <x:v>333.70529207158705</x:v>
      </x:c>
      <x:c r="AD17" s="40" t="n">
        <x:f>F17+H17+J17</x:f>
        <x:v>2375.8083230371876</x:v>
      </x:c>
      <x:c r="AE17" s="40" t="n">
        <x:f>X17+Z17+AB17</x:f>
        <x:v>2375.8083230371876</x:v>
      </x:c>
      <x:c r="AF17" s="40" t="n">
        <x:f>AD17-AE17</x:f>
        <x:v>0</x:v>
      </x:c>
      <x:c r="AG17" s="42" t="n">
        <x:f>(O17+S17)/'Inputs &amp; Summary'!$B$4</x:f>
        <x:v>0.6</x:v>
      </x:c>
      <x:c r="AH17" s="40" t="n">
        <x:f>U17-O17-S17</x:f>
        <x:v>-409444.48506791535</x:v>
      </x:c>
      <x:c r="AI17" s="40" t="n">
        <x:f>AC17-Y17</x:f>
        <x:v>-409507.8239041396</x:v>
      </x:c>
      <x:c r="AJ17" s="40" t="n">
        <x:f>AH17-AI17</x:f>
        <x:v>63.338836224225815</x:v>
      </x:c>
    </x:row>
    <x:row r="18">
      <x:c r="A18" t="n">
        <x:f>A17+1</x:f>
        <x:v>14</x:v>
      </x:c>
      <x:c r="B18" t="n">
        <x:f>INT((A18-1)/12)+1</x:f>
        <x:v>2</x:v>
      </x:c>
      <x:c r="C18" t="n">
        <x:f>MOD(A18-1,12)+1</x:f>
        <x:v>2</x:v>
      </x:c>
      <x:c r="D18" s="40" t="n">
        <x:f>O17</x:f>
        <x:v>409744.36089248414</x:v>
      </x:c>
      <x:c r="E18" s="40" t="n">
        <x:f>D18*'Inputs &amp; Summary'!$B$15</x:f>
        <x:v>1522.3312446907107</x:v>
      </x:c>
      <x:c r="F18" s="40" t="n">
        <x:f>IF(D18&lt;=0.00000001,0,MIN('Inputs &amp; Summary'!$B$18,D18+E18))</x:f>
        <x:v>2324.586407999052</x:v>
      </x:c>
      <x:c r="G18" s="40" t="n">
        <x:f>IF(ABS(MAX(0,D18+E18-F18))&lt;0.00000001,0,MAX(0,D18+E18-F18))</x:f>
        <x:v>408942.1057291758</x:v>
      </x:c>
      <x:c r="H18" s="40" t="n">
        <x:f>MAX(0,'Inputs &amp; Summary'!$B$18-F18)</x:f>
        <x:v>0</x:v>
      </x:c>
      <x:c r="I18" s="40" t="n">
        <x:f>S17</x:f>
        <x:v>10255.63910751586</x:v>
      </x:c>
      <x:c r="J18" s="40" t="n">
        <x:f>I18*'Inputs &amp; Summary'!$B$16</x:f>
        <x:v>55.55137849904425</x:v>
      </x:c>
      <x:c r="K18" s="40" t="n">
        <x:f>IF(C18=1,J18,K17+J18)</x:f>
        <x:v>106.77329353717978</x:v>
      </x:c>
      <x:c r="L18" s="40" t="n">
        <x:f>IF(C18=12,K18*'Inputs &amp; Summary'!$B$11*'Inputs &amp; Summary'!$B$12,0)</x:f>
        <x:v>0</x:v>
      </x:c>
      <x:c r="M18" s="40" t="n">
        <x:f>MIN(L18,G18)</x:f>
        <x:v>0</x:v>
      </x:c>
      <x:c r="N18" s="40" t="n">
        <x:f>MAX(0,L18-M18)</x:f>
        <x:v>0</x:v>
      </x:c>
      <x:c r="O18" s="40" t="n">
        <x:f>IF(ABS(MAX(0,G18-M18))&lt;0.00000001,0,MAX(0,G18-M18))</x:f>
        <x:v>408942.1057291758</x:v>
      </x:c>
      <x:c r="P18" s="40" t="n">
        <x:f>MAX(0,D18-O18)</x:f>
        <x:v>802.2551633083494</x:v>
      </x:c>
      <x:c r="Q18" s="40" t="n">
        <x:f>MAX(0,'Inputs &amp; Summary'!$B$19*'Inputs &amp; Summary'!$B$4-O18-I18)</x:f>
        <x:v>35802.25516330835</x:v>
      </x:c>
      <x:c r="R18" s="40" t="n">
        <x:f>MIN(P18,Q18)</x:f>
        <x:v>802.2551633083494</x:v>
      </x:c>
      <x:c r="S18" s="40" t="n">
        <x:f>I18+R18</x:f>
        <x:v>11057.89427082421</x:v>
      </x:c>
      <x:c r="T18" s="40" t="n">
        <x:f>U17</x:f>
        <x:v>10555.514932084665</x:v>
      </x:c>
      <x:c r="U18" s="40" t="n">
        <x:f>T18*(1+'Inputs &amp; Summary'!$B$17)+R18+N18+H18</x:f>
        <x:v>11409.14959806817</x:v>
      </x:c>
      <x:c r="V18" s="40" t="n">
        <x:f>Y17</x:f>
        <x:v>409841.52919621114</x:v>
      </x:c>
      <x:c r="W18" s="40" t="n">
        <x:f>V18*'Inputs &amp; Summary'!$B$15</x:f>
        <x:v>1522.6922559915984</x:v>
      </x:c>
      <x:c r="X18" s="40" t="n">
        <x:f>IF(V18&lt;=0.00000001,0,MIN('Inputs &amp; Summary'!$B$18,V18+W18))</x:f>
        <x:v>2324.586407999052</x:v>
      </x:c>
      <x:c r="Y18" s="40" t="n">
        <x:f>IF(ABS(MAX(0,V18+W18-X18))&lt;0.00000001,0,MAX(0,V18+W18-X18))</x:f>
        <x:v>409039.6350442037</x:v>
      </x:c>
      <x:c r="Z18" s="40" t="n">
        <x:f>MAX(0,'Inputs &amp; Summary'!$B$18-X18)</x:f>
        <x:v>0</x:v>
      </x:c>
      <x:c r="AA18" s="40" t="n">
        <x:f>AC17</x:f>
        <x:v>333.70529207158705</x:v>
      </x:c>
      <x:c r="AB18" s="40" t="n">
        <x:f>J18</x:f>
        <x:v>55.55137849904425</x:v>
      </x:c>
      <x:c r="AC18" s="40" t="n">
        <x:f>AA18*(1+'Inputs &amp; Summary'!$B$17)+Z18+AB18</x:f>
        <x:v>390.8809979537123</x:v>
      </x:c>
      <x:c r="AD18" s="40" t="n">
        <x:f>F18+H18+J18</x:f>
        <x:v>2380.1377864980964</x:v>
      </x:c>
      <x:c r="AE18" s="40" t="n">
        <x:f>X18+Z18+AB18</x:f>
        <x:v>2380.1377864980964</x:v>
      </x:c>
      <x:c r="AF18" s="40" t="n">
        <x:f>AD18-AE18</x:f>
        <x:v>0</x:v>
      </x:c>
      <x:c r="AG18" s="42" t="n">
        <x:f>(O18+S18)/'Inputs &amp; Summary'!$B$4</x:f>
        <x:v>0.6</x:v>
      </x:c>
      <x:c r="AH18" s="40" t="n">
        <x:f>U18-O18-S18</x:f>
        <x:v>-408590.85040193185</x:v>
      </x:c>
      <x:c r="AI18" s="40" t="n">
        <x:f>AC18-Y18</x:f>
        <x:v>-408648.75404625</x:v>
      </x:c>
      <x:c r="AJ18" s="40" t="n">
        <x:f>AH18-AI18</x:f>
        <x:v>57.90364431816852</x:v>
      </x:c>
    </x:row>
    <x:row r="19">
      <x:c r="A19" t="n">
        <x:f>A18+1</x:f>
        <x:v>15</x:v>
      </x:c>
      <x:c r="B19" t="n">
        <x:f>INT((A19-1)/12)+1</x:f>
        <x:v>2</x:v>
      </x:c>
      <x:c r="C19" t="n">
        <x:f>MOD(A19-1,12)+1</x:f>
        <x:v>3</x:v>
      </x:c>
      <x:c r="D19" s="40" t="n">
        <x:f>O18</x:f>
        <x:v>408942.1057291758</x:v>
      </x:c>
      <x:c r="E19" s="40" t="n">
        <x:f>D19*'Inputs &amp; Summary'!$B$15</x:f>
        <x:v>1519.350610378481</x:v>
      </x:c>
      <x:c r="F19" s="40" t="n">
        <x:f>IF(D19&lt;=0.00000001,0,MIN('Inputs &amp; Summary'!$B$18,D19+E19))</x:f>
        <x:v>2324.586407999052</x:v>
      </x:c>
      <x:c r="G19" s="40" t="n">
        <x:f>IF(ABS(MAX(0,D19+E19-F19))&lt;0.00000001,0,MAX(0,D19+E19-F19))</x:f>
        <x:v>408136.86993155524</x:v>
      </x:c>
      <x:c r="H19" s="40" t="n">
        <x:f>MAX(0,'Inputs &amp; Summary'!$B$18-F19)</x:f>
        <x:v>0</x:v>
      </x:c>
      <x:c r="I19" s="40" t="n">
        <x:f>S18</x:f>
        <x:v>11057.89427082421</x:v>
      </x:c>
      <x:c r="J19" s="40" t="n">
        <x:f>I19*'Inputs &amp; Summary'!$B$16</x:f>
        <x:v>59.896927300297804</x:v>
      </x:c>
      <x:c r="K19" s="40" t="n">
        <x:f>IF(C19=1,J19,K18+J19)</x:f>
        <x:v>166.6702208374776</x:v>
      </x:c>
      <x:c r="L19" s="40" t="n">
        <x:f>IF(C19=12,K19*'Inputs &amp; Summary'!$B$11*'Inputs &amp; Summary'!$B$12,0)</x:f>
        <x:v>0</x:v>
      </x:c>
      <x:c r="M19" s="40" t="n">
        <x:f>MIN(L19,G19)</x:f>
        <x:v>0</x:v>
      </x:c>
      <x:c r="N19" s="40" t="n">
        <x:f>MAX(0,L19-M19)</x:f>
        <x:v>0</x:v>
      </x:c>
      <x:c r="O19" s="40" t="n">
        <x:f>IF(ABS(MAX(0,G19-M19))&lt;0.00000001,0,MAX(0,G19-M19))</x:f>
        <x:v>408136.86993155524</x:v>
      </x:c>
      <x:c r="P19" s="40" t="n">
        <x:f>MAX(0,D19-O19)</x:f>
        <x:v>805.2357976205531</x:v>
      </x:c>
      <x:c r="Q19" s="40" t="n">
        <x:f>MAX(0,'Inputs &amp; Summary'!$B$19*'Inputs &amp; Summary'!$B$4-O19-I19)</x:f>
        <x:v>35805.23579762055</x:v>
      </x:c>
      <x:c r="R19" s="40" t="n">
        <x:f>MIN(P19,Q19)</x:f>
        <x:v>805.2357976205531</x:v>
      </x:c>
      <x:c r="S19" s="40" t="n">
        <x:f>I19+R19</x:f>
        <x:v>11863.130068444763</x:v>
      </x:c>
      <x:c r="T19" s="40" t="n">
        <x:f>U18</x:f>
        <x:v>11409.14959806817</x:v>
      </x:c>
      <x:c r="U19" s="40" t="n">
        <x:f>T19*(1+'Inputs &amp; Summary'!$B$17)+R19+N19+H19</x:f>
        <x:v>12269.920008264884</x:v>
      </x:c>
      <x:c r="V19" s="40" t="n">
        <x:f>Y18</x:f>
        <x:v>409039.6350442037</x:v>
      </x:c>
      <x:c r="W19" s="40" t="n">
        <x:f>V19*'Inputs &amp; Summary'!$B$15</x:f>
        <x:v>1519.712962951722</x:v>
      </x:c>
      <x:c r="X19" s="40" t="n">
        <x:f>IF(V19&lt;=0.00000001,0,MIN('Inputs &amp; Summary'!$B$18,V19+W19))</x:f>
        <x:v>2324.586407999052</x:v>
      </x:c>
      <x:c r="Y19" s="40" t="n">
        <x:f>IF(ABS(MAX(0,V19+W19-X19))&lt;0.00000001,0,MAX(0,V19+W19-X19))</x:f>
        <x:v>408234.7615991564</x:v>
      </x:c>
      <x:c r="Z19" s="40" t="n">
        <x:f>MAX(0,'Inputs &amp; Summary'!$B$18-X19)</x:f>
        <x:v>0</x:v>
      </x:c>
      <x:c r="AA19" s="40" t="n">
        <x:f>AC18</x:f>
        <x:v>390.8809979537123</x:v>
      </x:c>
      <x:c r="AB19" s="40" t="n">
        <x:f>J19</x:f>
        <x:v>59.896927300297804</x:v>
      </x:c>
      <x:c r="AC19" s="40" t="n">
        <x:f>AA19*(1+'Inputs &amp; Summary'!$B$17)+Z19+AB19</x:f>
        <x:v>452.68055827658156</x:v>
      </x:c>
      <x:c r="AD19" s="40" t="n">
        <x:f>F19+H19+J19</x:f>
        <x:v>2384.4833352993496</x:v>
      </x:c>
      <x:c r="AE19" s="40" t="n">
        <x:f>X19+Z19+AB19</x:f>
        <x:v>2384.4833352993496</x:v>
      </x:c>
      <x:c r="AF19" s="40" t="n">
        <x:f>AD19-AE19</x:f>
        <x:v>0</x:v>
      </x:c>
      <x:c r="AG19" s="42" t="n">
        <x:f>(O19+S19)/'Inputs &amp; Summary'!$B$4</x:f>
        <x:v>0.6</x:v>
      </x:c>
      <x:c r="AH19" s="40" t="n">
        <x:f>U19-O19-S19</x:f>
        <x:v>-407730.0799917351</x:v>
      </x:c>
      <x:c r="AI19" s="40" t="n">
        <x:f>AC19-Y19</x:f>
        <x:v>-407782.0810408798</x:v>
      </x:c>
      <x:c r="AJ19" s="40" t="n">
        <x:f>AH19-AI19</x:f>
        <x:v>52.0010491447174</x:v>
      </x:c>
    </x:row>
    <x:row r="20">
      <x:c r="A20" t="n">
        <x:f>A19+1</x:f>
        <x:v>16</x:v>
      </x:c>
      <x:c r="B20" t="n">
        <x:f>INT((A20-1)/12)+1</x:f>
        <x:v>2</x:v>
      </x:c>
      <x:c r="C20" t="n">
        <x:f>MOD(A20-1,12)+1</x:f>
        <x:v>4</x:v>
      </x:c>
      <x:c r="D20" s="40" t="n">
        <x:f>O19</x:f>
        <x:v>408136.86993155524</x:v>
      </x:c>
      <x:c r="E20" s="40" t="n">
        <x:f>D20*'Inputs &amp; Summary'!$B$15</x:f>
        <x:v>1516.3589020572458</x:v>
      </x:c>
      <x:c r="F20" s="40" t="n">
        <x:f>IF(D20&lt;=0.00000001,0,MIN('Inputs &amp; Summary'!$B$18,D20+E20))</x:f>
        <x:v>2324.586407999052</x:v>
      </x:c>
      <x:c r="G20" s="40" t="n">
        <x:f>IF(ABS(MAX(0,D20+E20-F20))&lt;0.00000001,0,MAX(0,D20+E20-F20))</x:f>
        <x:v>407328.6424256134</x:v>
      </x:c>
      <x:c r="H20" s="40" t="n">
        <x:f>MAX(0,'Inputs &amp; Summary'!$B$18-F20)</x:f>
        <x:v>0</x:v>
      </x:c>
      <x:c r="I20" s="40" t="n">
        <x:f>S19</x:f>
        <x:v>11863.130068444763</x:v>
      </x:c>
      <x:c r="J20" s="40" t="n">
        <x:f>I20*'Inputs &amp; Summary'!$B$16</x:f>
        <x:v>64.25862120407581</x:v>
      </x:c>
      <x:c r="K20" s="40" t="n">
        <x:f>IF(C20=1,J20,K19+J20)</x:f>
        <x:v>230.9288420415534</x:v>
      </x:c>
      <x:c r="L20" s="40" t="n">
        <x:f>IF(C20=12,K20*'Inputs &amp; Summary'!$B$11*'Inputs &amp; Summary'!$B$12,0)</x:f>
        <x:v>0</x:v>
      </x:c>
      <x:c r="M20" s="40" t="n">
        <x:f>MIN(L20,G20)</x:f>
        <x:v>0</x:v>
      </x:c>
      <x:c r="N20" s="40" t="n">
        <x:f>MAX(0,L20-M20)</x:f>
        <x:v>0</x:v>
      </x:c>
      <x:c r="O20" s="40" t="n">
        <x:f>IF(ABS(MAX(0,G20-M20))&lt;0.00000001,0,MAX(0,G20-M20))</x:f>
        <x:v>407328.6424256134</x:v>
      </x:c>
      <x:c r="P20" s="40" t="n">
        <x:f>MAX(0,D20-O20)</x:f>
        <x:v>808.2275059418171</x:v>
      </x:c>
      <x:c r="Q20" s="40" t="n">
        <x:f>MAX(0,'Inputs &amp; Summary'!$B$19*'Inputs &amp; Summary'!$B$4-O20-I20)</x:f>
        <x:v>35808.22750594182</x:v>
      </x:c>
      <x:c r="R20" s="40" t="n">
        <x:f>MIN(P20,Q20)</x:f>
        <x:v>808.2275059418171</x:v>
      </x:c>
      <x:c r="S20" s="40" t="n">
        <x:f>I20+R20</x:f>
        <x:v>12671.35757438658</x:v>
      </x:c>
      <x:c r="T20" s="40" t="n">
        <x:f>U19</x:f>
        <x:v>12269.920008264884</x:v>
      </x:c>
      <x:c r="U20" s="40" t="n">
        <x:f>T20*(1+'Inputs &amp; Summary'!$B$17)+R20+N20+H20</x:f>
        <x:v>13137.871970279644</x:v>
      </x:c>
      <x:c r="V20" s="40" t="n">
        <x:f>Y19</x:f>
        <x:v>408234.7615991564</x:v>
      </x:c>
      <x:c r="W20" s="40" t="n">
        <x:f>V20*'Inputs &amp; Summary'!$B$15</x:f>
        <x:v>1516.722600886095</x:v>
      </x:c>
      <x:c r="X20" s="40" t="n">
        <x:f>IF(V20&lt;=0.00000001,0,MIN('Inputs &amp; Summary'!$B$18,V20+W20))</x:f>
        <x:v>2324.586407999052</x:v>
      </x:c>
      <x:c r="Y20" s="40" t="n">
        <x:f>IF(ABS(MAX(0,V20+W20-X20))&lt;0.00000001,0,MAX(0,V20+W20-X20))</x:f>
        <x:v>407426.89779204346</x:v>
      </x:c>
      <x:c r="Z20" s="40" t="n">
        <x:f>MAX(0,'Inputs &amp; Summary'!$B$18-X20)</x:f>
        <x:v>0</x:v>
      </x:c>
      <x:c r="AA20" s="40" t="n">
        <x:f>AC19</x:f>
        <x:v>452.68055827658156</x:v>
      </x:c>
      <x:c r="AB20" s="40" t="n">
        <x:f>J20</x:f>
        <x:v>64.25862120407581</x:v>
      </x:c>
      <x:c r="AC20" s="40" t="n">
        <x:f>AA20*(1+'Inputs &amp; Summary'!$B$17)+Z20+AB20</x:f>
        <x:v>519.1426249880163</x:v>
      </x:c>
      <x:c r="AD20" s="40" t="n">
        <x:f>F20+H20+J20</x:f>
        <x:v>2388.845029203128</x:v>
      </x:c>
      <x:c r="AE20" s="40" t="n">
        <x:f>X20+Z20+AB20</x:f>
        <x:v>2388.845029203128</x:v>
      </x:c>
      <x:c r="AF20" s="40" t="n">
        <x:f>AD20-AE20</x:f>
        <x:v>0</x:v>
      </x:c>
      <x:c r="AG20" s="42" t="n">
        <x:f>(O20+S20)/'Inputs &amp; Summary'!$B$4</x:f>
        <x:v>0.6</x:v>
      </x:c>
      <x:c r="AH20" s="40" t="n">
        <x:f>U20-O20-S20</x:f>
        <x:v>-406862.12802972033</x:v>
      </x:c>
      <x:c r="AI20" s="40" t="n">
        <x:f>AC20-Y20</x:f>
        <x:v>-406907.75516705547</x:v>
      </x:c>
      <x:c r="AJ20" s="40" t="n">
        <x:f>AH20-AI20</x:f>
        <x:v>45.62713733513374</x:v>
      </x:c>
    </x:row>
    <x:row r="21">
      <x:c r="A21" t="n">
        <x:f>A20+1</x:f>
        <x:v>17</x:v>
      </x:c>
      <x:c r="B21" t="n">
        <x:f>INT((A21-1)/12)+1</x:f>
        <x:v>2</x:v>
      </x:c>
      <x:c r="C21" t="n">
        <x:f>MOD(A21-1,12)+1</x:f>
        <x:v>5</x:v>
      </x:c>
      <x:c r="D21" s="40" t="n">
        <x:f>O20</x:f>
        <x:v>407328.6424256134</x:v>
      </x:c>
      <x:c r="E21" s="40" t="n">
        <x:f>D21*'Inputs &amp; Summary'!$B$15</x:f>
        <x:v>1513.3560785835227</x:v>
      </x:c>
      <x:c r="F21" s="40" t="n">
        <x:f>IF(D21&lt;=0.00000001,0,MIN('Inputs &amp; Summary'!$B$18,D21+E21))</x:f>
        <x:v>2324.586407999052</x:v>
      </x:c>
      <x:c r="G21" s="40" t="n">
        <x:f>IF(ABS(MAX(0,D21+E21-F21))&lt;0.00000001,0,MAX(0,D21+E21-F21))</x:f>
        <x:v>406517.4120961979</x:v>
      </x:c>
      <x:c r="H21" s="40" t="n">
        <x:f>MAX(0,'Inputs &amp; Summary'!$B$18-F21)</x:f>
        <x:v>0</x:v>
      </x:c>
      <x:c r="I21" s="40" t="n">
        <x:f>S20</x:f>
        <x:v>12671.35757438658</x:v>
      </x:c>
      <x:c r="J21" s="40" t="n">
        <x:f>I21*'Inputs &amp; Summary'!$B$16</x:f>
        <x:v>68.63652019459398</x:v>
      </x:c>
      <x:c r="K21" s="40" t="n">
        <x:f>IF(C21=1,J21,K20+J21)</x:f>
        <x:v>299.5653622361474</x:v>
      </x:c>
      <x:c r="L21" s="40" t="n">
        <x:f>IF(C21=12,K21*'Inputs &amp; Summary'!$B$11*'Inputs &amp; Summary'!$B$12,0)</x:f>
        <x:v>0</x:v>
      </x:c>
      <x:c r="M21" s="40" t="n">
        <x:f>MIN(L21,G21)</x:f>
        <x:v>0</x:v>
      </x:c>
      <x:c r="N21" s="40" t="n">
        <x:f>MAX(0,L21-M21)</x:f>
        <x:v>0</x:v>
      </x:c>
      <x:c r="O21" s="40" t="n">
        <x:f>IF(ABS(MAX(0,G21-M21))&lt;0.00000001,0,MAX(0,G21-M21))</x:f>
        <x:v>406517.4120961979</x:v>
      </x:c>
      <x:c r="P21" s="40" t="n">
        <x:f>MAX(0,D21-O21)</x:f>
        <x:v>811.2303294155281</x:v>
      </x:c>
      <x:c r="Q21" s="40" t="n">
        <x:f>MAX(0,'Inputs &amp; Summary'!$B$19*'Inputs &amp; Summary'!$B$4-O21-I21)</x:f>
        <x:v>35811.23032941553</x:v>
      </x:c>
      <x:c r="R21" s="40" t="n">
        <x:f>MIN(P21,Q21)</x:f>
        <x:v>811.2303294155281</x:v>
      </x:c>
      <x:c r="S21" s="40" t="n">
        <x:f>I21+R21</x:f>
        <x:v>13482.587903802108</x:v>
      </x:c>
      <x:c r="T21" s="40" t="n">
        <x:f>U20</x:f>
        <x:v>13137.871970279644</x:v>
      </x:c>
      <x:c r="U21" s="40" t="n">
        <x:f>T21*(1+'Inputs &amp; Summary'!$B$17)+R21+N21+H21</x:f>
        <x:v>14013.051555831511</x:v>
      </x:c>
      <x:c r="V21" s="40" t="n">
        <x:f>Y20</x:f>
        <x:v>407426.89779204346</x:v>
      </x:c>
      <x:c r="W21" s="40" t="n">
        <x:f>V21*'Inputs &amp; Summary'!$B$15</x:f>
        <x:v>1513.72112866975</x:v>
      </x:c>
      <x:c r="X21" s="40" t="n">
        <x:f>IF(V21&lt;=0.00000001,0,MIN('Inputs &amp; Summary'!$B$18,V21+W21))</x:f>
        <x:v>2324.586407999052</x:v>
      </x:c>
      <x:c r="Y21" s="40" t="n">
        <x:f>IF(ABS(MAX(0,V21+W21-X21))&lt;0.00000001,0,MAX(0,V21+W21-X21))</x:f>
        <x:v>406616.03251271416</x:v>
      </x:c>
      <x:c r="Z21" s="40" t="n">
        <x:f>MAX(0,'Inputs &amp; Summary'!$B$18-X21)</x:f>
        <x:v>0</x:v>
      </x:c>
      <x:c r="AA21" s="40" t="n">
        <x:f>AC20</x:f>
        <x:v>519.1426249880163</x:v>
      </x:c>
      <x:c r="AB21" s="40" t="n">
        <x:f>J21</x:f>
        <x:v>68.63652019459398</x:v>
      </x:c>
      <x:c r="AC21" s="40" t="n">
        <x:f>AA21*(1+'Inputs &amp; Summary'!$B$17)+Z21+AB21</x:f>
        <x:v>590.3060981603645</x:v>
      </x:c>
      <x:c r="AD21" s="40" t="n">
        <x:f>F21+H21+J21</x:f>
        <x:v>2393.222928193646</x:v>
      </x:c>
      <x:c r="AE21" s="40" t="n">
        <x:f>X21+Z21+AB21</x:f>
        <x:v>2393.222928193646</x:v>
      </x:c>
      <x:c r="AF21" s="40" t="n">
        <x:f>AD21-AE21</x:f>
        <x:v>0</x:v>
      </x:c>
      <x:c r="AG21" s="42" t="n">
        <x:f>(O21+S21)/'Inputs &amp; Summary'!$B$4</x:f>
        <x:v>0.6</x:v>
      </x:c>
      <x:c r="AH21" s="40" t="n">
        <x:f>U21-O21-S21</x:f>
        <x:v>-405986.9484441685</x:v>
      </x:c>
      <x:c r="AI21" s="40" t="n">
        <x:f>AC21-Y21</x:f>
        <x:v>-406025.72641455376</x:v>
      </x:c>
      <x:c r="AJ21" s="40" t="n">
        <x:f>AH21-AI21</x:f>
        <x:v>38.777970385272056</x:v>
      </x:c>
    </x:row>
    <x:row r="22">
      <x:c r="A22" t="n">
        <x:f>A21+1</x:f>
        <x:v>18</x:v>
      </x:c>
      <x:c r="B22" t="n">
        <x:f>INT((A22-1)/12)+1</x:f>
        <x:v>2</x:v>
      </x:c>
      <x:c r="C22" t="n">
        <x:f>MOD(A22-1,12)+1</x:f>
        <x:v>6</x:v>
      </x:c>
      <x:c r="D22" s="40" t="n">
        <x:f>O21</x:f>
        <x:v>406517.4120961979</x:v>
      </x:c>
      <x:c r="E22" s="40" t="n">
        <x:f>D22*'Inputs &amp; Summary'!$B$15</x:f>
        <x:v>1510.3420986609678</x:v>
      </x:c>
      <x:c r="F22" s="40" t="n">
        <x:f>IF(D22&lt;=0.00000001,0,MIN('Inputs &amp; Summary'!$B$18,D22+E22))</x:f>
        <x:v>2324.586407999052</x:v>
      </x:c>
      <x:c r="G22" s="40" t="n">
        <x:f>IF(ABS(MAX(0,D22+E22-F22))&lt;0.00000001,0,MAX(0,D22+E22-F22))</x:f>
        <x:v>405703.1677868598</x:v>
      </x:c>
      <x:c r="H22" s="40" t="n">
        <x:f>MAX(0,'Inputs &amp; Summary'!$B$18-F22)</x:f>
        <x:v>0</x:v>
      </x:c>
      <x:c r="I22" s="40" t="n">
        <x:f>S21</x:f>
        <x:v>13482.587903802108</x:v>
      </x:c>
      <x:c r="J22" s="40" t="n">
        <x:f>I22*'Inputs &amp; Summary'!$B$16</x:f>
        <x:v>73.0306844789281</x:v>
      </x:c>
      <x:c r="K22" s="40" t="n">
        <x:f>IF(C22=1,J22,K21+J22)</x:f>
        <x:v>372.5960467150755</x:v>
      </x:c>
      <x:c r="L22" s="40" t="n">
        <x:f>IF(C22=12,K22*'Inputs &amp; Summary'!$B$11*'Inputs &amp; Summary'!$B$12,0)</x:f>
        <x:v>0</x:v>
      </x:c>
      <x:c r="M22" s="40" t="n">
        <x:f>MIN(L22,G22)</x:f>
        <x:v>0</x:v>
      </x:c>
      <x:c r="N22" s="40" t="n">
        <x:f>MAX(0,L22-M22)</x:f>
        <x:v>0</x:v>
      </x:c>
      <x:c r="O22" s="40" t="n">
        <x:f>IF(ABS(MAX(0,G22-M22))&lt;0.00000001,0,MAX(0,G22-M22))</x:f>
        <x:v>405703.1677868598</x:v>
      </x:c>
      <x:c r="P22" s="40" t="n">
        <x:f>MAX(0,D22-O22)</x:f>
        <x:v>814.2443093381007</x:v>
      </x:c>
      <x:c r="Q22" s="40" t="n">
        <x:f>MAX(0,'Inputs &amp; Summary'!$B$19*'Inputs &amp; Summary'!$B$4-O22-I22)</x:f>
        <x:v>35814.2443093381</x:v>
      </x:c>
      <x:c r="R22" s="40" t="n">
        <x:f>MIN(P22,Q22)</x:f>
        <x:v>814.2443093381007</x:v>
      </x:c>
      <x:c r="S22" s="40" t="n">
        <x:f>I22+R22</x:f>
        <x:v>14296.83221314021</x:v>
      </x:c>
      <x:c r="T22" s="40" t="n">
        <x:f>U21</x:f>
        <x:v>14013.051555831511</x:v>
      </x:c>
      <x:c r="U22" s="40" t="n">
        <x:f>T22*(1+'Inputs &amp; Summary'!$B$17)+R22+N22+H22</x:f>
        <x:v>14895.505102192381</x:v>
      </x:c>
      <x:c r="V22" s="40" t="n">
        <x:f>Y21</x:f>
        <x:v>406616.03251271416</x:v>
      </x:c>
      <x:c r="W22" s="40" t="n">
        <x:f>V22*'Inputs &amp; Summary'!$B$15</x:f>
        <x:v>1510.7085050249264</x:v>
      </x:c>
      <x:c r="X22" s="40" t="n">
        <x:f>IF(V22&lt;=0.00000001,0,MIN('Inputs &amp; Summary'!$B$18,V22+W22))</x:f>
        <x:v>2324.586407999052</x:v>
      </x:c>
      <x:c r="Y22" s="40" t="n">
        <x:f>IF(ABS(MAX(0,V22+W22-X22))&lt;0.00000001,0,MAX(0,V22+W22-X22))</x:f>
        <x:v>405802.15460974</x:v>
      </x:c>
      <x:c r="Z22" s="40" t="n">
        <x:f>MAX(0,'Inputs &amp; Summary'!$B$18-X22)</x:f>
        <x:v>0</x:v>
      </x:c>
      <x:c r="AA22" s="40" t="n">
        <x:f>AC21</x:f>
        <x:v>590.3060981603645</x:v>
      </x:c>
      <x:c r="AB22" s="40" t="n">
        <x:f>J22</x:f>
        <x:v>73.0306844789281</x:v>
      </x:c>
      <x:c r="AC22" s="40" t="n">
        <x:f>AA22*(1+'Inputs &amp; Summary'!$B$17)+Z22+AB22</x:f>
        <x:v>666.2101274211186</x:v>
      </x:c>
      <x:c r="AD22" s="40" t="n">
        <x:f>F22+H22+J22</x:f>
        <x:v>2397.61709247798</x:v>
      </x:c>
      <x:c r="AE22" s="40" t="n">
        <x:f>X22+Z22+AB22</x:f>
        <x:v>2397.61709247798</x:v>
      </x:c>
      <x:c r="AF22" s="40" t="n">
        <x:f>AD22-AE22</x:f>
        <x:v>0</x:v>
      </x:c>
      <x:c r="AG22" s="42" t="n">
        <x:f>(O22+S22)/'Inputs &amp; Summary'!$B$4</x:f>
        <x:v>0.6</x:v>
      </x:c>
      <x:c r="AH22" s="40" t="n">
        <x:f>U22-O22-S22</x:f>
        <x:v>-405104.4948978076</x:v>
      </x:c>
      <x:c r="AI22" s="40" t="n">
        <x:f>AC22-Y22</x:f>
        <x:v>-405135.9444823189</x:v>
      </x:c>
      <x:c r="AJ22" s="40" t="n">
        <x:f>AH22-AI22</x:f>
        <x:v>31.44958451128332</x:v>
      </x:c>
    </x:row>
    <x:row r="23">
      <x:c r="A23" t="n">
        <x:f>A22+1</x:f>
        <x:v>19</x:v>
      </x:c>
      <x:c r="B23" t="n">
        <x:f>INT((A23-1)/12)+1</x:f>
        <x:v>2</x:v>
      </x:c>
      <x:c r="C23" t="n">
        <x:f>MOD(A23-1,12)+1</x:f>
        <x:v>7</x:v>
      </x:c>
      <x:c r="D23" s="40" t="n">
        <x:f>O22</x:f>
        <x:v>405703.1677868598</x:v>
      </x:c>
      <x:c r="E23" s="40" t="n">
        <x:f>D23*'Inputs &amp; Summary'!$B$15</x:f>
        <x:v>1507.3169208398087</x:v>
      </x:c>
      <x:c r="F23" s="40" t="n">
        <x:f>IF(D23&lt;=0.00000001,0,MIN('Inputs &amp; Summary'!$B$18,D23+E23))</x:f>
        <x:v>2324.586407999052</x:v>
      </x:c>
      <x:c r="G23" s="40" t="n">
        <x:f>IF(ABS(MAX(0,D23+E23-F23))&lt;0.00000001,0,MAX(0,D23+E23-F23))</x:f>
        <x:v>404885.8982997006</x:v>
      </x:c>
      <x:c r="H23" s="40" t="n">
        <x:f>MAX(0,'Inputs &amp; Summary'!$B$18-F23)</x:f>
        <x:v>0</x:v>
      </x:c>
      <x:c r="I23" s="40" t="n">
        <x:f>S22</x:f>
        <x:v>14296.83221314021</x:v>
      </x:c>
      <x:c r="J23" s="40" t="n">
        <x:f>I23*'Inputs &amp; Summary'!$B$16</x:f>
        <x:v>77.4411744878428</x:v>
      </x:c>
      <x:c r="K23" s="40" t="n">
        <x:f>IF(C23=1,J23,K22+J23)</x:f>
        <x:v>450.0372212029183</x:v>
      </x:c>
      <x:c r="L23" s="40" t="n">
        <x:f>IF(C23=12,K23*'Inputs &amp; Summary'!$B$11*'Inputs &amp; Summary'!$B$12,0)</x:f>
        <x:v>0</x:v>
      </x:c>
      <x:c r="M23" s="40" t="n">
        <x:f>MIN(L23,G23)</x:f>
        <x:v>0</x:v>
      </x:c>
      <x:c r="N23" s="40" t="n">
        <x:f>MAX(0,L23-M23)</x:f>
        <x:v>0</x:v>
      </x:c>
      <x:c r="O23" s="40" t="n">
        <x:f>IF(ABS(MAX(0,G23-M23))&lt;0.00000001,0,MAX(0,G23-M23))</x:f>
        <x:v>404885.8982997006</x:v>
      </x:c>
      <x:c r="P23" s="40" t="n">
        <x:f>MAX(0,D23-O23)</x:f>
        <x:v>817.2694871592103</x:v>
      </x:c>
      <x:c r="Q23" s="40" t="n">
        <x:f>MAX(0,'Inputs &amp; Summary'!$B$19*'Inputs &amp; Summary'!$B$4-O23-I23)</x:f>
        <x:v>35817.26948715921</x:v>
      </x:c>
      <x:c r="R23" s="40" t="n">
        <x:f>MIN(P23,Q23)</x:f>
        <x:v>817.2694871592103</x:v>
      </x:c>
      <x:c r="S23" s="40" t="n">
        <x:f>I23+R23</x:f>
        <x:v>15114.10170029942</x:v>
      </x:c>
      <x:c r="T23" s="40" t="n">
        <x:f>U22</x:f>
        <x:v>14895.505102192381</x:v>
      </x:c>
      <x:c r="U23" s="40" t="n">
        <x:f>T23*(1+'Inputs &amp; Summary'!$B$17)+R23+N23+H23</x:f>
        <x:v>15785.279213632837</x:v>
      </x:c>
      <x:c r="V23" s="40" t="n">
        <x:f>Y22</x:f>
        <x:v>405802.15460974</x:v>
      </x:c>
      <x:c r="W23" s="40" t="n">
        <x:f>V23*'Inputs &amp; Summary'!$B$15</x:f>
        <x:v>1507.6846885205034</x:v>
      </x:c>
      <x:c r="X23" s="40" t="n">
        <x:f>IF(V23&lt;=0.00000001,0,MIN('Inputs &amp; Summary'!$B$18,V23+W23))</x:f>
        <x:v>2324.586407999052</x:v>
      </x:c>
      <x:c r="Y23" s="40" t="n">
        <x:f>IF(ABS(MAX(0,V23+W23-X23))&lt;0.00000001,0,MAX(0,V23+W23-X23))</x:f>
        <x:v>404985.2528902615</x:v>
      </x:c>
      <x:c r="Z23" s="40" t="n">
        <x:f>MAX(0,'Inputs &amp; Summary'!$B$18-X23)</x:f>
        <x:v>0</x:v>
      </x:c>
      <x:c r="AA23" s="40" t="n">
        <x:f>AC22</x:f>
        <x:v>666.2101274211186</x:v>
      </x:c>
      <x:c r="AB23" s="40" t="n">
        <x:f>J23</x:f>
        <x:v>77.4411744878428</x:v>
      </x:c>
      <x:c r="AC23" s="40" t="n">
        <x:f>AA23*(1+'Inputs &amp; Summary'!$B$17)+Z23+AB23</x:f>
        <x:v>746.8941133913273</x:v>
      </x:c>
      <x:c r="AD23" s="40" t="n">
        <x:f>F23+H23+J23</x:f>
        <x:v>2402.027582486895</x:v>
      </x:c>
      <x:c r="AE23" s="40" t="n">
        <x:f>X23+Z23+AB23</x:f>
        <x:v>2402.027582486895</x:v>
      </x:c>
      <x:c r="AF23" s="40" t="n">
        <x:f>AD23-AE23</x:f>
        <x:v>0</x:v>
      </x:c>
      <x:c r="AG23" s="42" t="n">
        <x:f>(O23+S23)/'Inputs &amp; Summary'!$B$4</x:f>
        <x:v>0.6</x:v>
      </x:c>
      <x:c r="AH23" s="40" t="n">
        <x:f>U23-O23-S23</x:f>
        <x:v>-404214.72078636714</x:v>
      </x:c>
      <x:c r="AI23" s="40" t="n">
        <x:f>AC23-Y23</x:f>
        <x:v>-404238.3587768701</x:v>
      </x:c>
      <x:c r="AJ23" s="40" t="n">
        <x:f>AH23-AI23</x:f>
        <x:v>23.63799050298985</x:v>
      </x:c>
    </x:row>
    <x:row r="24">
      <x:c r="A24" t="n">
        <x:f>A23+1</x:f>
        <x:v>20</x:v>
      </x:c>
      <x:c r="B24" t="n">
        <x:f>INT((A24-1)/12)+1</x:f>
        <x:v>2</x:v>
      </x:c>
      <x:c r="C24" t="n">
        <x:f>MOD(A24-1,12)+1</x:f>
        <x:v>8</x:v>
      </x:c>
      <x:c r="D24" s="40" t="n">
        <x:f>O23</x:f>
        <x:v>404885.8982997006</x:v>
      </x:c>
      <x:c r="E24" s="40" t="n">
        <x:f>D24*'Inputs &amp; Summary'!$B$15</x:f>
        <x:v>1504.2805035162735</x:v>
      </x:c>
      <x:c r="F24" s="40" t="n">
        <x:f>IF(D24&lt;=0.00000001,0,MIN('Inputs &amp; Summary'!$B$18,D24+E24))</x:f>
        <x:v>2324.586407999052</x:v>
      </x:c>
      <x:c r="G24" s="40" t="n">
        <x:f>IF(ABS(MAX(0,D24+E24-F24))&lt;0.00000001,0,MAX(0,D24+E24-F24))</x:f>
        <x:v>404065.5923952178</x:v>
      </x:c>
      <x:c r="H24" s="40" t="n">
        <x:f>MAX(0,'Inputs &amp; Summary'!$B$18-F24)</x:f>
        <x:v>0</x:v>
      </x:c>
      <x:c r="I24" s="40" t="n">
        <x:f>S23</x:f>
        <x:v>15114.10170029942</x:v>
      </x:c>
      <x:c r="J24" s="40" t="n">
        <x:f>I24*'Inputs &amp; Summary'!$B$16</x:f>
        <x:v>81.86805087662187</x:v>
      </x:c>
      <x:c r="K24" s="40" t="n">
        <x:f>IF(C24=1,J24,K23+J24)</x:f>
        <x:v>531.9052720795402</x:v>
      </x:c>
      <x:c r="L24" s="40" t="n">
        <x:f>IF(C24=12,K24*'Inputs &amp; Summary'!$B$11*'Inputs &amp; Summary'!$B$12,0)</x:f>
        <x:v>0</x:v>
      </x:c>
      <x:c r="M24" s="40" t="n">
        <x:f>MIN(L24,G24)</x:f>
        <x:v>0</x:v>
      </x:c>
      <x:c r="N24" s="40" t="n">
        <x:f>MAX(0,L24-M24)</x:f>
        <x:v>0</x:v>
      </x:c>
      <x:c r="O24" s="40" t="n">
        <x:f>IF(ABS(MAX(0,G24-M24))&lt;0.00000001,0,MAX(0,G24-M24))</x:f>
        <x:v>404065.5923952178</x:v>
      </x:c>
      <x:c r="P24" s="40" t="n">
        <x:f>MAX(0,D24-O24)</x:f>
        <x:v>820.3059044827824</x:v>
      </x:c>
      <x:c r="Q24" s="40" t="n">
        <x:f>MAX(0,'Inputs &amp; Summary'!$B$19*'Inputs &amp; Summary'!$B$4-O24-I24)</x:f>
        <x:v>35820.30590448278</x:v>
      </x:c>
      <x:c r="R24" s="40" t="n">
        <x:f>MIN(P24,Q24)</x:f>
        <x:v>820.3059044827824</x:v>
      </x:c>
      <x:c r="S24" s="40" t="n">
        <x:f>I24+R24</x:f>
        <x:v>15934.407604782202</x:v>
      </x:c>
      <x:c r="T24" s="40" t="n">
        <x:f>U23</x:f>
        <x:v>15785.279213632837</x:v>
      </x:c>
      <x:c r="U24" s="40" t="n">
        <x:f>T24*(1+'Inputs &amp; Summary'!$B$17)+R24+N24+H24</x:f>
        <x:v>16682.420762876034</x:v>
      </x:c>
      <x:c r="V24" s="40" t="n">
        <x:f>Y23</x:f>
        <x:v>404985.2528902615</x:v>
      </x:c>
      <x:c r="W24" s="40" t="n">
        <x:f>V24*'Inputs &amp; Summary'!$B$15</x:f>
        <x:v>1504.6496375714312</x:v>
      </x:c>
      <x:c r="X24" s="40" t="n">
        <x:f>IF(V24&lt;=0.00000001,0,MIN('Inputs &amp; Summary'!$B$18,V24+W24))</x:f>
        <x:v>2324.586407999052</x:v>
      </x:c>
      <x:c r="Y24" s="40" t="n">
        <x:f>IF(ABS(MAX(0,V24+W24-X24))&lt;0.00000001,0,MAX(0,V24+W24-X24))</x:f>
        <x:v>404165.31611983385</x:v>
      </x:c>
      <x:c r="Z24" s="40" t="n">
        <x:f>MAX(0,'Inputs &amp; Summary'!$B$18-X24)</x:f>
        <x:v>0</x:v>
      </x:c>
      <x:c r="AA24" s="40" t="n">
        <x:f>AC23</x:f>
        <x:v>746.8941133913273</x:v>
      </x:c>
      <x:c r="AB24" s="40" t="n">
        <x:f>J24</x:f>
        <x:v>81.86805087662187</x:v>
      </x:c>
      <x:c r="AC24" s="40" t="n">
        <x:f>AA24*(1+'Inputs &amp; Summary'!$B$17)+Z24+AB24</x:f>
        <x:v>832.3977091318385</x:v>
      </x:c>
      <x:c r="AD24" s="40" t="n">
        <x:f>F24+H24+J24</x:f>
        <x:v>2406.454458875674</x:v>
      </x:c>
      <x:c r="AE24" s="40" t="n">
        <x:f>X24+Z24+AB24</x:f>
        <x:v>2406.454458875674</x:v>
      </x:c>
      <x:c r="AF24" s="40" t="n">
        <x:f>AD24-AE24</x:f>
        <x:v>0</x:v>
      </x:c>
      <x:c r="AG24" s="42" t="n">
        <x:f>(O24+S24)/'Inputs &amp; Summary'!$B$4</x:f>
        <x:v>0.6</x:v>
      </x:c>
      <x:c r="AH24" s="40" t="n">
        <x:f>U24-O24-S24</x:f>
        <x:v>-403317.57923712395</x:v>
      </x:c>
      <x:c r="AI24" s="40" t="n">
        <x:f>AC24-Y24</x:f>
        <x:v>-403332.918410702</x:v>
      </x:c>
      <x:c r="AJ24" s="40" t="n">
        <x:f>AH24-AI24</x:f>
        <x:v>15.339173578075133</x:v>
      </x:c>
    </x:row>
    <x:row r="25">
      <x:c r="A25" t="n">
        <x:f>A24+1</x:f>
        <x:v>21</x:v>
      </x:c>
      <x:c r="B25" t="n">
        <x:f>INT((A25-1)/12)+1</x:f>
        <x:v>2</x:v>
      </x:c>
      <x:c r="C25" t="n">
        <x:f>MOD(A25-1,12)+1</x:f>
        <x:v>9</x:v>
      </x:c>
      <x:c r="D25" s="40" t="n">
        <x:f>O24</x:f>
        <x:v>404065.5923952178</x:v>
      </x:c>
      <x:c r="E25" s="40" t="n">
        <x:f>D25*'Inputs &amp; Summary'!$B$15</x:f>
        <x:v>1501.2328049320186</x:v>
      </x:c>
      <x:c r="F25" s="40" t="n">
        <x:f>IF(D25&lt;=0.00000001,0,MIN('Inputs &amp; Summary'!$B$18,D25+E25))</x:f>
        <x:v>2324.586407999052</x:v>
      </x:c>
      <x:c r="G25" s="40" t="n">
        <x:f>IF(ABS(MAX(0,D25+E25-F25))&lt;0.00000001,0,MAX(0,D25+E25-F25))</x:f>
        <x:v>403242.23879215075</x:v>
      </x:c>
      <x:c r="H25" s="40" t="n">
        <x:f>MAX(0,'Inputs &amp; Summary'!$B$18-F25)</x:f>
        <x:v>0</x:v>
      </x:c>
      <x:c r="I25" s="40" t="n">
        <x:f>S24</x:f>
        <x:v>15934.407604782202</x:v>
      </x:c>
      <x:c r="J25" s="40" t="n">
        <x:f>I25*'Inputs &amp; Summary'!$B$16</x:f>
        <x:v>86.3113745259036</x:v>
      </x:c>
      <x:c r="K25" s="40" t="n">
        <x:f>IF(C25=1,J25,K24+J25)</x:f>
        <x:v>618.2166466054438</x:v>
      </x:c>
      <x:c r="L25" s="40" t="n">
        <x:f>IF(C25=12,K25*'Inputs &amp; Summary'!$B$11*'Inputs &amp; Summary'!$B$12,0)</x:f>
        <x:v>0</x:v>
      </x:c>
      <x:c r="M25" s="40" t="n">
        <x:f>MIN(L25,G25)</x:f>
        <x:v>0</x:v>
      </x:c>
      <x:c r="N25" s="40" t="n">
        <x:f>MAX(0,L25-M25)</x:f>
        <x:v>0</x:v>
      </x:c>
      <x:c r="O25" s="40" t="n">
        <x:f>IF(ABS(MAX(0,G25-M25))&lt;0.00000001,0,MAX(0,G25-M25))</x:f>
        <x:v>403242.23879215075</x:v>
      </x:c>
      <x:c r="P25" s="40" t="n">
        <x:f>MAX(0,D25-O25)</x:f>
        <x:v>823.3536030670512</x:v>
      </x:c>
      <x:c r="Q25" s="40" t="n">
        <x:f>MAX(0,'Inputs &amp; Summary'!$B$19*'Inputs &amp; Summary'!$B$4-O25-I25)</x:f>
        <x:v>35823.35360306705</x:v>
      </x:c>
      <x:c r="R25" s="40" t="n">
        <x:f>MIN(P25,Q25)</x:f>
        <x:v>823.3536030670512</x:v>
      </x:c>
      <x:c r="S25" s="40" t="n">
        <x:f>I25+R25</x:f>
        <x:v>16757.761207849253</x:v>
      </x:c>
      <x:c r="T25" s="40" t="n">
        <x:f>U24</x:f>
        <x:v>16682.420762876034</x:v>
      </x:c>
      <x:c r="U25" s="40" t="n">
        <x:f>T25*(1+'Inputs &amp; Summary'!$B$17)+R25+N25+H25</x:f>
        <x:v>17586.976892558712</x:v>
      </x:c>
      <x:c r="V25" s="40" t="n">
        <x:f>Y24</x:f>
        <x:v>404165.31611983385</x:v>
      </x:c>
      <x:c r="W25" s="40" t="n">
        <x:f>V25*'Inputs &amp; Summary'!$B$15</x:f>
        <x:v>1501.6033104381572</x:v>
      </x:c>
      <x:c r="X25" s="40" t="n">
        <x:f>IF(V25&lt;=0.00000001,0,MIN('Inputs &amp; Summary'!$B$18,V25+W25))</x:f>
        <x:v>2324.586407999052</x:v>
      </x:c>
      <x:c r="Y25" s="40" t="n">
        <x:f>IF(ABS(MAX(0,V25+W25-X25))&lt;0.00000001,0,MAX(0,V25+W25-X25))</x:f>
        <x:v>403342.333022273</x:v>
      </x:c>
      <x:c r="Z25" s="40" t="n">
        <x:f>MAX(0,'Inputs &amp; Summary'!$B$18-X25)</x:f>
        <x:v>0</x:v>
      </x:c>
      <x:c r="AA25" s="40" t="n">
        <x:f>AC24</x:f>
        <x:v>832.3977091318385</x:v>
      </x:c>
      <x:c r="AB25" s="40" t="n">
        <x:f>J25</x:f>
        <x:v>86.3113745259036</x:v>
      </x:c>
      <x:c r="AC25" s="40" t="n">
        <x:f>AA25*(1+'Inputs &amp; Summary'!$B$17)+Z25+AB25</x:f>
        <x:v>922.760821597417</x:v>
      </x:c>
      <x:c r="AD25" s="40" t="n">
        <x:f>F25+H25+J25</x:f>
        <x:v>2410.897782524956</x:v>
      </x:c>
      <x:c r="AE25" s="40" t="n">
        <x:f>X25+Z25+AB25</x:f>
        <x:v>2410.897782524956</x:v>
      </x:c>
      <x:c r="AF25" s="40" t="n">
        <x:f>AD25-AE25</x:f>
        <x:v>0</x:v>
      </x:c>
      <x:c r="AG25" s="42" t="n">
        <x:f>(O25+S25)/'Inputs &amp; Summary'!$B$4</x:f>
        <x:v>0.6</x:v>
      </x:c>
      <x:c r="AH25" s="40" t="n">
        <x:f>U25-O25-S25</x:f>
        <x:v>-402413.02310744126</x:v>
      </x:c>
      <x:c r="AI25" s="40" t="n">
        <x:f>AC25-Y25</x:f>
        <x:v>-402419.57220067555</x:v>
      </x:c>
      <x:c r="AJ25" s="40" t="n">
        <x:f>AH25-AI25</x:f>
        <x:v>6.54909323429456</x:v>
      </x:c>
    </x:row>
    <x:row r="26">
      <x:c r="A26" t="n">
        <x:f>A25+1</x:f>
        <x:v>22</x:v>
      </x:c>
      <x:c r="B26" t="n">
        <x:f>INT((A26-1)/12)+1</x:f>
        <x:v>2</x:v>
      </x:c>
      <x:c r="C26" t="n">
        <x:f>MOD(A26-1,12)+1</x:f>
        <x:v>10</x:v>
      </x:c>
      <x:c r="D26" s="40" t="n">
        <x:f>O25</x:f>
        <x:v>403242.23879215075</x:v>
      </x:c>
      <x:c r="E26" s="40" t="n">
        <x:f>D26*'Inputs &amp; Summary'!$B$15</x:f>
        <x:v>1498.1737831735554</x:v>
      </x:c>
      <x:c r="F26" s="40" t="n">
        <x:f>IF(D26&lt;=0.00000001,0,MIN('Inputs &amp; Summary'!$B$18,D26+E26))</x:f>
        <x:v>2324.586407999052</x:v>
      </x:c>
      <x:c r="G26" s="40" t="n">
        <x:f>IF(ABS(MAX(0,D26+E26-F26))&lt;0.00000001,0,MAX(0,D26+E26-F26))</x:f>
        <x:v>402415.82616732526</x:v>
      </x:c>
      <x:c r="H26" s="40" t="n">
        <x:f>MAX(0,'Inputs &amp; Summary'!$B$18-F26)</x:f>
        <x:v>0</x:v>
      </x:c>
      <x:c r="I26" s="40" t="n">
        <x:f>S25</x:f>
        <x:v>16757.761207849253</x:v>
      </x:c>
      <x:c r="J26" s="40" t="n">
        <x:f>I26*'Inputs &amp; Summary'!$B$16</x:f>
        <x:v>90.7712065425168</x:v>
      </x:c>
      <x:c r="K26" s="40" t="n">
        <x:f>IF(C26=1,J26,K25+J26)</x:f>
        <x:v>708.9878531479605</x:v>
      </x:c>
      <x:c r="L26" s="40" t="n">
        <x:f>IF(C26=12,K26*'Inputs &amp; Summary'!$B$11*'Inputs &amp; Summary'!$B$12,0)</x:f>
        <x:v>0</x:v>
      </x:c>
      <x:c r="M26" s="40" t="n">
        <x:f>MIN(L26,G26)</x:f>
        <x:v>0</x:v>
      </x:c>
      <x:c r="N26" s="40" t="n">
        <x:f>MAX(0,L26-M26)</x:f>
        <x:v>0</x:v>
      </x:c>
      <x:c r="O26" s="40" t="n">
        <x:f>IF(ABS(MAX(0,G26-M26))&lt;0.00000001,0,MAX(0,G26-M26))</x:f>
        <x:v>402415.82616732526</x:v>
      </x:c>
      <x:c r="P26" s="40" t="n">
        <x:f>MAX(0,D26-O26)</x:f>
        <x:v>826.4126248254906</x:v>
      </x:c>
      <x:c r="Q26" s="40" t="n">
        <x:f>MAX(0,'Inputs &amp; Summary'!$B$19*'Inputs &amp; Summary'!$B$4-O26-I26)</x:f>
        <x:v>35826.41262482549</x:v>
      </x:c>
      <x:c r="R26" s="40" t="n">
        <x:f>MIN(P26,Q26)</x:f>
        <x:v>826.4126248254906</x:v>
      </x:c>
      <x:c r="S26" s="40" t="n">
        <x:f>I26+R26</x:f>
        <x:v>17584.173832674744</x:v>
      </x:c>
      <x:c r="T26" s="40" t="n">
        <x:f>U25</x:f>
        <x:v>17586.976892558712</x:v>
      </x:c>
      <x:c r="U26" s="40" t="n">
        <x:f>T26*(1+'Inputs &amp; Summary'!$B$17)+R26+N26+H26</x:f>
        <x:v>18498.995016700253</x:v>
      </x:c>
      <x:c r="V26" s="40" t="n">
        <x:f>Y25</x:f>
        <x:v>403342.333022273</x:v>
      </x:c>
      <x:c r="W26" s="40" t="n">
        <x:f>V26*'Inputs &amp; Summary'!$B$15</x:f>
        <x:v>1498.5456652260539</x:v>
      </x:c>
      <x:c r="X26" s="40" t="n">
        <x:f>IF(V26&lt;=0.00000001,0,MIN('Inputs &amp; Summary'!$B$18,V26+W26))</x:f>
        <x:v>2324.586407999052</x:v>
      </x:c>
      <x:c r="Y26" s="40" t="n">
        <x:f>IF(ABS(MAX(0,V26+W26-X26))&lt;0.00000001,0,MAX(0,V26+W26-X26))</x:f>
        <x:v>402516.2922795</x:v>
      </x:c>
      <x:c r="Z26" s="40" t="n">
        <x:f>MAX(0,'Inputs &amp; Summary'!$B$18-X26)</x:f>
        <x:v>0</x:v>
      </x:c>
      <x:c r="AA26" s="40" t="n">
        <x:f>AC25</x:f>
        <x:v>922.760821597417</x:v>
      </x:c>
      <x:c r="AB26" s="40" t="n">
        <x:f>J26</x:f>
        <x:v>90.7712065425168</x:v>
      </x:c>
      <x:c r="AC26" s="40" t="n">
        <x:f>AA26*(1+'Inputs &amp; Summary'!$B$17)+Z26+AB26</x:f>
        <x:v>1018.0236130987768</x:v>
      </x:c>
      <x:c r="AD26" s="40" t="n">
        <x:f>F26+H26+J26</x:f>
        <x:v>2415.3576145415686</x:v>
      </x:c>
      <x:c r="AE26" s="40" t="n">
        <x:f>X26+Z26+AB26</x:f>
        <x:v>2415.3576145415686</x:v>
      </x:c>
      <x:c r="AF26" s="40" t="n">
        <x:f>AD26-AE26</x:f>
        <x:v>0</x:v>
      </x:c>
      <x:c r="AG26" s="42" t="n">
        <x:f>(O26+S26)/'Inputs &amp; Summary'!$B$4</x:f>
        <x:v>0.6</x:v>
      </x:c>
      <x:c r="AH26" s="40" t="n">
        <x:f>U26-O26-S26</x:f>
        <x:v>-401501.00498329976</x:v>
      </x:c>
      <x:c r="AI26" s="40" t="n">
        <x:f>AC26-Y26</x:f>
        <x:v>-401498.2686664012</x:v>
      </x:c>
      <x:c r="AJ26" s="40" t="n">
        <x:f>AH26-AI26</x:f>
        <x:v>-2.7363168985466473</x:v>
      </x:c>
    </x:row>
    <x:row r="27">
      <x:c r="A27" t="n">
        <x:f>A26+1</x:f>
        <x:v>23</x:v>
      </x:c>
      <x:c r="B27" t="n">
        <x:f>INT((A27-1)/12)+1</x:f>
        <x:v>2</x:v>
      </x:c>
      <x:c r="C27" t="n">
        <x:f>MOD(A27-1,12)+1</x:f>
        <x:v>11</x:v>
      </x:c>
      <x:c r="D27" s="40" t="n">
        <x:f>O26</x:f>
        <x:v>402415.82616732526</x:v>
      </x:c>
      <x:c r="E27" s="40" t="n">
        <x:f>D27*'Inputs &amp; Summary'!$B$15</x:f>
        <x:v>1495.1033961716737</x:v>
      </x:c>
      <x:c r="F27" s="40" t="n">
        <x:f>IF(D27&lt;=0.00000001,0,MIN('Inputs &amp; Summary'!$B$18,D27+E27))</x:f>
        <x:v>2324.586407999052</x:v>
      </x:c>
      <x:c r="G27" s="40" t="n">
        <x:f>IF(ABS(MAX(0,D27+E27-F27))&lt;0.00000001,0,MAX(0,D27+E27-F27))</x:f>
        <x:v>401586.34315549786</x:v>
      </x:c>
      <x:c r="H27" s="40" t="n">
        <x:f>MAX(0,'Inputs &amp; Summary'!$B$18-F27)</x:f>
        <x:v>0</x:v>
      </x:c>
      <x:c r="I27" s="40" t="n">
        <x:f>S26</x:f>
        <x:v>17584.173832674744</x:v>
      </x:c>
      <x:c r="J27" s="40" t="n">
        <x:f>I27*'Inputs &amp; Summary'!$B$16</x:f>
        <x:v>95.24760826032153</x:v>
      </x:c>
      <x:c r="K27" s="40" t="n">
        <x:f>IF(C27=1,J27,K26+J27)</x:f>
        <x:v>804.235461408282</x:v>
      </x:c>
      <x:c r="L27" s="40" t="n">
        <x:f>IF(C27=12,K27*'Inputs &amp; Summary'!$B$11*'Inputs &amp; Summary'!$B$12,0)</x:f>
        <x:v>0</x:v>
      </x:c>
      <x:c r="M27" s="40" t="n">
        <x:f>MIN(L27,G27)</x:f>
        <x:v>0</x:v>
      </x:c>
      <x:c r="N27" s="40" t="n">
        <x:f>MAX(0,L27-M27)</x:f>
        <x:v>0</x:v>
      </x:c>
      <x:c r="O27" s="40" t="n">
        <x:f>IF(ABS(MAX(0,G27-M27))&lt;0.00000001,0,MAX(0,G27-M27))</x:f>
        <x:v>401586.34315549786</x:v>
      </x:c>
      <x:c r="P27" s="40" t="n">
        <x:f>MAX(0,D27-O27)</x:f>
        <x:v>829.4830118273967</x:v>
      </x:c>
      <x:c r="Q27" s="40" t="n">
        <x:f>MAX(0,'Inputs &amp; Summary'!$B$19*'Inputs &amp; Summary'!$B$4-O27-I27)</x:f>
        <x:v>35829.4830118274</x:v>
      </x:c>
      <x:c r="R27" s="40" t="n">
        <x:f>MIN(P27,Q27)</x:f>
        <x:v>829.4830118273967</x:v>
      </x:c>
      <x:c r="S27" s="40" t="n">
        <x:f>I27+R27</x:f>
        <x:v>18413.65684450214</x:v>
      </x:c>
      <x:c r="T27" s="40" t="n">
        <x:f>U26</x:f>
        <x:v>18498.995016700253</x:v>
      </x:c>
      <x:c r="U27" s="40" t="n">
        <x:f>T27*(1+'Inputs &amp; Summary'!$B$17)+R27+N27+H27</x:f>
        <x:v>19418.522822179468</x:v>
      </x:c>
      <x:c r="V27" s="40" t="n">
        <x:f>Y26</x:f>
        <x:v>402516.2922795</x:v>
      </x:c>
      <x:c r="W27" s="40" t="n">
        <x:f>V27*'Inputs &amp; Summary'!$B$15</x:f>
        <x:v>1495.4766598848412</x:v>
      </x:c>
      <x:c r="X27" s="40" t="n">
        <x:f>IF(V27&lt;=0.00000001,0,MIN('Inputs &amp; Summary'!$B$18,V27+W27))</x:f>
        <x:v>2324.586407999052</x:v>
      </x:c>
      <x:c r="Y27" s="40" t="n">
        <x:f>IF(ABS(MAX(0,V27+W27-X27))&lt;0.00000001,0,MAX(0,V27+W27-X27))</x:f>
        <x:v>401687.1825313858</x:v>
      </x:c>
      <x:c r="Z27" s="40" t="n">
        <x:f>MAX(0,'Inputs &amp; Summary'!$B$18-X27)</x:f>
        <x:v>0</x:v>
      </x:c>
      <x:c r="AA27" s="40" t="n">
        <x:f>AC26</x:f>
        <x:v>1018.0236130987768</x:v>
      </x:c>
      <x:c r="AB27" s="40" t="n">
        <x:f>J27</x:f>
        <x:v>95.24760826032153</x:v>
      </x:c>
      <x:c r="AC27" s="40" t="n">
        <x:f>AA27*(1+'Inputs &amp; Summary'!$B$17)+Z27+AB27</x:f>
        <x:v>1118.2265027725698</x:v>
      </x:c>
      <x:c r="AD27" s="40" t="n">
        <x:f>F27+H27+J27</x:f>
        <x:v>2419.8340162593736</x:v>
      </x:c>
      <x:c r="AE27" s="40" t="n">
        <x:f>X27+Z27+AB27</x:f>
        <x:v>2419.8340162593736</x:v>
      </x:c>
      <x:c r="AF27" s="40" t="n">
        <x:f>AD27-AE27</x:f>
        <x:v>0</x:v>
      </x:c>
      <x:c r="AG27" s="42" t="n">
        <x:f>(O27+S27)/'Inputs &amp; Summary'!$B$4</x:f>
        <x:v>0.6</x:v>
      </x:c>
      <x:c r="AH27" s="40" t="n">
        <x:f>U27-O27-S27</x:f>
        <x:v>-400581.4771778205</x:v>
      </x:c>
      <x:c r="AI27" s="40" t="n">
        <x:f>AC27-Y27</x:f>
        <x:v>-400568.9560286132</x:v>
      </x:c>
      <x:c r="AJ27" s="40" t="n">
        <x:f>AH27-AI27</x:f>
        <x:v>-12.52114920731401</x:v>
      </x:c>
    </x:row>
    <x:row r="28">
      <x:c r="A28" t="n">
        <x:f>A27+1</x:f>
        <x:v>24</x:v>
      </x:c>
      <x:c r="B28" t="n">
        <x:f>INT((A28-1)/12)+1</x:f>
        <x:v>2</x:v>
      </x:c>
      <x:c r="C28" t="n">
        <x:f>MOD(A28-1,12)+1</x:f>
        <x:v>12</x:v>
      </x:c>
      <x:c r="D28" s="40" t="n">
        <x:f>O27</x:f>
        <x:v>401586.34315549786</x:v>
      </x:c>
      <x:c r="E28" s="40" t="n">
        <x:f>D28*'Inputs &amp; Summary'!$B$15</x:f>
        <x:v>1492.0216017008613</x:v>
      </x:c>
      <x:c r="F28" s="40" t="n">
        <x:f>IF(D28&lt;=0.00000001,0,MIN('Inputs &amp; Summary'!$B$18,D28+E28))</x:f>
        <x:v>2324.586407999052</x:v>
      </x:c>
      <x:c r="G28" s="40" t="n">
        <x:f>IF(ABS(MAX(0,D28+E28-F28))&lt;0.00000001,0,MAX(0,D28+E28-F28))</x:f>
        <x:v>400753.7783491997</x:v>
      </x:c>
      <x:c r="H28" s="40" t="n">
        <x:f>MAX(0,'Inputs &amp; Summary'!$B$18-F28)</x:f>
        <x:v>0</x:v>
      </x:c>
      <x:c r="I28" s="40" t="n">
        <x:f>S27</x:f>
        <x:v>18413.65684450214</x:v>
      </x:c>
      <x:c r="J28" s="40" t="n">
        <x:f>I28*'Inputs &amp; Summary'!$B$16</x:f>
        <x:v>99.74064124105327</x:v>
      </x:c>
      <x:c r="K28" s="40" t="n">
        <x:f>IF(C28=1,J28,K27+J28)</x:f>
        <x:v>903.9761026493353</x:v>
      </x:c>
      <x:c r="L28" s="40" t="n">
        <x:f>IF(C28=12,K28*'Inputs &amp; Summary'!$B$11*'Inputs &amp; Summary'!$B$12,0)</x:f>
        <x:v>316.3916359272673</x:v>
      </x:c>
      <x:c r="M28" s="40" t="n">
        <x:f>MIN(L28,G28)</x:f>
        <x:v>316.3916359272673</x:v>
      </x:c>
      <x:c r="N28" s="40" t="n">
        <x:f>MAX(0,L28-M28)</x:f>
        <x:v>0</x:v>
      </x:c>
      <x:c r="O28" s="40" t="n">
        <x:f>IF(ABS(MAX(0,G28-M28))&lt;0.00000001,0,MAX(0,G28-M28))</x:f>
        <x:v>400437.3867132724</x:v>
      </x:c>
      <x:c r="P28" s="40" t="n">
        <x:f>MAX(0,D28-O28)</x:f>
        <x:v>1148.9564422254334</x:v>
      </x:c>
      <x:c r="Q28" s="40" t="n">
        <x:f>MAX(0,'Inputs &amp; Summary'!$B$19*'Inputs &amp; Summary'!$B$4-O28-I28)</x:f>
        <x:v>36148.95644222543</x:v>
      </x:c>
      <x:c r="R28" s="40" t="n">
        <x:f>MIN(P28,Q28)</x:f>
        <x:v>1148.9564422254334</x:v>
      </x:c>
      <x:c r="S28" s="40" t="n">
        <x:f>I28+R28</x:f>
        <x:v>19562.613286727574</x:v>
      </x:c>
      <x:c r="T28" s="40" t="n">
        <x:f>U27</x:f>
        <x:v>19418.522822179468</x:v>
      </x:c>
      <x:c r="U28" s="40" t="n">
        <x:f>T28*(1+'Inputs &amp; Summary'!$B$17)+R28+N28+H28</x:f>
        <x:v>20661.999906146128</x:v>
      </x:c>
      <x:c r="V28" s="40" t="n">
        <x:f>Y27</x:f>
        <x:v>401687.1825313858</x:v>
      </x:c>
      <x:c r="W28" s="40" t="n">
        <x:f>V28*'Inputs &amp; Summary'!$B$15</x:f>
        <x:v>1492.396252208009</x:v>
      </x:c>
      <x:c r="X28" s="40" t="n">
        <x:f>IF(V28&lt;=0.00000001,0,MIN('Inputs &amp; Summary'!$B$18,V28+W28))</x:f>
        <x:v>2324.586407999052</x:v>
      </x:c>
      <x:c r="Y28" s="40" t="n">
        <x:f>IF(ABS(MAX(0,V28+W28-X28))&lt;0.00000001,0,MAX(0,V28+W28-X28))</x:f>
        <x:v>400854.99237559474</x:v>
      </x:c>
      <x:c r="Z28" s="40" t="n">
        <x:f>MAX(0,'Inputs &amp; Summary'!$B$18-X28)</x:f>
        <x:v>0</x:v>
      </x:c>
      <x:c r="AA28" s="40" t="n">
        <x:f>AC27</x:f>
        <x:v>1118.2265027725698</x:v>
      </x:c>
      <x:c r="AB28" s="40" t="n">
        <x:f>J28</x:f>
        <x:v>99.74064124105327</x:v>
      </x:c>
      <x:c r="AC28" s="40" t="n">
        <x:f>AA28*(1+'Inputs &amp; Summary'!$B$17)+Z28+AB28</x:f>
        <x:v>1223.4101680593753</x:v>
      </x:c>
      <x:c r="AD28" s="40" t="n">
        <x:f>F28+H28+J28</x:f>
        <x:v>2424.327049240105</x:v>
      </x:c>
      <x:c r="AE28" s="40" t="n">
        <x:f>X28+Z28+AB28</x:f>
        <x:v>2424.327049240105</x:v>
      </x:c>
      <x:c r="AF28" s="40" t="n">
        <x:f>AD28-AE28</x:f>
        <x:v>0</x:v>
      </x:c>
      <x:c r="AG28" s="42" t="n">
        <x:f>(O28+S28)/'Inputs &amp; Summary'!$B$4</x:f>
        <x:v>0.6</x:v>
      </x:c>
      <x:c r="AH28" s="40" t="n">
        <x:f>U28-O28-S28</x:f>
        <x:v>-399338.00009385386</x:v>
      </x:c>
      <x:c r="AI28" s="40" t="n">
        <x:f>AC28-Y28</x:f>
        <x:v>-399631.58220753534</x:v>
      </x:c>
      <x:c r="AJ28" s="40" t="n">
        <x:f>AH28-AI28</x:f>
        <x:v>293.5821136814775</x:v>
      </x:c>
    </x:row>
    <x:row r="29">
      <x:c r="A29" t="n">
        <x:f>A28+1</x:f>
        <x:v>25</x:v>
      </x:c>
      <x:c r="B29" t="n">
        <x:f>INT((A29-1)/12)+1</x:f>
        <x:v>3</x:v>
      </x:c>
      <x:c r="C29" t="n">
        <x:f>MOD(A29-1,12)+1</x:f>
        <x:v>1</x:v>
      </x:c>
      <x:c r="D29" s="40" t="n">
        <x:f>O28</x:f>
        <x:v>400437.3867132724</x:v>
      </x:c>
      <x:c r="E29" s="40" t="n">
        <x:f>D29*'Inputs &amp; Summary'!$B$15</x:f>
        <x:v>1487.7528613404602</x:v>
      </x:c>
      <x:c r="F29" s="40" t="n">
        <x:f>IF(D29&lt;=0.00000001,0,MIN('Inputs &amp; Summary'!$B$18,D29+E29))</x:f>
        <x:v>2324.586407999052</x:v>
      </x:c>
      <x:c r="G29" s="40" t="n">
        <x:f>IF(ABS(MAX(0,D29+E29-F29))&lt;0.00000001,0,MAX(0,D29+E29-F29))</x:f>
        <x:v>399600.55316661386</x:v>
      </x:c>
      <x:c r="H29" s="40" t="n">
        <x:f>MAX(0,'Inputs &amp; Summary'!$B$18-F29)</x:f>
        <x:v>0</x:v>
      </x:c>
      <x:c r="I29" s="40" t="n">
        <x:f>S28</x:f>
        <x:v>19562.613286727574</x:v>
      </x:c>
      <x:c r="J29" s="40" t="n">
        <x:f>I29*'Inputs &amp; Summary'!$B$16</x:f>
        <x:v>105.96415530310769</x:v>
      </x:c>
      <x:c r="K29" s="40" t="n">
        <x:f>IF(C29=1,J29,K28+J29)</x:f>
        <x:v>105.96415530310769</x:v>
      </x:c>
      <x:c r="L29" s="40" t="n">
        <x:f>IF(C29=12,K29*'Inputs &amp; Summary'!$B$11*'Inputs &amp; Summary'!$B$12,0)</x:f>
        <x:v>0</x:v>
      </x:c>
      <x:c r="M29" s="40" t="n">
        <x:f>MIN(L29,G29)</x:f>
        <x:v>0</x:v>
      </x:c>
      <x:c r="N29" s="40" t="n">
        <x:f>MAX(0,L29-M29)</x:f>
        <x:v>0</x:v>
      </x:c>
      <x:c r="O29" s="40" t="n">
        <x:f>IF(ABS(MAX(0,G29-M29))&lt;0.00000001,0,MAX(0,G29-M29))</x:f>
        <x:v>399600.55316661386</x:v>
      </x:c>
      <x:c r="P29" s="40" t="n">
        <x:f>MAX(0,D29-O29)</x:f>
        <x:v>836.8335466585704</x:v>
      </x:c>
      <x:c r="Q29" s="40" t="n">
        <x:f>MAX(0,'Inputs &amp; Summary'!$B$19*'Inputs &amp; Summary'!$B$4-O29-I29)</x:f>
        <x:v>35836.83354665857</x:v>
      </x:c>
      <x:c r="R29" s="40" t="n">
        <x:f>MIN(P29,Q29)</x:f>
        <x:v>836.8335466585704</x:v>
      </x:c>
      <x:c r="S29" s="40" t="n">
        <x:f>I29+R29</x:f>
        <x:v>20399.446833386144</x:v>
      </x:c>
      <x:c r="T29" s="40" t="n">
        <x:f>U28</x:f>
        <x:v>20661.999906146128</x:v>
      </x:c>
      <x:c r="U29" s="40" t="n">
        <x:f>T29*(1+'Inputs &amp; Summary'!$B$17)+R29+N29+H29</x:f>
        <x:v>21599.40678212898</x:v>
      </x:c>
      <x:c r="V29" s="40" t="n">
        <x:f>Y28</x:f>
        <x:v>400854.99237559474</x:v>
      </x:c>
      <x:c r="W29" s="40" t="n">
        <x:f>V29*'Inputs &amp; Summary'!$B$15</x:f>
        <x:v>1489.3043998322366</x:v>
      </x:c>
      <x:c r="X29" s="40" t="n">
        <x:f>IF(V29&lt;=0.00000001,0,MIN('Inputs &amp; Summary'!$B$18,V29+W29))</x:f>
        <x:v>2324.586407999052</x:v>
      </x:c>
      <x:c r="Y29" s="40" t="n">
        <x:f>IF(ABS(MAX(0,V29+W29-X29))&lt;0.00000001,0,MAX(0,V29+W29-X29))</x:f>
        <x:v>400019.7103674279</x:v>
      </x:c>
      <x:c r="Z29" s="40" t="n">
        <x:f>MAX(0,'Inputs &amp; Summary'!$B$18-X29)</x:f>
        <x:v>0</x:v>
      </x:c>
      <x:c r="AA29" s="40" t="n">
        <x:f>AC28</x:f>
        <x:v>1223.4101680593753</x:v>
      </x:c>
      <x:c r="AB29" s="40" t="n">
        <x:f>J29</x:f>
        <x:v>105.96415530310769</x:v>
      </x:c>
      <x:c r="AC29" s="40" t="n">
        <x:f>AA29*(1+'Inputs &amp; Summary'!$B$17)+Z29+AB29</x:f>
        <x:v>1335.3293342176669</x:v>
      </x:c>
      <x:c r="AD29" s="40" t="n">
        <x:f>F29+H29+J29</x:f>
        <x:v>2430.55056330216</x:v>
      </x:c>
      <x:c r="AE29" s="40" t="n">
        <x:f>X29+Z29+AB29</x:f>
        <x:v>2430.55056330216</x:v>
      </x:c>
      <x:c r="AF29" s="40" t="n">
        <x:f>AD29-AE29</x:f>
        <x:v>0</x:v>
      </x:c>
      <x:c r="AG29" s="42" t="n">
        <x:f>(O29+S29)/'Inputs &amp; Summary'!$B$4</x:f>
        <x:v>0.6</x:v>
      </x:c>
      <x:c r="AH29" s="40" t="n">
        <x:f>U29-O29-S29</x:f>
        <x:v>-398400.59321787104</x:v>
      </x:c>
      <x:c r="AI29" s="40" t="n">
        <x:f>AC29-Y29</x:f>
        <x:v>-398684.38103321026</x:v>
      </x:c>
      <x:c r="AJ29" s="40" t="n">
        <x:f>AH29-AI29</x:f>
        <x:v>283.787815339223</x:v>
      </x:c>
    </x:row>
    <x:row r="30">
      <x:c r="A30" t="n">
        <x:f>A29+1</x:f>
        <x:v>26</x:v>
      </x:c>
      <x:c r="B30" t="n">
        <x:f>INT((A30-1)/12)+1</x:f>
        <x:v>3</x:v>
      </x:c>
      <x:c r="C30" t="n">
        <x:f>MOD(A30-1,12)+1</x:f>
        <x:v>2</x:v>
      </x:c>
      <x:c r="D30" s="40" t="n">
        <x:f>O29</x:f>
        <x:v>399600.55316661386</x:v>
      </x:c>
      <x:c r="E30" s="40" t="n">
        <x:f>D30*'Inputs &amp; Summary'!$B$15</x:f>
        <x:v>1484.6437572837044</x:v>
      </x:c>
      <x:c r="F30" s="40" t="n">
        <x:f>IF(D30&lt;=0.00000001,0,MIN('Inputs &amp; Summary'!$B$18,D30+E30))</x:f>
        <x:v>2324.586407999052</x:v>
      </x:c>
      <x:c r="G30" s="40" t="n">
        <x:f>IF(ABS(MAX(0,D30+E30-F30))&lt;0.00000001,0,MAX(0,D30+E30-F30))</x:f>
        <x:v>398760.6105158985</x:v>
      </x:c>
      <x:c r="H30" s="40" t="n">
        <x:f>MAX(0,'Inputs &amp; Summary'!$B$18-F30)</x:f>
        <x:v>0</x:v>
      </x:c>
      <x:c r="I30" s="40" t="n">
        <x:f>S29</x:f>
        <x:v>20399.446833386144</x:v>
      </x:c>
      <x:c r="J30" s="40" t="n">
        <x:f>I30*'Inputs &amp; Summary'!$B$16</x:f>
        <x:v>110.49700368084162</x:v>
      </x:c>
      <x:c r="K30" s="40" t="n">
        <x:f>IF(C30=1,J30,K29+J30)</x:f>
        <x:v>216.4611589839493</x:v>
      </x:c>
      <x:c r="L30" s="40" t="n">
        <x:f>IF(C30=12,K30*'Inputs &amp; Summary'!$B$11*'Inputs &amp; Summary'!$B$12,0)</x:f>
        <x:v>0</x:v>
      </x:c>
      <x:c r="M30" s="40" t="n">
        <x:f>MIN(L30,G30)</x:f>
        <x:v>0</x:v>
      </x:c>
      <x:c r="N30" s="40" t="n">
        <x:f>MAX(0,L30-M30)</x:f>
        <x:v>0</x:v>
      </x:c>
      <x:c r="O30" s="40" t="n">
        <x:f>IF(ABS(MAX(0,G30-M30))&lt;0.00000001,0,MAX(0,G30-M30))</x:f>
        <x:v>398760.6105158985</x:v>
      </x:c>
      <x:c r="P30" s="40" t="n">
        <x:f>MAX(0,D30-O30)</x:f>
        <x:v>839.9426507153548</x:v>
      </x:c>
      <x:c r="Q30" s="40" t="n">
        <x:f>MAX(0,'Inputs &amp; Summary'!$B$19*'Inputs &amp; Summary'!$B$4-O30-I30)</x:f>
        <x:v>35839.942650715355</x:v>
      </x:c>
      <x:c r="R30" s="40" t="n">
        <x:f>MIN(P30,Q30)</x:f>
        <x:v>839.9426507153548</x:v>
      </x:c>
      <x:c r="S30" s="40" t="n">
        <x:f>I30+R30</x:f>
        <x:v>21239.3894841015</x:v>
      </x:c>
      <x:c r="T30" s="40" t="n">
        <x:f>U29</x:f>
        <x:v>21599.40678212898</x:v>
      </x:c>
      <x:c r="U30" s="40" t="n">
        <x:f>T30*(1+'Inputs &amp; Summary'!$B$17)+R30+N30+H30</x:f>
        <x:v>22544.48563753776</x:v>
      </x:c>
      <x:c r="V30" s="40" t="n">
        <x:f>Y29</x:f>
        <x:v>400019.7103674279</x:v>
      </x:c>
      <x:c r="W30" s="40" t="n">
        <x:f>V30*'Inputs &amp; Summary'!$B$15</x:f>
        <x:v>1486.2010602368102</x:v>
      </x:c>
      <x:c r="X30" s="40" t="n">
        <x:f>IF(V30&lt;=0.00000001,0,MIN('Inputs &amp; Summary'!$B$18,V30+W30))</x:f>
        <x:v>2324.586407999052</x:v>
      </x:c>
      <x:c r="Y30" s="40" t="n">
        <x:f>IF(ABS(MAX(0,V30+W30-X30))&lt;0.00000001,0,MAX(0,V30+W30-X30))</x:f>
        <x:v>399181.3250196657</x:v>
      </x:c>
      <x:c r="Z30" s="40" t="n">
        <x:f>MAX(0,'Inputs &amp; Summary'!$B$18-X30)</x:f>
        <x:v>0</x:v>
      </x:c>
      <x:c r="AA30" s="40" t="n">
        <x:f>AC29</x:f>
        <x:v>1335.3293342176669</x:v>
      </x:c>
      <x:c r="AB30" s="40" t="n">
        <x:f>J30</x:f>
        <x:v>110.49700368084162</x:v>
      </x:c>
      <x:c r="AC30" s="40" t="n">
        <x:f>AA30*(1+'Inputs &amp; Summary'!$B$17)+Z30+AB30</x:f>
        <x:v>1452.3261209541988</x:v>
      </x:c>
      <x:c r="AD30" s="40" t="n">
        <x:f>F30+H30+J30</x:f>
        <x:v>2435.0834116798937</x:v>
      </x:c>
      <x:c r="AE30" s="40" t="n">
        <x:f>X30+Z30+AB30</x:f>
        <x:v>2435.0834116798937</x:v>
      </x:c>
      <x:c r="AF30" s="40" t="n">
        <x:f>AD30-AE30</x:f>
        <x:v>0</x:v>
      </x:c>
      <x:c r="AG30" s="42" t="n">
        <x:f>(O30+S30)/'Inputs &amp; Summary'!$B$4</x:f>
        <x:v>0.6</x:v>
      </x:c>
      <x:c r="AH30" s="40" t="n">
        <x:f>U30-O30-S30</x:f>
        <x:v>-397455.5143624622</x:v>
      </x:c>
      <x:c r="AI30" s="40" t="n">
        <x:f>AC30-Y30</x:f>
        <x:v>-397728.9988987115</x:v>
      </x:c>
      <x:c r="AJ30" s="40" t="n">
        <x:f>AH30-AI30</x:f>
        <x:v>273.484536249307</x:v>
      </x:c>
    </x:row>
    <x:row r="31">
      <x:c r="A31" t="n">
        <x:f>A30+1</x:f>
        <x:v>27</x:v>
      </x:c>
      <x:c r="B31" t="n">
        <x:f>INT((A31-1)/12)+1</x:f>
        <x:v>3</x:v>
      </x:c>
      <x:c r="C31" t="n">
        <x:f>MOD(A31-1,12)+1</x:f>
        <x:v>3</x:v>
      </x:c>
      <x:c r="D31" s="40" t="n">
        <x:f>O30</x:f>
        <x:v>398760.6105158985</x:v>
      </x:c>
      <x:c r="E31" s="40" t="n">
        <x:f>D31*'Inputs &amp; Summary'!$B$15</x:f>
        <x:v>1481.5231019117862</x:v>
      </x:c>
      <x:c r="F31" s="40" t="n">
        <x:f>IF(D31&lt;=0.00000001,0,MIN('Inputs &amp; Summary'!$B$18,D31+E31))</x:f>
        <x:v>2324.586407999052</x:v>
      </x:c>
      <x:c r="G31" s="40" t="n">
        <x:f>IF(ABS(MAX(0,D31+E31-F31))&lt;0.00000001,0,MAX(0,D31+E31-F31))</x:f>
        <x:v>397917.5472098112</x:v>
      </x:c>
      <x:c r="H31" s="40" t="n">
        <x:f>MAX(0,'Inputs &amp; Summary'!$B$18-F31)</x:f>
        <x:v>0</x:v>
      </x:c>
      <x:c r="I31" s="40" t="n">
        <x:f>S30</x:f>
        <x:v>21239.3894841015</x:v>
      </x:c>
      <x:c r="J31" s="40" t="n">
        <x:f>I31*'Inputs &amp; Summary'!$B$16</x:f>
        <x:v>115.04669303888312</x:v>
      </x:c>
      <x:c r="K31" s="40" t="n">
        <x:f>IF(C31=1,J31,K30+J31)</x:f>
        <x:v>331.5078520228324</x:v>
      </x:c>
      <x:c r="L31" s="40" t="n">
        <x:f>IF(C31=12,K31*'Inputs &amp; Summary'!$B$11*'Inputs &amp; Summary'!$B$12,0)</x:f>
        <x:v>0</x:v>
      </x:c>
      <x:c r="M31" s="40" t="n">
        <x:f>MIN(L31,G31)</x:f>
        <x:v>0</x:v>
      </x:c>
      <x:c r="N31" s="40" t="n">
        <x:f>MAX(0,L31-M31)</x:f>
        <x:v>0</x:v>
      </x:c>
      <x:c r="O31" s="40" t="n">
        <x:f>IF(ABS(MAX(0,G31-M31))&lt;0.00000001,0,MAX(0,G31-M31))</x:f>
        <x:v>397917.5472098112</x:v>
      </x:c>
      <x:c r="P31" s="40" t="n">
        <x:f>MAX(0,D31-O31)</x:f>
        <x:v>843.0633060872788</x:v>
      </x:c>
      <x:c r="Q31" s="40" t="n">
        <x:f>MAX(0,'Inputs &amp; Summary'!$B$19*'Inputs &amp; Summary'!$B$4-O31-I31)</x:f>
        <x:v>35843.06330608728</x:v>
      </x:c>
      <x:c r="R31" s="40" t="n">
        <x:f>MIN(P31,Q31)</x:f>
        <x:v>843.0633060872788</x:v>
      </x:c>
      <x:c r="S31" s="40" t="n">
        <x:f>I31+R31</x:f>
        <x:v>22082.452790188778</x:v>
      </x:c>
      <x:c r="T31" s="40" t="n">
        <x:f>U30</x:f>
        <x:v>22544.48563753776</x:v>
      </x:c>
      <x:c r="U31" s="40" t="n">
        <x:f>T31*(1+'Inputs &amp; Summary'!$B$17)+R31+N31+H31</x:f>
        <x:v>23497.285367435405</x:v>
      </x:c>
      <x:c r="V31" s="40" t="n">
        <x:f>Y30</x:f>
        <x:v>399181.3250196657</x:v>
      </x:c>
      <x:c r="W31" s="40" t="n">
        <x:f>V31*'Inputs &amp; Summary'!$B$15</x:f>
        <x:v>1483.0861907430376</x:v>
      </x:c>
      <x:c r="X31" s="40" t="n">
        <x:f>IF(V31&lt;=0.00000001,0,MIN('Inputs &amp; Summary'!$B$18,V31+W31))</x:f>
        <x:v>2324.586407999052</x:v>
      </x:c>
      <x:c r="Y31" s="40" t="n">
        <x:f>IF(ABS(MAX(0,V31+W31-X31))&lt;0.00000001,0,MAX(0,V31+W31-X31))</x:f>
        <x:v>398339.8248024097</x:v>
      </x:c>
      <x:c r="Z31" s="40" t="n">
        <x:f>MAX(0,'Inputs &amp; Summary'!$B$18-X31)</x:f>
        <x:v>0</x:v>
      </x:c>
      <x:c r="AA31" s="40" t="n">
        <x:f>AC30</x:f>
        <x:v>1452.3261209541988</x:v>
      </x:c>
      <x:c r="AB31" s="40" t="n">
        <x:f>J31</x:f>
        <x:v>115.04669303888312</x:v>
      </x:c>
      <x:c r="AC31" s="40" t="n">
        <x:f>AA31*(1+'Inputs &amp; Summary'!$B$17)+Z31+AB31</x:f>
        <x:v>1574.442084824195</x:v>
      </x:c>
      <x:c r="AD31" s="40" t="n">
        <x:f>F31+H31+J31</x:f>
        <x:v>2439.633101037935</x:v>
      </x:c>
      <x:c r="AE31" s="40" t="n">
        <x:f>X31+Z31+AB31</x:f>
        <x:v>2439.633101037935</x:v>
      </x:c>
      <x:c r="AF31" s="40" t="n">
        <x:f>AD31-AE31</x:f>
        <x:v>0</x:v>
      </x:c>
      <x:c r="AG31" s="42" t="n">
        <x:f>(O31+S31)/'Inputs &amp; Summary'!$B$4</x:f>
        <x:v>0.6</x:v>
      </x:c>
      <x:c r="AH31" s="40" t="n">
        <x:f>U31-O31-S31</x:f>
        <x:v>-396502.7146325646</x:v>
      </x:c>
      <x:c r="AI31" s="40" t="n">
        <x:f>AC31-Y31</x:f>
        <x:v>-396765.3827175855</x:v>
      </x:c>
      <x:c r="AJ31" s="40" t="n">
        <x:f>AH31-AI31</x:f>
        <x:v>262.6680850209086</x:v>
      </x:c>
    </x:row>
    <x:row r="32">
      <x:c r="A32" t="n">
        <x:f>A31+1</x:f>
        <x:v>28</x:v>
      </x:c>
      <x:c r="B32" t="n">
        <x:f>INT((A32-1)/12)+1</x:f>
        <x:v>3</x:v>
      </x:c>
      <x:c r="C32" t="n">
        <x:f>MOD(A32-1,12)+1</x:f>
        <x:v>4</x:v>
      </x:c>
      <x:c r="D32" s="40" t="n">
        <x:f>O31</x:f>
        <x:v>397917.5472098112</x:v>
      </x:c>
      <x:c r="E32" s="40" t="n">
        <x:f>D32*'Inputs &amp; Summary'!$B$15</x:f>
        <x:v>1478.3908523078783</x:v>
      </x:c>
      <x:c r="F32" s="40" t="n">
        <x:f>IF(D32&lt;=0.00000001,0,MIN('Inputs &amp; Summary'!$B$18,D32+E32))</x:f>
        <x:v>2324.586407999052</x:v>
      </x:c>
      <x:c r="G32" s="40" t="n">
        <x:f>IF(ABS(MAX(0,D32+E32-F32))&lt;0.00000001,0,MAX(0,D32+E32-F32))</x:f>
        <x:v>397071.3516541201</x:v>
      </x:c>
      <x:c r="H32" s="40" t="n">
        <x:f>MAX(0,'Inputs &amp; Summary'!$B$18-F32)</x:f>
        <x:v>0</x:v>
      </x:c>
      <x:c r="I32" s="40" t="n">
        <x:f>S31</x:f>
        <x:v>22082.452790188778</x:v>
      </x:c>
      <x:c r="J32" s="40" t="n">
        <x:f>I32*'Inputs &amp; Summary'!$B$16</x:f>
        <x:v>119.61328594685588</x:v>
      </x:c>
      <x:c r="K32" s="40" t="n">
        <x:f>IF(C32=1,J32,K31+J32)</x:f>
        <x:v>451.12113796968833</x:v>
      </x:c>
      <x:c r="L32" s="40" t="n">
        <x:f>IF(C32=12,K32*'Inputs &amp; Summary'!$B$11*'Inputs &amp; Summary'!$B$12,0)</x:f>
        <x:v>0</x:v>
      </x:c>
      <x:c r="M32" s="40" t="n">
        <x:f>MIN(L32,G32)</x:f>
        <x:v>0</x:v>
      </x:c>
      <x:c r="N32" s="40" t="n">
        <x:f>MAX(0,L32-M32)</x:f>
        <x:v>0</x:v>
      </x:c>
      <x:c r="O32" s="40" t="n">
        <x:f>IF(ABS(MAX(0,G32-M32))&lt;0.00000001,0,MAX(0,G32-M32))</x:f>
        <x:v>397071.3516541201</x:v>
      </x:c>
      <x:c r="P32" s="40" t="n">
        <x:f>MAX(0,D32-O32)</x:f>
        <x:v>846.1955556911416</x:v>
      </x:c>
      <x:c r="Q32" s="40" t="n">
        <x:f>MAX(0,'Inputs &amp; Summary'!$B$19*'Inputs &amp; Summary'!$B$4-O32-I32)</x:f>
        <x:v>35846.19555569114</x:v>
      </x:c>
      <x:c r="R32" s="40" t="n">
        <x:f>MIN(P32,Q32)</x:f>
        <x:v>846.1955556911416</x:v>
      </x:c>
      <x:c r="S32" s="40" t="n">
        <x:f>I32+R32</x:f>
        <x:v>22928.64834587992</x:v>
      </x:c>
      <x:c r="T32" s="40" t="n">
        <x:f>U31</x:f>
        <x:v>23497.285367435405</x:v>
      </x:c>
      <x:c r="U32" s="40" t="n">
        <x:f>T32*(1+'Inputs &amp; Summary'!$B$17)+R32+N32+H32</x:f>
        <x:v>24457.855147800834</x:v>
      </x:c>
      <x:c r="V32" s="40" t="n">
        <x:f>Y31</x:f>
        <x:v>398339.8248024097</x:v>
      </x:c>
      <x:c r="W32" s="40" t="n">
        <x:f>V32*'Inputs &amp; Summary'!$B$15</x:f>
        <x:v>1479.959748513662</x:v>
      </x:c>
      <x:c r="X32" s="40" t="n">
        <x:f>IF(V32&lt;=0.00000001,0,MIN('Inputs &amp; Summary'!$B$18,V32+W32))</x:f>
        <x:v>2324.586407999052</x:v>
      </x:c>
      <x:c r="Y32" s="40" t="n">
        <x:f>IF(ABS(MAX(0,V32+W32-X32))&lt;0.00000001,0,MAX(0,V32+W32-X32))</x:f>
        <x:v>397495.1981429243</x:v>
      </x:c>
      <x:c r="Z32" s="40" t="n">
        <x:f>MAX(0,'Inputs &amp; Summary'!$B$18-X32)</x:f>
        <x:v>0</x:v>
      </x:c>
      <x:c r="AA32" s="40" t="n">
        <x:f>AC31</x:f>
        <x:v>1574.442084824195</x:v>
      </x:c>
      <x:c r="AB32" s="40" t="n">
        <x:f>J32</x:f>
        <x:v>119.61328594685588</x:v>
      </x:c>
      <x:c r="AC32" s="40" t="n">
        <x:f>AA32*(1+'Inputs &amp; Summary'!$B$17)+Z32+AB32</x:f>
        <x:v>1701.719047231137</x:v>
      </x:c>
      <x:c r="AD32" s="40" t="n">
        <x:f>F32+H32+J32</x:f>
        <x:v>2444.1996939459077</x:v>
      </x:c>
      <x:c r="AE32" s="40" t="n">
        <x:f>X32+Z32+AB32</x:f>
        <x:v>2444.1996939459077</x:v>
      </x:c>
      <x:c r="AF32" s="40" t="n">
        <x:f>AD32-AE32</x:f>
        <x:v>0</x:v>
      </x:c>
      <x:c r="AG32" s="42" t="n">
        <x:f>(O32+S32)/'Inputs &amp; Summary'!$B$4</x:f>
        <x:v>0.6</x:v>
      </x:c>
      <x:c r="AH32" s="40" t="n">
        <x:f>U32-O32-S32</x:f>
        <x:v>-395542.1448521992</x:v>
      </x:c>
      <x:c r="AI32" s="40" t="n">
        <x:f>AC32-Y32</x:f>
        <x:v>-395793.47909569315</x:v>
      </x:c>
      <x:c r="AJ32" s="40" t="n">
        <x:f>AH32-AI32</x:f>
        <x:v>251.33424349396955</x:v>
      </x:c>
    </x:row>
    <x:row r="33">
      <x:c r="A33" t="n">
        <x:f>A32+1</x:f>
        <x:v>29</x:v>
      </x:c>
      <x:c r="B33" t="n">
        <x:f>INT((A33-1)/12)+1</x:f>
        <x:v>3</x:v>
      </x:c>
      <x:c r="C33" t="n">
        <x:f>MOD(A33-1,12)+1</x:f>
        <x:v>5</x:v>
      </x:c>
      <x:c r="D33" s="40" t="n">
        <x:f>O32</x:f>
        <x:v>397071.3516541201</x:v>
      </x:c>
      <x:c r="E33" s="40" t="n">
        <x:f>D33*'Inputs &amp; Summary'!$B$15</x:f>
        <x:v>1475.2469653957041</x:v>
      </x:c>
      <x:c r="F33" s="40" t="n">
        <x:f>IF(D33&lt;=0.00000001,0,MIN('Inputs &amp; Summary'!$B$18,D33+E33))</x:f>
        <x:v>2324.586407999052</x:v>
      </x:c>
      <x:c r="G33" s="40" t="n">
        <x:f>IF(ABS(MAX(0,D33+E33-F33))&lt;0.00000001,0,MAX(0,D33+E33-F33))</x:f>
        <x:v>396222.01221151673</x:v>
      </x:c>
      <x:c r="H33" s="40" t="n">
        <x:f>MAX(0,'Inputs &amp; Summary'!$B$18-F33)</x:f>
        <x:v>0</x:v>
      </x:c>
      <x:c r="I33" s="40" t="n">
        <x:f>S32</x:f>
        <x:v>22928.64834587992</x:v>
      </x:c>
      <x:c r="J33" s="40" t="n">
        <x:f>I33*'Inputs &amp; Summary'!$B$16</x:f>
        <x:v>124.19684520684957</x:v>
      </x:c>
      <x:c r="K33" s="40" t="n">
        <x:f>IF(C33=1,J33,K32+J33)</x:f>
        <x:v>575.317983176538</x:v>
      </x:c>
      <x:c r="L33" s="40" t="n">
        <x:f>IF(C33=12,K33*'Inputs &amp; Summary'!$B$11*'Inputs &amp; Summary'!$B$12,0)</x:f>
        <x:v>0</x:v>
      </x:c>
      <x:c r="M33" s="40" t="n">
        <x:f>MIN(L33,G33)</x:f>
        <x:v>0</x:v>
      </x:c>
      <x:c r="N33" s="40" t="n">
        <x:f>MAX(0,L33-M33)</x:f>
        <x:v>0</x:v>
      </x:c>
      <x:c r="O33" s="40" t="n">
        <x:f>IF(ABS(MAX(0,G33-M33))&lt;0.00000001,0,MAX(0,G33-M33))</x:f>
        <x:v>396222.01221151673</x:v>
      </x:c>
      <x:c r="P33" s="40" t="n">
        <x:f>MAX(0,D33-O33)</x:f>
        <x:v>849.3394426033483</x:v>
      </x:c>
      <x:c r="Q33" s="40" t="n">
        <x:f>MAX(0,'Inputs &amp; Summary'!$B$19*'Inputs &amp; Summary'!$B$4-O33-I33)</x:f>
        <x:v>35849.33944260335</x:v>
      </x:c>
      <x:c r="R33" s="40" t="n">
        <x:f>MIN(P33,Q33)</x:f>
        <x:v>849.3394426033483</x:v>
      </x:c>
      <x:c r="S33" s="40" t="n">
        <x:f>I33+R33</x:f>
        <x:v>23777.987788483268</x:v>
      </x:c>
      <x:c r="T33" s="40" t="n">
        <x:f>U32</x:f>
        <x:v>24457.855147800834</x:v>
      </x:c>
      <x:c r="U33" s="40" t="n">
        <x:f>T33*(1+'Inputs &amp; Summary'!$B$17)+R33+N33+H33</x:f>
        <x:v>25426.24443705594</x:v>
      </x:c>
      <x:c r="V33" s="40" t="n">
        <x:f>Y32</x:f>
        <x:v>397495.1981429243</x:v>
      </x:c>
      <x:c r="W33" s="40" t="n">
        <x:f>V33*'Inputs &amp; Summary'!$B$15</x:f>
        <x:v>1476.8216905522718</x:v>
      </x:c>
      <x:c r="X33" s="40" t="n">
        <x:f>IF(V33&lt;=0.00000001,0,MIN('Inputs &amp; Summary'!$B$18,V33+W33))</x:f>
        <x:v>2324.586407999052</x:v>
      </x:c>
      <x:c r="Y33" s="40" t="n">
        <x:f>IF(ABS(MAX(0,V33+W33-X33))&lt;0.00000001,0,MAX(0,V33+W33-X33))</x:f>
        <x:v>396647.43342547753</x:v>
      </x:c>
      <x:c r="Z33" s="40" t="n">
        <x:f>MAX(0,'Inputs &amp; Summary'!$B$18-X33)</x:f>
        <x:v>0</x:v>
      </x:c>
      <x:c r="AA33" s="40" t="n">
        <x:f>AC32</x:f>
        <x:v>1701.719047231137</x:v>
      </x:c>
      <x:c r="AB33" s="40" t="n">
        <x:f>J33</x:f>
        <x:v>124.19684520684957</x:v>
      </x:c>
      <x:c r="AC33" s="40" t="n">
        <x:f>AA33*(1+'Inputs &amp; Summary'!$B$17)+Z33+AB33</x:f>
        <x:v>1834.1990959483915</x:v>
      </x:c>
      <x:c r="AD33" s="40" t="n">
        <x:f>F33+H33+J33</x:f>
        <x:v>2448.7832532059015</x:v>
      </x:c>
      <x:c r="AE33" s="40" t="n">
        <x:f>X33+Z33+AB33</x:f>
        <x:v>2448.7832532059015</x:v>
      </x:c>
      <x:c r="AF33" s="40" t="n">
        <x:f>AD33-AE33</x:f>
        <x:v>0</x:v>
      </x:c>
      <x:c r="AG33" s="42" t="n">
        <x:f>(O33+S33)/'Inputs &amp; Summary'!$B$4</x:f>
        <x:v>0.6</x:v>
      </x:c>
      <x:c r="AH33" s="40" t="n">
        <x:f>U33-O33-S33</x:f>
        <x:v>-394573.75556294405</x:v>
      </x:c>
      <x:c r="AI33" s="40" t="n">
        <x:f>AC33-Y33</x:f>
        <x:v>-394813.23432952916</x:v>
      </x:c>
      <x:c r="AJ33" s="40" t="n">
        <x:f>AH33-AI33</x:f>
        <x:v>239.47876658511814</x:v>
      </x:c>
    </x:row>
    <x:row r="34">
      <x:c r="A34" t="n">
        <x:f>A33+1</x:f>
        <x:v>30</x:v>
      </x:c>
      <x:c r="B34" t="n">
        <x:f>INT((A34-1)/12)+1</x:f>
        <x:v>3</x:v>
      </x:c>
      <x:c r="C34" t="n">
        <x:f>MOD(A34-1,12)+1</x:f>
        <x:v>6</x:v>
      </x:c>
      <x:c r="D34" s="40" t="n">
        <x:f>O33</x:f>
        <x:v>396222.01221151673</x:v>
      </x:c>
      <x:c r="E34" s="40" t="n">
        <x:f>D34*'Inputs &amp; Summary'!$B$15</x:f>
        <x:v>1472.0913979389443</x:v>
      </x:c>
      <x:c r="F34" s="40" t="n">
        <x:f>IF(D34&lt;=0.00000001,0,MIN('Inputs &amp; Summary'!$B$18,D34+E34))</x:f>
        <x:v>2324.586407999052</x:v>
      </x:c>
      <x:c r="G34" s="40" t="n">
        <x:f>IF(ABS(MAX(0,D34+E34-F34))&lt;0.00000001,0,MAX(0,D34+E34-F34))</x:f>
        <x:v>395369.51720145665</x:v>
      </x:c>
      <x:c r="H34" s="40" t="n">
        <x:f>MAX(0,'Inputs &amp; Summary'!$B$18-F34)</x:f>
        <x:v>0</x:v>
      </x:c>
      <x:c r="I34" s="40" t="n">
        <x:f>S33</x:f>
        <x:v>23777.987788483268</x:v>
      </x:c>
      <x:c r="J34" s="40" t="n">
        <x:f>I34*'Inputs &amp; Summary'!$B$16</x:f>
        <x:v>128.79743385428438</x:v>
      </x:c>
      <x:c r="K34" s="40" t="n">
        <x:f>IF(C34=1,J34,K33+J34)</x:f>
        <x:v>704.1154170308223</x:v>
      </x:c>
      <x:c r="L34" s="40" t="n">
        <x:f>IF(C34=12,K34*'Inputs &amp; Summary'!$B$11*'Inputs &amp; Summary'!$B$12,0)</x:f>
        <x:v>0</x:v>
      </x:c>
      <x:c r="M34" s="40" t="n">
        <x:f>MIN(L34,G34)</x:f>
        <x:v>0</x:v>
      </x:c>
      <x:c r="N34" s="40" t="n">
        <x:f>MAX(0,L34-M34)</x:f>
        <x:v>0</x:v>
      </x:c>
      <x:c r="O34" s="40" t="n">
        <x:f>IF(ABS(MAX(0,G34-M34))&lt;0.00000001,0,MAX(0,G34-M34))</x:f>
        <x:v>395369.51720145665</x:v>
      </x:c>
      <x:c r="P34" s="40" t="n">
        <x:f>MAX(0,D34-O34)</x:f>
        <x:v>852.4950100600836</x:v>
      </x:c>
      <x:c r="Q34" s="40" t="n">
        <x:f>MAX(0,'Inputs &amp; Summary'!$B$19*'Inputs &amp; Summary'!$B$4-O34-I34)</x:f>
        <x:v>35852.49501006008</x:v>
      </x:c>
      <x:c r="R34" s="40" t="n">
        <x:f>MIN(P34,Q34)</x:f>
        <x:v>852.4950100600836</x:v>
      </x:c>
      <x:c r="S34" s="40" t="n">
        <x:f>I34+R34</x:f>
        <x:v>24630.48279854335</x:v>
      </x:c>
      <x:c r="T34" s="40" t="n">
        <x:f>U33</x:f>
        <x:v>25426.24443705594</x:v>
      </x:c>
      <x:c r="U34" s="40" t="n">
        <x:f>T34*(1+'Inputs &amp; Summary'!$B$17)+R34+N34+H34</x:f>
        <x:v>26402.502977600165</x:v>
      </x:c>
      <x:c r="V34" s="40" t="n">
        <x:f>Y33</x:f>
        <x:v>396647.43342547753</x:v>
      </x:c>
      <x:c r="W34" s="40" t="n">
        <x:f>V34*'Inputs &amp; Summary'!$B$15</x:f>
        <x:v>1473.671973702711</x:v>
      </x:c>
      <x:c r="X34" s="40" t="n">
        <x:f>IF(V34&lt;=0.00000001,0,MIN('Inputs &amp; Summary'!$B$18,V34+W34))</x:f>
        <x:v>2324.586407999052</x:v>
      </x:c>
      <x:c r="Y34" s="40" t="n">
        <x:f>IF(ABS(MAX(0,V34+W34-X34))&lt;0.00000001,0,MAX(0,V34+W34-X34))</x:f>
        <x:v>395796.5189911812</x:v>
      </x:c>
      <x:c r="Z34" s="40" t="n">
        <x:f>MAX(0,'Inputs &amp; Summary'!$B$18-X34)</x:f>
        <x:v>0</x:v>
      </x:c>
      <x:c r="AA34" s="40" t="n">
        <x:f>AC33</x:f>
        <x:v>1834.1990959483915</x:v>
      </x:c>
      <x:c r="AB34" s="40" t="n">
        <x:f>J34</x:f>
        <x:v>128.79743385428438</x:v>
      </x:c>
      <x:c r="AC34" s="40" t="n">
        <x:f>AA34*(1+'Inputs &amp; Summary'!$B$17)+Z34+AB34</x:f>
        <x:v>1971.9245866491112</x:v>
      </x:c>
      <x:c r="AD34" s="40" t="n">
        <x:f>F34+H34+J34</x:f>
        <x:v>2453.3838418533364</x:v>
      </x:c>
      <x:c r="AE34" s="40" t="n">
        <x:f>X34+Z34+AB34</x:f>
        <x:v>2453.3838418533364</x:v>
      </x:c>
      <x:c r="AF34" s="40" t="n">
        <x:f>AD34-AE34</x:f>
        <x:v>0</x:v>
      </x:c>
      <x:c r="AG34" s="42" t="n">
        <x:f>(O34+S34)/'Inputs &amp; Summary'!$B$4</x:f>
        <x:v>0.6</x:v>
      </x:c>
      <x:c r="AH34" s="40" t="n">
        <x:f>U34-O34-S34</x:f>
        <x:v>-393597.49702239985</x:v>
      </x:c>
      <x:c r="AI34" s="40" t="n">
        <x:f>AC34-Y34</x:f>
        <x:v>-393824.5944045321</x:v>
      </x:c>
      <x:c r="AJ34" s="40" t="n">
        <x:f>AH34-AI34</x:f>
        <x:v>227.097382132255</x:v>
      </x:c>
    </x:row>
    <x:row r="35">
      <x:c r="A35" t="n">
        <x:f>A34+1</x:f>
        <x:v>31</x:v>
      </x:c>
      <x:c r="B35" t="n">
        <x:f>INT((A35-1)/12)+1</x:f>
        <x:v>3</x:v>
      </x:c>
      <x:c r="C35" t="n">
        <x:f>MOD(A35-1,12)+1</x:f>
        <x:v>7</x:v>
      </x:c>
      <x:c r="D35" s="40" t="n">
        <x:f>O34</x:f>
        <x:v>395369.51720145665</x:v>
      </x:c>
      <x:c r="E35" s="40" t="n">
        <x:f>D35*'Inputs &amp; Summary'!$B$15</x:f>
        <x:v>1468.9241065406425</x:v>
      </x:c>
      <x:c r="F35" s="40" t="n">
        <x:f>IF(D35&lt;=0.00000001,0,MIN('Inputs &amp; Summary'!$B$18,D35+E35))</x:f>
        <x:v>2324.586407999052</x:v>
      </x:c>
      <x:c r="G35" s="40" t="n">
        <x:f>IF(ABS(MAX(0,D35+E35-F35))&lt;0.00000001,0,MAX(0,D35+E35-F35))</x:f>
        <x:v>394513.85489999823</x:v>
      </x:c>
      <x:c r="H35" s="40" t="n">
        <x:f>MAX(0,'Inputs &amp; Summary'!$B$18-F35)</x:f>
        <x:v>0</x:v>
      </x:c>
      <x:c r="I35" s="40" t="n">
        <x:f>S34</x:f>
        <x:v>24630.48279854335</x:v>
      </x:c>
      <x:c r="J35" s="40" t="n">
        <x:f>I35*'Inputs &amp; Summary'!$B$16</x:f>
        <x:v>133.4151151587765</x:v>
      </x:c>
      <x:c r="K35" s="40" t="n">
        <x:f>IF(C35=1,J35,K34+J35)</x:f>
        <x:v>837.5305321895988</x:v>
      </x:c>
      <x:c r="L35" s="40" t="n">
        <x:f>IF(C35=12,K35*'Inputs &amp; Summary'!$B$11*'Inputs &amp; Summary'!$B$12,0)</x:f>
        <x:v>0</x:v>
      </x:c>
      <x:c r="M35" s="40" t="n">
        <x:f>MIN(L35,G35)</x:f>
        <x:v>0</x:v>
      </x:c>
      <x:c r="N35" s="40" t="n">
        <x:f>MAX(0,L35-M35)</x:f>
        <x:v>0</x:v>
      </x:c>
      <x:c r="O35" s="40" t="n">
        <x:f>IF(ABS(MAX(0,G35-M35))&lt;0.00000001,0,MAX(0,G35-M35))</x:f>
        <x:v>394513.85489999823</x:v>
      </x:c>
      <x:c r="P35" s="40" t="n">
        <x:f>MAX(0,D35-O35)</x:f>
        <x:v>855.6623014584184</x:v>
      </x:c>
      <x:c r="Q35" s="40" t="n">
        <x:f>MAX(0,'Inputs &amp; Summary'!$B$19*'Inputs &amp; Summary'!$B$4-O35-I35)</x:f>
        <x:v>35855.66230145842</x:v>
      </x:c>
      <x:c r="R35" s="40" t="n">
        <x:f>MIN(P35,Q35)</x:f>
        <x:v>855.6623014584184</x:v>
      </x:c>
      <x:c r="S35" s="40" t="n">
        <x:f>I35+R35</x:f>
        <x:v>25486.14510000177</x:v>
      </x:c>
      <x:c r="T35" s="40" t="n">
        <x:f>U34</x:f>
        <x:v>26402.502977600165</x:v>
      </x:c>
      <x:c r="U35" s="40" t="n">
        <x:f>T35*(1+'Inputs &amp; Summary'!$B$17)+R35+N35+H35</x:f>
        <x:v>27386.68079735367</x:v>
      </x:c>
      <x:c r="V35" s="40" t="n">
        <x:f>Y34</x:f>
        <x:v>395796.5189911812</x:v>
      </x:c>
      <x:c r="W35" s="40" t="n">
        <x:f>V35*'Inputs &amp; Summary'!$B$15</x:f>
        <x:v>1470.510554648484</x:v>
      </x:c>
      <x:c r="X35" s="40" t="n">
        <x:f>IF(V35&lt;=0.00000001,0,MIN('Inputs &amp; Summary'!$B$18,V35+W35))</x:f>
        <x:v>2324.586407999052</x:v>
      </x:c>
      <x:c r="Y35" s="40" t="n">
        <x:f>IF(ABS(MAX(0,V35+W35-X35))&lt;0.00000001,0,MAX(0,V35+W35-X35))</x:f>
        <x:v>394942.44313783065</x:v>
      </x:c>
      <x:c r="Z35" s="40" t="n">
        <x:f>MAX(0,'Inputs &amp; Summary'!$B$18-X35)</x:f>
        <x:v>0</x:v>
      </x:c>
      <x:c r="AA35" s="40" t="n">
        <x:f>AC34</x:f>
        <x:v>1971.9245866491112</x:v>
      </x:c>
      <x:c r="AB35" s="40" t="n">
        <x:f>J35</x:f>
        <x:v>133.4151151587765</x:v>
      </x:c>
      <x:c r="AC35" s="40" t="n">
        <x:f>AA35*(1+'Inputs &amp; Summary'!$B$17)+Z35+AB35</x:f>
        <x:v>2114.9381444444457</x:v>
      </x:c>
      <x:c r="AD35" s="40" t="n">
        <x:f>F35+H35+J35</x:f>
        <x:v>2458.0015231578286</x:v>
      </x:c>
      <x:c r="AE35" s="40" t="n">
        <x:f>X35+Z35+AB35</x:f>
        <x:v>2458.0015231578286</x:v>
      </x:c>
      <x:c r="AF35" s="40" t="n">
        <x:f>AD35-AE35</x:f>
        <x:v>0</x:v>
      </x:c>
      <x:c r="AG35" s="42" t="n">
        <x:f>(O35+S35)/'Inputs &amp; Summary'!$B$4</x:f>
        <x:v>0.6</x:v>
      </x:c>
      <x:c r="AH35" s="40" t="n">
        <x:f>U35-O35-S35</x:f>
        <x:v>-392613.3192026463</x:v>
      </x:c>
      <x:c r="AI35" s="40" t="n">
        <x:f>AC35-Y35</x:f>
        <x:v>-392827.5049933862</x:v>
      </x:c>
      <x:c r="AJ35" s="40" t="n">
        <x:f>AH35-AI35</x:f>
        <x:v>214.1857907398953</x:v>
      </x:c>
    </x:row>
    <x:row r="36">
      <x:c r="A36" t="n">
        <x:f>A35+1</x:f>
        <x:v>32</x:v>
      </x:c>
      <x:c r="B36" t="n">
        <x:f>INT((A36-1)/12)+1</x:f>
        <x:v>3</x:v>
      </x:c>
      <x:c r="C36" t="n">
        <x:f>MOD(A36-1,12)+1</x:f>
        <x:v>8</x:v>
      </x:c>
      <x:c r="D36" s="40" t="n">
        <x:f>O35</x:f>
        <x:v>394513.85489999823</x:v>
      </x:c>
      <x:c r="E36" s="40" t="n">
        <x:f>D36*'Inputs &amp; Summary'!$B$15</x:f>
        <x:v>1465.7450476426095</x:v>
      </x:c>
      <x:c r="F36" s="40" t="n">
        <x:f>IF(D36&lt;=0.00000001,0,MIN('Inputs &amp; Summary'!$B$18,D36+E36))</x:f>
        <x:v>2324.586407999052</x:v>
      </x:c>
      <x:c r="G36" s="40" t="n">
        <x:f>IF(ABS(MAX(0,D36+E36-F36))&lt;0.00000001,0,MAX(0,D36+E36-F36))</x:f>
        <x:v>393655.0135396418</x:v>
      </x:c>
      <x:c r="H36" s="40" t="n">
        <x:f>MAX(0,'Inputs &amp; Summary'!$B$18-F36)</x:f>
        <x:v>0</x:v>
      </x:c>
      <x:c r="I36" s="40" t="n">
        <x:f>S35</x:f>
        <x:v>25486.14510000177</x:v>
      </x:c>
      <x:c r="J36" s="40" t="n">
        <x:f>I36*'Inputs &amp; Summary'!$B$16</x:f>
        <x:v>138.04995262500958</x:v>
      </x:c>
      <x:c r="K36" s="40" t="n">
        <x:f>IF(C36=1,J36,K35+J36)</x:f>
        <x:v>975.5804848146084</x:v>
      </x:c>
      <x:c r="L36" s="40" t="n">
        <x:f>IF(C36=12,K36*'Inputs &amp; Summary'!$B$11*'Inputs &amp; Summary'!$B$12,0)</x:f>
        <x:v>0</x:v>
      </x:c>
      <x:c r="M36" s="40" t="n">
        <x:f>MIN(L36,G36)</x:f>
        <x:v>0</x:v>
      </x:c>
      <x:c r="N36" s="40" t="n">
        <x:f>MAX(0,L36-M36)</x:f>
        <x:v>0</x:v>
      </x:c>
      <x:c r="O36" s="40" t="n">
        <x:f>IF(ABS(MAX(0,G36-M36))&lt;0.00000001,0,MAX(0,G36-M36))</x:f>
        <x:v>393655.0135396418</x:v>
      </x:c>
      <x:c r="P36" s="40" t="n">
        <x:f>MAX(0,D36-O36)</x:f>
        <x:v>858.8413603564259</x:v>
      </x:c>
      <x:c r="Q36" s="40" t="n">
        <x:f>MAX(0,'Inputs &amp; Summary'!$B$19*'Inputs &amp; Summary'!$B$4-O36-I36)</x:f>
        <x:v>35858.841360356426</x:v>
      </x:c>
      <x:c r="R36" s="40" t="n">
        <x:f>MIN(P36,Q36)</x:f>
        <x:v>858.8413603564259</x:v>
      </x:c>
      <x:c r="S36" s="40" t="n">
        <x:f>I36+R36</x:f>
        <x:v>26344.986460358195</x:v>
      </x:c>
      <x:c r="T36" s="40" t="n">
        <x:f>U35</x:f>
        <x:v>27386.68079735367</x:v>
      </x:c>
      <x:c r="U36" s="40" t="n">
        <x:f>T36*(1+'Inputs &amp; Summary'!$B$17)+R36+N36+H36</x:f>
        <x:v>28378.828211308126</x:v>
      </x:c>
      <x:c r="V36" s="40" t="n">
        <x:f>Y35</x:f>
        <x:v>394942.44313783065</x:v>
      </x:c>
      <x:c r="W36" s="40" t="n">
        <x:f>V36*'Inputs &amp; Summary'!$B$15</x:f>
        <x:v>1467.3373899121605</x:v>
      </x:c>
      <x:c r="X36" s="40" t="n">
        <x:f>IF(V36&lt;=0.00000001,0,MIN('Inputs &amp; Summary'!$B$18,V36+W36))</x:f>
        <x:v>2324.586407999052</x:v>
      </x:c>
      <x:c r="Y36" s="40" t="n">
        <x:f>IF(ABS(MAX(0,V36+W36-X36))&lt;0.00000001,0,MAX(0,V36+W36-X36))</x:f>
        <x:v>394085.19411974377</x:v>
      </x:c>
      <x:c r="Z36" s="40" t="n">
        <x:f>MAX(0,'Inputs &amp; Summary'!$B$18-X36)</x:f>
        <x:v>0</x:v>
      </x:c>
      <x:c r="AA36" s="40" t="n">
        <x:f>AC35</x:f>
        <x:v>2114.9381444444457</x:v>
      </x:c>
      <x:c r="AB36" s="40" t="n">
        <x:f>J36</x:f>
        <x:v>138.04995262500958</x:v>
      </x:c>
      <x:c r="AC36" s="40" t="n">
        <x:f>AA36*(1+'Inputs &amp; Summary'!$B$17)+Z36+AB36</x:f>
        <x:v>2263.2826654301116</x:v>
      </x:c>
      <x:c r="AD36" s="40" t="n">
        <x:f>F36+H36+J36</x:f>
        <x:v>2462.6363606240616</x:v>
      </x:c>
      <x:c r="AE36" s="40" t="n">
        <x:f>X36+Z36+AB36</x:f>
        <x:v>2462.6363606240616</x:v>
      </x:c>
      <x:c r="AF36" s="40" t="n">
        <x:f>AD36-AE36</x:f>
        <x:v>0</x:v>
      </x:c>
      <x:c r="AG36" s="42" t="n">
        <x:f>(O36+S36)/'Inputs &amp; Summary'!$B$4</x:f>
        <x:v>0.6</x:v>
      </x:c>
      <x:c r="AH36" s="40" t="n">
        <x:f>U36-O36-S36</x:f>
        <x:v>-391621.1717886919</x:v>
      </x:c>
      <x:c r="AI36" s="40" t="n">
        <x:f>AC36-Y36</x:f>
        <x:v>-391821.91145431367</x:v>
      </x:c>
      <x:c r="AJ36" s="40" t="n">
        <x:f>AH36-AI36</x:f>
        <x:v>200.7396656217752</x:v>
      </x:c>
    </x:row>
    <x:row r="37">
      <x:c r="A37" t="n">
        <x:f>A36+1</x:f>
        <x:v>33</x:v>
      </x:c>
      <x:c r="B37" t="n">
        <x:f>INT((A37-1)/12)+1</x:f>
        <x:v>3</x:v>
      </x:c>
      <x:c r="C37" t="n">
        <x:f>MOD(A37-1,12)+1</x:f>
        <x:v>9</x:v>
      </x:c>
      <x:c r="D37" s="40" t="n">
        <x:f>O36</x:f>
        <x:v>393655.0135396418</x:v>
      </x:c>
      <x:c r="E37" s="40" t="n">
        <x:f>D37*'Inputs &amp; Summary'!$B$15</x:f>
        <x:v>1462.5541775248232</x:v>
      </x:c>
      <x:c r="F37" s="40" t="n">
        <x:f>IF(D37&lt;=0.00000001,0,MIN('Inputs &amp; Summary'!$B$18,D37+E37))</x:f>
        <x:v>2324.586407999052</x:v>
      </x:c>
      <x:c r="G37" s="40" t="n">
        <x:f>IF(ABS(MAX(0,D37+E37-F37))&lt;0.00000001,0,MAX(0,D37+E37-F37))</x:f>
        <x:v>392792.9813091676</x:v>
      </x:c>
      <x:c r="H37" s="40" t="n">
        <x:f>MAX(0,'Inputs &amp; Summary'!$B$18-F37)</x:f>
        <x:v>0</x:v>
      </x:c>
      <x:c r="I37" s="40" t="n">
        <x:f>S36</x:f>
        <x:v>26344.986460358195</x:v>
      </x:c>
      <x:c r="J37" s="40" t="n">
        <x:f>I37*'Inputs &amp; Summary'!$B$16</x:f>
        <x:v>142.7020099936069</x:v>
      </x:c>
      <x:c r="K37" s="40" t="n">
        <x:f>IF(C37=1,J37,K36+J37)</x:f>
        <x:v>1118.2824948082152</x:v>
      </x:c>
      <x:c r="L37" s="40" t="n">
        <x:f>IF(C37=12,K37*'Inputs &amp; Summary'!$B$11*'Inputs &amp; Summary'!$B$12,0)</x:f>
        <x:v>0</x:v>
      </x:c>
      <x:c r="M37" s="40" t="n">
        <x:f>MIN(L37,G37)</x:f>
        <x:v>0</x:v>
      </x:c>
      <x:c r="N37" s="40" t="n">
        <x:f>MAX(0,L37-M37)</x:f>
        <x:v>0</x:v>
      </x:c>
      <x:c r="O37" s="40" t="n">
        <x:f>IF(ABS(MAX(0,G37-M37))&lt;0.00000001,0,MAX(0,G37-M37))</x:f>
        <x:v>392792.9813091676</x:v>
      </x:c>
      <x:c r="P37" s="40" t="n">
        <x:f>MAX(0,D37-O37)</x:f>
        <x:v>862.0322304742294</x:v>
      </x:c>
      <x:c r="Q37" s="40" t="n">
        <x:f>MAX(0,'Inputs &amp; Summary'!$B$19*'Inputs &amp; Summary'!$B$4-O37-I37)</x:f>
        <x:v>35862.03223047423</x:v>
      </x:c>
      <x:c r="R37" s="40" t="n">
        <x:f>MIN(P37,Q37)</x:f>
        <x:v>862.0322304742294</x:v>
      </x:c>
      <x:c r="S37" s="40" t="n">
        <x:f>I37+R37</x:f>
        <x:v>27207.018690832425</x:v>
      </x:c>
      <x:c r="T37" s="40" t="n">
        <x:f>U36</x:f>
        <x:v>28378.828211308126</x:v>
      </x:c>
      <x:c r="U37" s="40" t="n">
        <x:f>T37*(1+'Inputs &amp; Summary'!$B$17)+R37+N37+H37</x:f>
        <x:v>29378.995823086083</x:v>
      </x:c>
      <x:c r="V37" s="40" t="n">
        <x:f>Y36</x:f>
        <x:v>394085.19411974377</x:v>
      </x:c>
      <x:c r="W37" s="40" t="n">
        <x:f>V37*'Inputs &amp; Summary'!$B$15</x:f>
        <x:v>1464.1524358547779</x:v>
      </x:c>
      <x:c r="X37" s="40" t="n">
        <x:f>IF(V37&lt;=0.00000001,0,MIN('Inputs &amp; Summary'!$B$18,V37+W37))</x:f>
        <x:v>2324.586407999052</x:v>
      </x:c>
      <x:c r="Y37" s="40" t="n">
        <x:f>IF(ABS(MAX(0,V37+W37-X37))&lt;0.00000001,0,MAX(0,V37+W37-X37))</x:f>
        <x:v>393224.7601475995</x:v>
      </x:c>
      <x:c r="Z37" s="40" t="n">
        <x:f>MAX(0,'Inputs &amp; Summary'!$B$18-X37)</x:f>
        <x:v>0</x:v>
      </x:c>
      <x:c r="AA37" s="40" t="n">
        <x:f>AC36</x:f>
        <x:v>2263.2826654301116</x:v>
      </x:c>
      <x:c r="AB37" s="40" t="n">
        <x:f>J37</x:f>
        <x:v>142.7020099936069</x:v>
      </x:c>
      <x:c r="AC37" s="40" t="n">
        <x:f>AA37*(1+'Inputs &amp; Summary'!$B$17)+Z37+AB37</x:f>
        <x:v>2417.001318241364</x:v>
      </x:c>
      <x:c r="AD37" s="40" t="n">
        <x:f>F37+H37+J37</x:f>
        <x:v>2467.2884179926587</x:v>
      </x:c>
      <x:c r="AE37" s="40" t="n">
        <x:f>X37+Z37+AB37</x:f>
        <x:v>2467.2884179926587</x:v>
      </x:c>
      <x:c r="AF37" s="40" t="n">
        <x:f>AD37-AE37</x:f>
        <x:v>0</x:v>
      </x:c>
      <x:c r="AG37" s="42" t="n">
        <x:f>(O37+S37)/'Inputs &amp; Summary'!$B$4</x:f>
        <x:v>0.6</x:v>
      </x:c>
      <x:c r="AH37" s="40" t="n">
        <x:f>U37-O37-S37</x:f>
        <x:v>-390621.00417691394</x:v>
      </x:c>
      <x:c r="AI37" s="40" t="n">
        <x:f>AC37-Y37</x:f>
        <x:v>-390807.75882935815</x:v>
      </x:c>
      <x:c r="AJ37" s="40" t="n">
        <x:f>AH37-AI37</x:f>
        <x:v>186.75465244421503</x:v>
      </x:c>
    </x:row>
    <x:row r="38">
      <x:c r="A38" t="n">
        <x:f>A37+1</x:f>
        <x:v>34</x:v>
      </x:c>
      <x:c r="B38" t="n">
        <x:f>INT((A38-1)/12)+1</x:f>
        <x:v>3</x:v>
      </x:c>
      <x:c r="C38" t="n">
        <x:f>MOD(A38-1,12)+1</x:f>
        <x:v>10</x:v>
      </x:c>
      <x:c r="D38" s="40" t="n">
        <x:f>O37</x:f>
        <x:v>392792.9813091676</x:v>
      </x:c>
      <x:c r="E38" s="40" t="n">
        <x:f>D38*'Inputs &amp; Summary'!$B$15</x:f>
        <x:v>1459.3514523048275</x:v>
      </x:c>
      <x:c r="F38" s="40" t="n">
        <x:f>IF(D38&lt;=0.00000001,0,MIN('Inputs &amp; Summary'!$B$18,D38+E38))</x:f>
        <x:v>2324.586407999052</x:v>
      </x:c>
      <x:c r="G38" s="40" t="n">
        <x:f>IF(ABS(MAX(0,D38+E38-F38))&lt;0.00000001,0,MAX(0,D38+E38-F38))</x:f>
        <x:v>391927.74635347334</x:v>
      </x:c>
      <x:c r="H38" s="40" t="n">
        <x:f>MAX(0,'Inputs &amp; Summary'!$B$18-F38)</x:f>
        <x:v>0</x:v>
      </x:c>
      <x:c r="I38" s="40" t="n">
        <x:f>S37</x:f>
        <x:v>27207.018690832425</x:v>
      </x:c>
      <x:c r="J38" s="40" t="n">
        <x:f>I38*'Inputs &amp; Summary'!$B$16</x:f>
        <x:v>147.37135124200898</x:v>
      </x:c>
      <x:c r="K38" s="40" t="n">
        <x:f>IF(C38=1,J38,K37+J38)</x:f>
        <x:v>1265.6538460502243</x:v>
      </x:c>
      <x:c r="L38" s="40" t="n">
        <x:f>IF(C38=12,K38*'Inputs &amp; Summary'!$B$11*'Inputs &amp; Summary'!$B$12,0)</x:f>
        <x:v>0</x:v>
      </x:c>
      <x:c r="M38" s="40" t="n">
        <x:f>MIN(L38,G38)</x:f>
        <x:v>0</x:v>
      </x:c>
      <x:c r="N38" s="40" t="n">
        <x:f>MAX(0,L38-M38)</x:f>
        <x:v>0</x:v>
      </x:c>
      <x:c r="O38" s="40" t="n">
        <x:f>IF(ABS(MAX(0,G38-M38))&lt;0.00000001,0,MAX(0,G38-M38))</x:f>
        <x:v>391927.74635347334</x:v>
      </x:c>
      <x:c r="P38" s="40" t="n">
        <x:f>MAX(0,D38-O38)</x:f>
        <x:v>865.2349556942354</x:v>
      </x:c>
      <x:c r="Q38" s="40" t="n">
        <x:f>MAX(0,'Inputs &amp; Summary'!$B$19*'Inputs &amp; Summary'!$B$4-O38-I38)</x:f>
        <x:v>35865.234955694235</x:v>
      </x:c>
      <x:c r="R38" s="40" t="n">
        <x:f>MIN(P38,Q38)</x:f>
        <x:v>865.2349556942354</x:v>
      </x:c>
      <x:c r="S38" s="40" t="n">
        <x:f>I38+R38</x:f>
        <x:v>28072.25364652666</x:v>
      </x:c>
      <x:c r="T38" s="40" t="n">
        <x:f>U37</x:f>
        <x:v>29378.995823086083</x:v>
      </x:c>
      <x:c r="U38" s="40" t="n">
        <x:f>T38*(1+'Inputs &amp; Summary'!$B$17)+R38+N38+H38</x:f>
        <x:v>30387.234526508193</x:v>
      </x:c>
      <x:c r="V38" s="40" t="n">
        <x:f>Y37</x:f>
        <x:v>393224.7601475995</x:v>
      </x:c>
      <x:c r="W38" s="40" t="n">
        <x:f>V38*'Inputs &amp; Summary'!$B$15</x:f>
        <x:v>1460.9556486752413</x:v>
      </x:c>
      <x:c r="X38" s="40" t="n">
        <x:f>IF(V38&lt;=0.00000001,0,MIN('Inputs &amp; Summary'!$B$18,V38+W38))</x:f>
        <x:v>2324.586407999052</x:v>
      </x:c>
      <x:c r="Y38" s="40" t="n">
        <x:f>IF(ABS(MAX(0,V38+W38-X38))&lt;0.00000001,0,MAX(0,V38+W38-X38))</x:f>
        <x:v>392361.12938827573</x:v>
      </x:c>
      <x:c r="Z38" s="40" t="n">
        <x:f>MAX(0,'Inputs &amp; Summary'!$B$18-X38)</x:f>
        <x:v>0</x:v>
      </x:c>
      <x:c r="AA38" s="40" t="n">
        <x:f>AC37</x:f>
        <x:v>2417.001318241364</x:v>
      </x:c>
      <x:c r="AB38" s="40" t="n">
        <x:f>J38</x:f>
        <x:v>147.37135124200898</x:v>
      </x:c>
      <x:c r="AC38" s="40" t="n">
        <x:f>AA38*(1+'Inputs &amp; Summary'!$B$17)+Z38+AB38</x:f>
        <x:v>2576.1375456164137</x:v>
      </x:c>
      <x:c r="AD38" s="40" t="n">
        <x:f>F38+H38+J38</x:f>
        <x:v>2471.957759241061</x:v>
      </x:c>
      <x:c r="AE38" s="40" t="n">
        <x:f>X38+Z38+AB38</x:f>
        <x:v>2471.957759241061</x:v>
      </x:c>
      <x:c r="AF38" s="40" t="n">
        <x:f>AD38-AE38</x:f>
        <x:v>0</x:v>
      </x:c>
      <x:c r="AG38" s="42" t="n">
        <x:f>(O38+S38)/'Inputs &amp; Summary'!$B$4</x:f>
        <x:v>0.6</x:v>
      </x:c>
      <x:c r="AH38" s="40" t="n">
        <x:f>U38-O38-S38</x:f>
        <x:v>-389612.7654734918</x:v>
      </x:c>
      <x:c r="AI38" s="40" t="n">
        <x:f>AC38-Y38</x:f>
        <x:v>-389784.9918426593</x:v>
      </x:c>
      <x:c r="AJ38" s="40" t="n">
        <x:f>AH38-AI38</x:f>
        <x:v>172.22636916750344</x:v>
      </x:c>
    </x:row>
    <x:row r="39">
      <x:c r="A39" t="n">
        <x:f>A38+1</x:f>
        <x:v>35</x:v>
      </x:c>
      <x:c r="B39" t="n">
        <x:f>INT((A39-1)/12)+1</x:f>
        <x:v>3</x:v>
      </x:c>
      <x:c r="C39" t="n">
        <x:f>MOD(A39-1,12)+1</x:f>
        <x:v>11</x:v>
      </x:c>
      <x:c r="D39" s="40" t="n">
        <x:f>O38</x:f>
        <x:v>391927.74635347334</x:v>
      </x:c>
      <x:c r="E39" s="40" t="n">
        <x:f>D39*'Inputs &amp; Summary'!$B$15</x:f>
        <x:v>1456.1368279371293</x:v>
      </x:c>
      <x:c r="F39" s="40" t="n">
        <x:f>IF(D39&lt;=0.00000001,0,MIN('Inputs &amp; Summary'!$B$18,D39+E39))</x:f>
        <x:v>2324.586407999052</x:v>
      </x:c>
      <x:c r="G39" s="40" t="n">
        <x:f>IF(ABS(MAX(0,D39+E39-F39))&lt;0.00000001,0,MAX(0,D39+E39-F39))</x:f>
        <x:v>391059.29677341145</x:v>
      </x:c>
      <x:c r="H39" s="40" t="n">
        <x:f>MAX(0,'Inputs &amp; Summary'!$B$18-F39)</x:f>
        <x:v>0</x:v>
      </x:c>
      <x:c r="I39" s="40" t="n">
        <x:f>S38</x:f>
        <x:v>28072.25364652666</x:v>
      </x:c>
      <x:c r="J39" s="40" t="n">
        <x:f>I39*'Inputs &amp; Summary'!$B$16</x:f>
        <x:v>152.05804058535276</x:v>
      </x:c>
      <x:c r="K39" s="40" t="n">
        <x:f>IF(C39=1,J39,K38+J39)</x:f>
        <x:v>1417.711886635577</x:v>
      </x:c>
      <x:c r="L39" s="40" t="n">
        <x:f>IF(C39=12,K39*'Inputs &amp; Summary'!$B$11*'Inputs &amp; Summary'!$B$12,0)</x:f>
        <x:v>0</x:v>
      </x:c>
      <x:c r="M39" s="40" t="n">
        <x:f>MIN(L39,G39)</x:f>
        <x:v>0</x:v>
      </x:c>
      <x:c r="N39" s="40" t="n">
        <x:f>MAX(0,L39-M39)</x:f>
        <x:v>0</x:v>
      </x:c>
      <x:c r="O39" s="40" t="n">
        <x:f>IF(ABS(MAX(0,G39-M39))&lt;0.00000001,0,MAX(0,G39-M39))</x:f>
        <x:v>391059.29677341145</x:v>
      </x:c>
      <x:c r="P39" s="40" t="n">
        <x:f>MAX(0,D39-O39)</x:f>
        <x:v>868.4495800618897</x:v>
      </x:c>
      <x:c r="Q39" s="40" t="n">
        <x:f>MAX(0,'Inputs &amp; Summary'!$B$19*'Inputs &amp; Summary'!$B$4-O39-I39)</x:f>
        <x:v>35868.44958006189</x:v>
      </x:c>
      <x:c r="R39" s="40" t="n">
        <x:f>MIN(P39,Q39)</x:f>
        <x:v>868.4495800618897</x:v>
      </x:c>
      <x:c r="S39" s="40" t="n">
        <x:f>I39+R39</x:f>
        <x:v>28940.70322658855</x:v>
      </x:c>
      <x:c r="T39" s="40" t="n">
        <x:f>U38</x:f>
        <x:v>30387.234526508193</x:v>
      </x:c>
      <x:c r="U39" s="40" t="n">
        <x:f>T39*(1+'Inputs &amp; Summary'!$B$17)+R39+N39+H39</x:f>
        <x:v>31403.5955071688</x:v>
      </x:c>
      <x:c r="V39" s="40" t="n">
        <x:f>Y38</x:f>
        <x:v>392361.12938827573</x:v>
      </x:c>
      <x:c r="W39" s="40" t="n">
        <x:f>V39*'Inputs &amp; Summary'!$B$15</x:f>
        <x:v>1457.74698440972</x:v>
      </x:c>
      <x:c r="X39" s="40" t="n">
        <x:f>IF(V39&lt;=0.00000001,0,MIN('Inputs &amp; Summary'!$B$18,V39+W39))</x:f>
        <x:v>2324.586407999052</x:v>
      </x:c>
      <x:c r="Y39" s="40" t="n">
        <x:f>IF(ABS(MAX(0,V39+W39-X39))&lt;0.00000001,0,MAX(0,V39+W39-X39))</x:f>
        <x:v>391494.2899646864</x:v>
      </x:c>
      <x:c r="Z39" s="40" t="n">
        <x:f>MAX(0,'Inputs &amp; Summary'!$B$18-X39)</x:f>
        <x:v>0</x:v>
      </x:c>
      <x:c r="AA39" s="40" t="n">
        <x:f>AC38</x:f>
        <x:v>2576.1375456164137</x:v>
      </x:c>
      <x:c r="AB39" s="40" t="n">
        <x:f>J39</x:f>
        <x:v>152.05804058535276</x:v>
      </x:c>
      <x:c r="AC39" s="40" t="n">
        <x:f>AA39*(1+'Inputs &amp; Summary'!$B$17)+Z39+AB39</x:f>
        <x:v>2740.7350659683334</x:v>
      </x:c>
      <x:c r="AD39" s="40" t="n">
        <x:f>F39+H39+J39</x:f>
        <x:v>2476.644448584405</x:v>
      </x:c>
      <x:c r="AE39" s="40" t="n">
        <x:f>X39+Z39+AB39</x:f>
        <x:v>2476.644448584405</x:v>
      </x:c>
      <x:c r="AF39" s="40" t="n">
        <x:f>AD39-AE39</x:f>
        <x:v>0</x:v>
      </x:c>
      <x:c r="AG39" s="42" t="n">
        <x:f>(O39+S39)/'Inputs &amp; Summary'!$B$4</x:f>
        <x:v>0.6</x:v>
      </x:c>
      <x:c r="AH39" s="40" t="n">
        <x:f>U39-O39-S39</x:f>
        <x:v>-388596.4044928312</x:v>
      </x:c>
      <x:c r="AI39" s="40" t="n">
        <x:f>AC39-Y39</x:f>
        <x:v>-388753.554898718</x:v>
      </x:c>
      <x:c r="AJ39" s="40" t="n">
        <x:f>AH39-AI39</x:f>
        <x:v>157.15040588681586</x:v>
      </x:c>
    </x:row>
    <x:row r="40">
      <x:c r="A40" t="n">
        <x:f>A39+1</x:f>
        <x:v>36</x:v>
      </x:c>
      <x:c r="B40" t="n">
        <x:f>INT((A40-1)/12)+1</x:f>
        <x:v>3</x:v>
      </x:c>
      <x:c r="C40" t="n">
        <x:f>MOD(A40-1,12)+1</x:f>
        <x:v>12</x:v>
      </x:c>
      <x:c r="D40" s="40" t="n">
        <x:f>O39</x:f>
        <x:v>391059.29677341145</x:v>
      </x:c>
      <x:c r="E40" s="40" t="n">
        <x:f>D40*'Inputs &amp; Summary'!$B$15</x:f>
        <x:v>1452.9102602125922</x:v>
      </x:c>
      <x:c r="F40" s="40" t="n">
        <x:f>IF(D40&lt;=0.00000001,0,MIN('Inputs &amp; Summary'!$B$18,D40+E40))</x:f>
        <x:v>2324.586407999052</x:v>
      </x:c>
      <x:c r="G40" s="40" t="n">
        <x:f>IF(ABS(MAX(0,D40+E40-F40))&lt;0.00000001,0,MAX(0,D40+E40-F40))</x:f>
        <x:v>390187.620625625</x:v>
      </x:c>
      <x:c r="H40" s="40" t="n">
        <x:f>MAX(0,'Inputs &amp; Summary'!$B$18-F40)</x:f>
        <x:v>0</x:v>
      </x:c>
      <x:c r="I40" s="40" t="n">
        <x:f>S39</x:f>
        <x:v>28940.70322658855</x:v>
      </x:c>
      <x:c r="J40" s="40" t="n">
        <x:f>I40*'Inputs &amp; Summary'!$B$16</x:f>
        <x:v>156.76214247735464</x:v>
      </x:c>
      <x:c r="K40" s="40" t="n">
        <x:f>IF(C40=1,J40,K39+J40)</x:f>
        <x:v>1574.4740291129317</x:v>
      </x:c>
      <x:c r="L40" s="40" t="n">
        <x:f>IF(C40=12,K40*'Inputs &amp; Summary'!$B$11*'Inputs &amp; Summary'!$B$12,0)</x:f>
        <x:v>551.0659101895261</x:v>
      </x:c>
      <x:c r="M40" s="40" t="n">
        <x:f>MIN(L40,G40)</x:f>
        <x:v>551.0659101895261</x:v>
      </x:c>
      <x:c r="N40" s="40" t="n">
        <x:f>MAX(0,L40-M40)</x:f>
        <x:v>0</x:v>
      </x:c>
      <x:c r="O40" s="40" t="n">
        <x:f>IF(ABS(MAX(0,G40-M40))&lt;0.00000001,0,MAX(0,G40-M40))</x:f>
        <x:v>389636.5547154355</x:v>
      </x:c>
      <x:c r="P40" s="40" t="n">
        <x:f>MAX(0,D40-O40)</x:f>
        <x:v>1422.7420579759637</x:v>
      </x:c>
      <x:c r="Q40" s="40" t="n">
        <x:f>MAX(0,'Inputs &amp; Summary'!$B$19*'Inputs &amp; Summary'!$B$4-O40-I40)</x:f>
        <x:v>36422.742057975964</x:v>
      </x:c>
      <x:c r="R40" s="40" t="n">
        <x:f>MIN(P40,Q40)</x:f>
        <x:v>1422.7420579759637</x:v>
      </x:c>
      <x:c r="S40" s="40" t="n">
        <x:f>I40+R40</x:f>
        <x:v>30363.445284564514</x:v>
      </x:c>
      <x:c r="T40" s="40" t="n">
        <x:f>U39</x:f>
        <x:v>31403.5955071688</x:v>
      </x:c>
      <x:c r="U40" s="40" t="n">
        <x:f>T40*(1+'Inputs &amp; Summary'!$B$17)+R40+N40+H40</x:f>
        <x:v>32979.19615420949</x:v>
      </x:c>
      <x:c r="V40" s="40" t="n">
        <x:f>Y39</x:f>
        <x:v>391494.2899646864</x:v>
      </x:c>
      <x:c r="W40" s="40" t="n">
        <x:f>V40*'Inputs &amp; Summary'!$B$15</x:f>
        <x:v>1454.526398931044</x:v>
      </x:c>
      <x:c r="X40" s="40" t="n">
        <x:f>IF(V40&lt;=0.00000001,0,MIN('Inputs &amp; Summary'!$B$18,V40+W40))</x:f>
        <x:v>2324.586407999052</x:v>
      </x:c>
      <x:c r="Y40" s="40" t="n">
        <x:f>IF(ABS(MAX(0,V40+W40-X40))&lt;0.00000001,0,MAX(0,V40+W40-X40))</x:f>
        <x:v>390624.2299556184</x:v>
      </x:c>
      <x:c r="Z40" s="40" t="n">
        <x:f>MAX(0,'Inputs &amp; Summary'!$B$18-X40)</x:f>
        <x:v>0</x:v>
      </x:c>
      <x:c r="AA40" s="40" t="n">
        <x:f>AC39</x:f>
        <x:v>2740.7350659683334</x:v>
      </x:c>
      <x:c r="AB40" s="40" t="n">
        <x:f>J40</x:f>
        <x:v>156.76214247735464</x:v>
      </x:c>
      <x:c r="AC40" s="40" t="n">
        <x:f>AA40*(1+'Inputs &amp; Summary'!$B$17)+Z40+AB40</x:f>
        <x:v>2910.8378749654976</x:v>
      </x:c>
      <x:c r="AD40" s="40" t="n">
        <x:f>F40+H40+J40</x:f>
        <x:v>2481.3485504764067</x:v>
      </x:c>
      <x:c r="AE40" s="40" t="n">
        <x:f>X40+Z40+AB40</x:f>
        <x:v>2481.3485504764067</x:v>
      </x:c>
      <x:c r="AF40" s="40" t="n">
        <x:f>AD40-AE40</x:f>
        <x:v>0</x:v>
      </x:c>
      <x:c r="AG40" s="42" t="n">
        <x:f>(O40+S40)/'Inputs &amp; Summary'!$B$4</x:f>
        <x:v>0.6</x:v>
      </x:c>
      <x:c r="AH40" s="40" t="n">
        <x:f>U40-O40-S40</x:f>
        <x:v>-387020.8038457905</x:v>
      </x:c>
      <x:c r="AI40" s="40" t="n">
        <x:f>AC40-Y40</x:f>
        <x:v>-387713.3920806529</x:v>
      </x:c>
      <x:c r="AJ40" s="40" t="n">
        <x:f>AH40-AI40</x:f>
        <x:v>692.5882348623709</x:v>
      </x:c>
    </x:row>
    <x:row r="41">
      <x:c r="A41" t="n">
        <x:f>A40+1</x:f>
        <x:v>37</x:v>
      </x:c>
      <x:c r="B41" t="n">
        <x:f>INT((A41-1)/12)+1</x:f>
        <x:v>4</x:v>
      </x:c>
      <x:c r="C41" t="n">
        <x:f>MOD(A41-1,12)+1</x:f>
        <x:v>1</x:v>
      </x:c>
      <x:c r="D41" s="40" t="n">
        <x:f>O40</x:f>
        <x:v>389636.5547154355</x:v>
      </x:c>
      <x:c r="E41" s="40" t="n">
        <x:f>D41*'Inputs &amp; Summary'!$B$15</x:f>
        <x:v>1447.6243187946927</x:v>
      </x:c>
      <x:c r="F41" s="40" t="n">
        <x:f>IF(D41&lt;=0.00000001,0,MIN('Inputs &amp; Summary'!$B$18,D41+E41))</x:f>
        <x:v>2324.586407999052</x:v>
      </x:c>
      <x:c r="G41" s="40" t="n">
        <x:f>IF(ABS(MAX(0,D41+E41-F41))&lt;0.00000001,0,MAX(0,D41+E41-F41))</x:f>
        <x:v>388759.59262623114</x:v>
      </x:c>
      <x:c r="H41" s="40" t="n">
        <x:f>MAX(0,'Inputs &amp; Summary'!$B$18-F41)</x:f>
        <x:v>0</x:v>
      </x:c>
      <x:c r="I41" s="40" t="n">
        <x:f>S40</x:f>
        <x:v>30363.445284564514</x:v>
      </x:c>
      <x:c r="J41" s="40" t="n">
        <x:f>I41*'Inputs &amp; Summary'!$B$16</x:f>
        <x:v>164.4686619580578</x:v>
      </x:c>
      <x:c r="K41" s="40" t="n">
        <x:f>IF(C41=1,J41,K40+J41)</x:f>
        <x:v>164.4686619580578</x:v>
      </x:c>
      <x:c r="L41" s="40" t="n">
        <x:f>IF(C41=12,K41*'Inputs &amp; Summary'!$B$11*'Inputs &amp; Summary'!$B$12,0)</x:f>
        <x:v>0</x:v>
      </x:c>
      <x:c r="M41" s="40" t="n">
        <x:f>MIN(L41,G41)</x:f>
        <x:v>0</x:v>
      </x:c>
      <x:c r="N41" s="40" t="n">
        <x:f>MAX(0,L41-M41)</x:f>
        <x:v>0</x:v>
      </x:c>
      <x:c r="O41" s="40" t="n">
        <x:f>IF(ABS(MAX(0,G41-M41))&lt;0.00000001,0,MAX(0,G41-M41))</x:f>
        <x:v>388759.59262623114</x:v>
      </x:c>
      <x:c r="P41" s="40" t="n">
        <x:f>MAX(0,D41-O41)</x:f>
        <x:v>876.9620892043458</x:v>
      </x:c>
      <x:c r="Q41" s="40" t="n">
        <x:f>MAX(0,'Inputs &amp; Summary'!$B$19*'Inputs &amp; Summary'!$B$4-O41-I41)</x:f>
        <x:v>35876.962089204346</x:v>
      </x:c>
      <x:c r="R41" s="40" t="n">
        <x:f>MIN(P41,Q41)</x:f>
        <x:v>876.9620892043458</x:v>
      </x:c>
      <x:c r="S41" s="40" t="n">
        <x:f>I41+R41</x:f>
        <x:v>31240.40737376886</x:v>
      </x:c>
      <x:c r="T41" s="40" t="n">
        <x:f>U40</x:f>
        <x:v>32979.19615420949</x:v>
      </x:c>
      <x:c r="U41" s="40" t="n">
        <x:f>T41*(1+'Inputs &amp; Summary'!$B$17)+R41+N41+H41</x:f>
        <x:v>34016.68614829882</x:v>
      </x:c>
      <x:c r="V41" s="40" t="n">
        <x:f>Y40</x:f>
        <x:v>390624.2299556184</x:v>
      </x:c>
      <x:c r="W41" s="40" t="n">
        <x:f>V41*'Inputs &amp; Summary'!$B$15</x:f>
        <x:v>1451.2938479480968</x:v>
      </x:c>
      <x:c r="X41" s="40" t="n">
        <x:f>IF(V41&lt;=0.00000001,0,MIN('Inputs &amp; Summary'!$B$18,V41+W41))</x:f>
        <x:v>2324.586407999052</x:v>
      </x:c>
      <x:c r="Y41" s="40" t="n">
        <x:f>IF(ABS(MAX(0,V41+W41-X41))&lt;0.00000001,0,MAX(0,V41+W41-X41))</x:f>
        <x:v>389750.9373955674</x:v>
      </x:c>
      <x:c r="Z41" s="40" t="n">
        <x:f>MAX(0,'Inputs &amp; Summary'!$B$18-X41)</x:f>
        <x:v>0</x:v>
      </x:c>
      <x:c r="AA41" s="40" t="n">
        <x:f>AC40</x:f>
        <x:v>2910.8378749654976</x:v>
      </x:c>
      <x:c r="AB41" s="40" t="n">
        <x:f>J41</x:f>
        <x:v>164.4686619580578</x:v>
      </x:c>
      <x:c r="AC41" s="40" t="n">
        <x:f>AA41*(1+'Inputs &amp; Summary'!$B$17)+Z41+AB41</x:f>
        <x:v>3089.4751874674657</x:v>
      </x:c>
      <x:c r="AD41" s="40" t="n">
        <x:f>F41+H41+J41</x:f>
        <x:v>2489.05506995711</x:v>
      </x:c>
      <x:c r="AE41" s="40" t="n">
        <x:f>X41+Z41+AB41</x:f>
        <x:v>2489.05506995711</x:v>
      </x:c>
      <x:c r="AF41" s="40" t="n">
        <x:f>AD41-AE41</x:f>
        <x:v>0</x:v>
      </x:c>
      <x:c r="AG41" s="42" t="n">
        <x:f>(O41+S41)/'Inputs &amp; Summary'!$B$4</x:f>
        <x:v>0.6</x:v>
      </x:c>
      <x:c r="AH41" s="40" t="n">
        <x:f>U41-O41-S41</x:f>
        <x:v>-385983.3138517012</x:v>
      </x:c>
      <x:c r="AI41" s="40" t="n">
        <x:f>AC41-Y41</x:f>
        <x:v>-386661.46220809995</x:v>
      </x:c>
      <x:c r="AJ41" s="40" t="n">
        <x:f>AH41-AI41</x:f>
        <x:v>678.1483563987422</x:v>
      </x:c>
    </x:row>
    <x:row r="42">
      <x:c r="A42" t="n">
        <x:f>A41+1</x:f>
        <x:v>38</x:v>
      </x:c>
      <x:c r="B42" t="n">
        <x:f>INT((A42-1)/12)+1</x:f>
        <x:v>4</x:v>
      </x:c>
      <x:c r="C42" t="n">
        <x:f>MOD(A42-1,12)+1</x:f>
        <x:v>2</x:v>
      </x:c>
      <x:c r="D42" s="40" t="n">
        <x:f>O41</x:f>
        <x:v>388759.59262623114</x:v>
      </x:c>
      <x:c r="E42" s="40" t="n">
        <x:f>D42*'Inputs &amp; Summary'!$B$15</x:f>
        <x:v>1444.366124378308</x:v>
      </x:c>
      <x:c r="F42" s="40" t="n">
        <x:f>IF(D42&lt;=0.00000001,0,MIN('Inputs &amp; Summary'!$B$18,D42+E42))</x:f>
        <x:v>2324.586407999052</x:v>
      </x:c>
      <x:c r="G42" s="40" t="n">
        <x:f>IF(ABS(MAX(0,D42+E42-F42))&lt;0.00000001,0,MAX(0,D42+E42-F42))</x:f>
        <x:v>387879.3723426104</x:v>
      </x:c>
      <x:c r="H42" s="40" t="n">
        <x:f>MAX(0,'Inputs &amp; Summary'!$B$18-F42)</x:f>
        <x:v>0</x:v>
      </x:c>
      <x:c r="I42" s="40" t="n">
        <x:f>S41</x:f>
        <x:v>31240.40737376886</x:v>
      </x:c>
      <x:c r="J42" s="40" t="n">
        <x:f>I42*'Inputs &amp; Summary'!$B$16</x:f>
        <x:v>169.21887327458134</x:v>
      </x:c>
      <x:c r="K42" s="40" t="n">
        <x:f>IF(C42=1,J42,K41+J42)</x:f>
        <x:v>333.6875352326391</x:v>
      </x:c>
      <x:c r="L42" s="40" t="n">
        <x:f>IF(C42=12,K42*'Inputs &amp; Summary'!$B$11*'Inputs &amp; Summary'!$B$12,0)</x:f>
        <x:v>0</x:v>
      </x:c>
      <x:c r="M42" s="40" t="n">
        <x:f>MIN(L42,G42)</x:f>
        <x:v>0</x:v>
      </x:c>
      <x:c r="N42" s="40" t="n">
        <x:f>MAX(0,L42-M42)</x:f>
        <x:v>0</x:v>
      </x:c>
      <x:c r="O42" s="40" t="n">
        <x:f>IF(ABS(MAX(0,G42-M42))&lt;0.00000001,0,MAX(0,G42-M42))</x:f>
        <x:v>387879.3723426104</x:v>
      </x:c>
      <x:c r="P42" s="40" t="n">
        <x:f>MAX(0,D42-O42)</x:f>
        <x:v>880.220283620758</x:v>
      </x:c>
      <x:c r="Q42" s="40" t="n">
        <x:f>MAX(0,'Inputs &amp; Summary'!$B$19*'Inputs &amp; Summary'!$B$4-O42-I42)</x:f>
        <x:v>35880.22028362076</x:v>
      </x:c>
      <x:c r="R42" s="40" t="n">
        <x:f>MIN(P42,Q42)</x:f>
        <x:v>880.220283620758</x:v>
      </x:c>
      <x:c r="S42" s="40" t="n">
        <x:f>I42+R42</x:f>
        <x:v>32120.627657389618</x:v>
      </x:c>
      <x:c r="T42" s="40" t="n">
        <x:f>U41</x:f>
        <x:v>34016.68614829882</x:v>
      </x:c>
      <x:c r="U42" s="40" t="n">
        <x:f>T42*(1+'Inputs &amp; Summary'!$B$17)+R42+N42+H42</x:f>
        <x:v>35062.48437181182</x:v>
      </x:c>
      <x:c r="V42" s="40" t="n">
        <x:f>Y41</x:f>
        <x:v>389750.9373955674</x:v>
      </x:c>
      <x:c r="W42" s="40" t="n">
        <x:f>V42*'Inputs &amp; Summary'!$B$15</x:f>
        <x:v>1448.0492870052058</x:v>
      </x:c>
      <x:c r="X42" s="40" t="n">
        <x:f>IF(V42&lt;=0.00000001,0,MIN('Inputs &amp; Summary'!$B$18,V42+W42))</x:f>
        <x:v>2324.586407999052</x:v>
      </x:c>
      <x:c r="Y42" s="40" t="n">
        <x:f>IF(ABS(MAX(0,V42+W42-X42))&lt;0.00000001,0,MAX(0,V42+W42-X42))</x:f>
        <x:v>388874.4002745736</x:v>
      </x:c>
      <x:c r="Z42" s="40" t="n">
        <x:f>MAX(0,'Inputs &amp; Summary'!$B$18-X42)</x:f>
        <x:v>0</x:v>
      </x:c>
      <x:c r="AA42" s="40" t="n">
        <x:f>AC41</x:f>
        <x:v>3089.4751874674657</x:v>
      </x:c>
      <x:c r="AB42" s="40" t="n">
        <x:f>J42</x:f>
        <x:v>169.21887327458134</x:v>
      </x:c>
      <x:c r="AC42" s="40" t="n">
        <x:f>AA42*(1+'Inputs &amp; Summary'!$B$17)+Z42+AB42</x:f>
        <x:v>3273.7322374374176</x:v>
      </x:c>
      <x:c r="AD42" s="40" t="n">
        <x:f>F42+H42+J42</x:f>
        <x:v>2493.805281273633</x:v>
      </x:c>
      <x:c r="AE42" s="40" t="n">
        <x:f>X42+Z42+AB42</x:f>
        <x:v>2493.805281273633</x:v>
      </x:c>
      <x:c r="AF42" s="40" t="n">
        <x:f>AD42-AE42</x:f>
        <x:v>0</x:v>
      </x:c>
      <x:c r="AG42" s="42" t="n">
        <x:f>(O42+S42)/'Inputs &amp; Summary'!$B$4</x:f>
        <x:v>0.6</x:v>
      </x:c>
      <x:c r="AH42" s="40" t="n">
        <x:f>U42-O42-S42</x:f>
        <x:v>-384937.51562818815</x:v>
      </x:c>
      <x:c r="AI42" s="40" t="n">
        <x:f>AC42-Y42</x:f>
        <x:v>-385600.6680371362</x:v>
      </x:c>
      <x:c r="AJ42" s="40" t="n">
        <x:f>AH42-AI42</x:f>
        <x:v>663.1524089480517</x:v>
      </x:c>
    </x:row>
    <x:row r="43">
      <x:c r="A43" t="n">
        <x:f>A42+1</x:f>
        <x:v>39</x:v>
      </x:c>
      <x:c r="B43" t="n">
        <x:f>INT((A43-1)/12)+1</x:f>
        <x:v>4</x:v>
      </x:c>
      <x:c r="C43" t="n">
        <x:f>MOD(A43-1,12)+1</x:f>
        <x:v>3</x:v>
      </x:c>
      <x:c r="D43" s="40" t="n">
        <x:f>O42</x:f>
        <x:v>387879.3723426104</x:v>
      </x:c>
      <x:c r="E43" s="40" t="n">
        <x:f>D43*'Inputs &amp; Summary'!$B$15</x:f>
        <x:v>1441.0958247284295</x:v>
      </x:c>
      <x:c r="F43" s="40" t="n">
        <x:f>IF(D43&lt;=0.00000001,0,MIN('Inputs &amp; Summary'!$B$18,D43+E43))</x:f>
        <x:v>2324.586407999052</x:v>
      </x:c>
      <x:c r="G43" s="40" t="n">
        <x:f>IF(ABS(MAX(0,D43+E43-F43))&lt;0.00000001,0,MAX(0,D43+E43-F43))</x:f>
        <x:v>386995.88175933977</x:v>
      </x:c>
      <x:c r="H43" s="40" t="n">
        <x:f>MAX(0,'Inputs &amp; Summary'!$B$18-F43)</x:f>
        <x:v>0</x:v>
      </x:c>
      <x:c r="I43" s="40" t="n">
        <x:f>S42</x:f>
        <x:v>32120.627657389618</x:v>
      </x:c>
      <x:c r="J43" s="40" t="n">
        <x:f>I43*'Inputs &amp; Summary'!$B$16</x:f>
        <x:v>173.98673314419378</x:v>
      </x:c>
      <x:c r="K43" s="40" t="n">
        <x:f>IF(C43=1,J43,K42+J43)</x:f>
        <x:v>507.67426837683286</x:v>
      </x:c>
      <x:c r="L43" s="40" t="n">
        <x:f>IF(C43=12,K43*'Inputs &amp; Summary'!$B$11*'Inputs &amp; Summary'!$B$12,0)</x:f>
        <x:v>0</x:v>
      </x:c>
      <x:c r="M43" s="40" t="n">
        <x:f>MIN(L43,G43)</x:f>
        <x:v>0</x:v>
      </x:c>
      <x:c r="N43" s="40" t="n">
        <x:f>MAX(0,L43-M43)</x:f>
        <x:v>0</x:v>
      </x:c>
      <x:c r="O43" s="40" t="n">
        <x:f>IF(ABS(MAX(0,G43-M43))&lt;0.00000001,0,MAX(0,G43-M43))</x:f>
        <x:v>386995.88175933977</x:v>
      </x:c>
      <x:c r="P43" s="40" t="n">
        <x:f>MAX(0,D43-O43)</x:f>
        <x:v>883.4905832706136</x:v>
      </x:c>
      <x:c r="Q43" s="40" t="n">
        <x:f>MAX(0,'Inputs &amp; Summary'!$B$19*'Inputs &amp; Summary'!$B$4-O43-I43)</x:f>
        <x:v>35883.49058327061</x:v>
      </x:c>
      <x:c r="R43" s="40" t="n">
        <x:f>MIN(P43,Q43)</x:f>
        <x:v>883.4905832706136</x:v>
      </x:c>
      <x:c r="S43" s="40" t="n">
        <x:f>I43+R43</x:f>
        <x:v>33004.11824066023</x:v>
      </x:c>
      <x:c r="T43" s="40" t="n">
        <x:f>U42</x:f>
        <x:v>35062.48437181182</x:v>
      </x:c>
      <x:c r="U43" s="40" t="n">
        <x:f>T43*(1+'Inputs &amp; Summary'!$B$17)+R43+N43+H43</x:f>
        <x:v>36116.64337070878</x:v>
      </x:c>
      <x:c r="V43" s="40" t="n">
        <x:f>Y42</x:f>
        <x:v>388874.4002745736</x:v>
      </x:c>
      <x:c r="W43" s="40" t="n">
        <x:f>V43*'Inputs &amp; Summary'!$B$15</x:f>
        <x:v>1444.7926714815324</x:v>
      </x:c>
      <x:c r="X43" s="40" t="n">
        <x:f>IF(V43&lt;=0.00000001,0,MIN('Inputs &amp; Summary'!$B$18,V43+W43))</x:f>
        <x:v>2324.586407999052</x:v>
      </x:c>
      <x:c r="Y43" s="40" t="n">
        <x:f>IF(ABS(MAX(0,V43+W43-X43))&lt;0.00000001,0,MAX(0,V43+W43-X43))</x:f>
        <x:v>387994.6065380561</x:v>
      </x:c>
      <x:c r="Z43" s="40" t="n">
        <x:f>MAX(0,'Inputs &amp; Summary'!$B$18-X43)</x:f>
        <x:v>0</x:v>
      </x:c>
      <x:c r="AA43" s="40" t="n">
        <x:f>AC42</x:f>
        <x:v>3273.7322374374176</x:v>
      </x:c>
      <x:c r="AB43" s="40" t="n">
        <x:f>J43</x:f>
        <x:v>173.98673314419378</x:v>
      </x:c>
      <x:c r="AC43" s="40" t="n">
        <x:f>AA43*(1+'Inputs &amp; Summary'!$B$17)+Z43+AB43</x:f>
        <x:v>3463.6540277847316</x:v>
      </x:c>
      <x:c r="AD43" s="40" t="n">
        <x:f>F43+H43+J43</x:f>
        <x:v>2498.5731411432457</x:v>
      </x:c>
      <x:c r="AE43" s="40" t="n">
        <x:f>X43+Z43+AB43</x:f>
        <x:v>2498.5731411432457</x:v>
      </x:c>
      <x:c r="AF43" s="40" t="n">
        <x:f>AD43-AE43</x:f>
        <x:v>0</x:v>
      </x:c>
      <x:c r="AG43" s="42" t="n">
        <x:f>(O43+S43)/'Inputs &amp; Summary'!$B$4</x:f>
        <x:v>0.6</x:v>
      </x:c>
      <x:c r="AH43" s="40" t="n">
        <x:f>U43-O43-S43</x:f>
        <x:v>-383883.3566292912</x:v>
      </x:c>
      <x:c r="AI43" s="40" t="n">
        <x:f>AC43-Y43</x:f>
        <x:v>-384530.9525102714</x:v>
      </x:c>
      <x:c r="AJ43" s="40" t="n">
        <x:f>AH43-AI43</x:f>
        <x:v>647.595880980196</x:v>
      </x:c>
    </x:row>
    <x:row r="44">
      <x:c r="A44" t="n">
        <x:f>A43+1</x:f>
        <x:v>40</x:v>
      </x:c>
      <x:c r="B44" t="n">
        <x:f>INT((A44-1)/12)+1</x:f>
        <x:v>4</x:v>
      </x:c>
      <x:c r="C44" t="n">
        <x:f>MOD(A44-1,12)+1</x:f>
        <x:v>4</x:v>
      </x:c>
      <x:c r="D44" s="40" t="n">
        <x:f>O43</x:f>
        <x:v>386995.88175933977</x:v>
      </x:c>
      <x:c r="E44" s="40" t="n">
        <x:f>D44*'Inputs &amp; Summary'!$B$15</x:f>
        <x:v>1437.8133748702464</x:v>
      </x:c>
      <x:c r="F44" s="40" t="n">
        <x:f>IF(D44&lt;=0.00000001,0,MIN('Inputs &amp; Summary'!$B$18,D44+E44))</x:f>
        <x:v>2324.586407999052</x:v>
      </x:c>
      <x:c r="G44" s="40" t="n">
        <x:f>IF(ABS(MAX(0,D44+E44-F44))&lt;0.00000001,0,MAX(0,D44+E44-F44))</x:f>
        <x:v>386109.10872621095</x:v>
      </x:c>
      <x:c r="H44" s="40" t="n">
        <x:f>MAX(0,'Inputs &amp; Summary'!$B$18-F44)</x:f>
        <x:v>0</x:v>
      </x:c>
      <x:c r="I44" s="40" t="n">
        <x:f>S43</x:f>
        <x:v>33004.11824066023</x:v>
      </x:c>
      <x:c r="J44" s="40" t="n">
        <x:f>I44*'Inputs &amp; Summary'!$B$16</x:f>
        <x:v>178.7723071369096</x:v>
      </x:c>
      <x:c r="K44" s="40" t="n">
        <x:f>IF(C44=1,J44,K43+J44)</x:f>
        <x:v>686.4465755137425</x:v>
      </x:c>
      <x:c r="L44" s="40" t="n">
        <x:f>IF(C44=12,K44*'Inputs &amp; Summary'!$B$11*'Inputs &amp; Summary'!$B$12,0)</x:f>
        <x:v>0</x:v>
      </x:c>
      <x:c r="M44" s="40" t="n">
        <x:f>MIN(L44,G44)</x:f>
        <x:v>0</x:v>
      </x:c>
      <x:c r="N44" s="40" t="n">
        <x:f>MAX(0,L44-M44)</x:f>
        <x:v>0</x:v>
      </x:c>
      <x:c r="O44" s="40" t="n">
        <x:f>IF(ABS(MAX(0,G44-M44))&lt;0.00000001,0,MAX(0,G44-M44))</x:f>
        <x:v>386109.10872621095</x:v>
      </x:c>
      <x:c r="P44" s="40" t="n">
        <x:f>MAX(0,D44-O44)</x:f>
        <x:v>886.7730331288185</x:v>
      </x:c>
      <x:c r="Q44" s="40" t="n">
        <x:f>MAX(0,'Inputs &amp; Summary'!$B$19*'Inputs &amp; Summary'!$B$4-O44-I44)</x:f>
        <x:v>35886.77303312882</x:v>
      </x:c>
      <x:c r="R44" s="40" t="n">
        <x:f>MIN(P44,Q44)</x:f>
        <x:v>886.7730331288185</x:v>
      </x:c>
      <x:c r="S44" s="40" t="n">
        <x:f>I44+R44</x:f>
        <x:v>33890.89127378905</x:v>
      </x:c>
      <x:c r="T44" s="40" t="n">
        <x:f>U43</x:f>
        <x:v>36116.64337070878</x:v>
      </x:c>
      <x:c r="U44" s="40" t="n">
        <x:f>T44*(1+'Inputs &amp; Summary'!$B$17)+R44+N44+H44</x:f>
        <x:v>37179.21599169498</x:v>
      </x:c>
      <x:c r="V44" s="40" t="n">
        <x:f>Y43</x:f>
        <x:v>387994.6065380561</x:v>
      </x:c>
      <x:c r="W44" s="40" t="n">
        <x:f>V44*'Inputs &amp; Summary'!$B$15</x:f>
        <x:v>1441.5239565904562</x:v>
      </x:c>
      <x:c r="X44" s="40" t="n">
        <x:f>IF(V44&lt;=0.00000001,0,MIN('Inputs &amp; Summary'!$B$18,V44+W44))</x:f>
        <x:v>2324.586407999052</x:v>
      </x:c>
      <x:c r="Y44" s="40" t="n">
        <x:f>IF(ABS(MAX(0,V44+W44-X44))&lt;0.00000001,0,MAX(0,V44+W44-X44))</x:f>
        <x:v>387111.5440866475</x:v>
      </x:c>
      <x:c r="Z44" s="40" t="n">
        <x:f>MAX(0,'Inputs &amp; Summary'!$B$18-X44)</x:f>
        <x:v>0</x:v>
      </x:c>
      <x:c r="AA44" s="40" t="n">
        <x:f>AC43</x:f>
        <x:v>3463.6540277847316</x:v>
      </x:c>
      <x:c r="AB44" s="40" t="n">
        <x:f>J44</x:f>
        <x:v>178.7723071369096</x:v>
      </x:c>
      <x:c r="AC44" s="40" t="n">
        <x:f>AA44*(1+'Inputs &amp; Summary'!$B$17)+Z44+AB44</x:f>
        <x:v>3659.2858460427374</x:v>
      </x:c>
      <x:c r="AD44" s="40" t="n">
        <x:f>F44+H44+J44</x:f>
        <x:v>2503.3587151359616</x:v>
      </x:c>
      <x:c r="AE44" s="40" t="n">
        <x:f>X44+Z44+AB44</x:f>
        <x:v>2503.3587151359616</x:v>
      </x:c>
      <x:c r="AF44" s="40" t="n">
        <x:f>AD44-AE44</x:f>
        <x:v>0</x:v>
      </x:c>
      <x:c r="AG44" s="42" t="n">
        <x:f>(O44+S44)/'Inputs &amp; Summary'!$B$4</x:f>
        <x:v>0.6</x:v>
      </x:c>
      <x:c r="AH44" s="40" t="n">
        <x:f>U44-O44-S44</x:f>
        <x:v>-382820.784008305</x:v>
      </x:c>
      <x:c r="AI44" s="40" t="n">
        <x:f>AC44-Y44</x:f>
        <x:v>-383452.2582406048</x:v>
      </x:c>
      <x:c r="AJ44" s="40" t="n">
        <x:f>AH44-AI44</x:f>
        <x:v>631.4742322997772</x:v>
      </x:c>
    </x:row>
    <x:row r="45">
      <x:c r="A45" t="n">
        <x:f>A44+1</x:f>
        <x:v>41</x:v>
      </x:c>
      <x:c r="B45" t="n">
        <x:f>INT((A45-1)/12)+1</x:f>
        <x:v>4</x:v>
      </x:c>
      <x:c r="C45" t="n">
        <x:f>MOD(A45-1,12)+1</x:f>
        <x:v>5</x:v>
      </x:c>
      <x:c r="D45" s="40" t="n">
        <x:f>O44</x:f>
        <x:v>386109.10872621095</x:v>
      </x:c>
      <x:c r="E45" s="40" t="n">
        <x:f>D45*'Inputs &amp; Summary'!$B$15</x:f>
        <x:v>1434.5187296618517</x:v>
      </x:c>
      <x:c r="F45" s="40" t="n">
        <x:f>IF(D45&lt;=0.00000001,0,MIN('Inputs &amp; Summary'!$B$18,D45+E45))</x:f>
        <x:v>2324.586407999052</x:v>
      </x:c>
      <x:c r="G45" s="40" t="n">
        <x:f>IF(ABS(MAX(0,D45+E45-F45))&lt;0.00000001,0,MAX(0,D45+E45-F45))</x:f>
        <x:v>385219.04104787373</x:v>
      </x:c>
      <x:c r="H45" s="40" t="n">
        <x:f>MAX(0,'Inputs &amp; Summary'!$B$18-F45)</x:f>
        <x:v>0</x:v>
      </x:c>
      <x:c r="I45" s="40" t="n">
        <x:f>S44</x:f>
        <x:v>33890.89127378905</x:v>
      </x:c>
      <x:c r="J45" s="40" t="n">
        <x:f>I45*'Inputs &amp; Summary'!$B$16</x:f>
        <x:v>183.57566106635736</x:v>
      </x:c>
      <x:c r="K45" s="40" t="n">
        <x:f>IF(C45=1,J45,K44+J45)</x:f>
        <x:v>870.0222365800998</x:v>
      </x:c>
      <x:c r="L45" s="40" t="n">
        <x:f>IF(C45=12,K45*'Inputs &amp; Summary'!$B$11*'Inputs &amp; Summary'!$B$12,0)</x:f>
        <x:v>0</x:v>
      </x:c>
      <x:c r="M45" s="40" t="n">
        <x:f>MIN(L45,G45)</x:f>
        <x:v>0</x:v>
      </x:c>
      <x:c r="N45" s="40" t="n">
        <x:f>MAX(0,L45-M45)</x:f>
        <x:v>0</x:v>
      </x:c>
      <x:c r="O45" s="40" t="n">
        <x:f>IF(ABS(MAX(0,G45-M45))&lt;0.00000001,0,MAX(0,G45-M45))</x:f>
        <x:v>385219.04104787373</x:v>
      </x:c>
      <x:c r="P45" s="40" t="n">
        <x:f>MAX(0,D45-O45)</x:f>
        <x:v>890.0676783372182</x:v>
      </x:c>
      <x:c r="Q45" s="40" t="n">
        <x:f>MAX(0,'Inputs &amp; Summary'!$B$19*'Inputs &amp; Summary'!$B$4-O45-I45)</x:f>
        <x:v>35890.06767833722</x:v>
      </x:c>
      <x:c r="R45" s="40" t="n">
        <x:f>MIN(P45,Q45)</x:f>
        <x:v>890.0676783372182</x:v>
      </x:c>
      <x:c r="S45" s="40" t="n">
        <x:f>I45+R45</x:f>
        <x:v>34780.95895212627</x:v>
      </x:c>
      <x:c r="T45" s="40" t="n">
        <x:f>U44</x:f>
        <x:v>37179.21599169498</x:v>
      </x:c>
      <x:c r="U45" s="40" t="n">
        <x:f>T45*(1+'Inputs &amp; Summary'!$B$17)+R45+N45+H45</x:f>
        <x:v>38250.25538385159</x:v>
      </x:c>
      <x:c r="V45" s="40" t="n">
        <x:f>Y44</x:f>
        <x:v>387111.5440866475</x:v>
      </x:c>
      <x:c r="W45" s="40" t="n">
        <x:f>V45*'Inputs &amp; Summary'!$B$15</x:f>
        <x:v>1438.2430973789606</x:v>
      </x:c>
      <x:c r="X45" s="40" t="n">
        <x:f>IF(V45&lt;=0.00000001,0,MIN('Inputs &amp; Summary'!$B$18,V45+W45))</x:f>
        <x:v>2324.586407999052</x:v>
      </x:c>
      <x:c r="Y45" s="40" t="n">
        <x:f>IF(ABS(MAX(0,V45+W45-X45))&lt;0.00000001,0,MAX(0,V45+W45-X45))</x:f>
        <x:v>386225.20077602746</x:v>
      </x:c>
      <x:c r="Z45" s="40" t="n">
        <x:f>MAX(0,'Inputs &amp; Summary'!$B$18-X45)</x:f>
        <x:v>0</x:v>
      </x:c>
      <x:c r="AA45" s="40" t="n">
        <x:f>AC44</x:f>
        <x:v>3659.2858460427374</x:v>
      </x:c>
      <x:c r="AB45" s="40" t="n">
        <x:f>J45</x:f>
        <x:v>183.57566106635736</x:v>
      </x:c>
      <x:c r="AC45" s="40" t="n">
        <x:f>AA45*(1+'Inputs &amp; Summary'!$B$17)+Z45+AB45</x:f>
        <x:v>3860.673265997752</x:v>
      </x:c>
      <x:c r="AD45" s="40" t="n">
        <x:f>F45+H45+J45</x:f>
        <x:v>2508.1620690654095</x:v>
      </x:c>
      <x:c r="AE45" s="40" t="n">
        <x:f>X45+Z45+AB45</x:f>
        <x:v>2508.1620690654095</x:v>
      </x:c>
      <x:c r="AF45" s="40" t="n">
        <x:f>AD45-AE45</x:f>
        <x:v>0</x:v>
      </x:c>
      <x:c r="AG45" s="42" t="n">
        <x:f>(O45+S45)/'Inputs &amp; Summary'!$B$4</x:f>
        <x:v>0.6</x:v>
      </x:c>
      <x:c r="AH45" s="40" t="n">
        <x:f>U45-O45-S45</x:f>
        <x:v>-381749.7446161484</x:v>
      </x:c>
      <x:c r="AI45" s="40" t="n">
        <x:f>AC45-Y45</x:f>
        <x:v>-382364.52751002973</x:v>
      </x:c>
      <x:c r="AJ45" s="40" t="n">
        <x:f>AH45-AI45</x:f>
        <x:v>614.7828938813182</x:v>
      </x:c>
    </x:row>
    <x:row r="46">
      <x:c r="A46" t="n">
        <x:f>A45+1</x:f>
        <x:v>42</x:v>
      </x:c>
      <x:c r="B46" t="n">
        <x:f>INT((A46-1)/12)+1</x:f>
        <x:v>4</x:v>
      </x:c>
      <x:c r="C46" t="n">
        <x:f>MOD(A46-1,12)+1</x:f>
        <x:v>6</x:v>
      </x:c>
      <x:c r="D46" s="40" t="n">
        <x:f>O45</x:f>
        <x:v>385219.04104787373</x:v>
      </x:c>
      <x:c r="E46" s="40" t="n">
        <x:f>D46*'Inputs &amp; Summary'!$B$15</x:f>
        <x:v>1431.2118437936222</x:v>
      </x:c>
      <x:c r="F46" s="40" t="n">
        <x:f>IF(D46&lt;=0.00000001,0,MIN('Inputs &amp; Summary'!$B$18,D46+E46))</x:f>
        <x:v>2324.586407999052</x:v>
      </x:c>
      <x:c r="G46" s="40" t="n">
        <x:f>IF(ABS(MAX(0,D46+E46-F46))&lt;0.00000001,0,MAX(0,D46+E46-F46))</x:f>
        <x:v>384325.6664836683</x:v>
      </x:c>
      <x:c r="H46" s="40" t="n">
        <x:f>MAX(0,'Inputs &amp; Summary'!$B$18-F46)</x:f>
        <x:v>0</x:v>
      </x:c>
      <x:c r="I46" s="40" t="n">
        <x:f>S45</x:f>
        <x:v>34780.95895212627</x:v>
      </x:c>
      <x:c r="J46" s="40" t="n">
        <x:f>I46*'Inputs &amp; Summary'!$B$16</x:f>
        <x:v>188.39686099068396</x:v>
      </x:c>
      <x:c r="K46" s="40" t="n">
        <x:f>IF(C46=1,J46,K45+J46)</x:f>
        <x:v>1058.4190975707838</x:v>
      </x:c>
      <x:c r="L46" s="40" t="n">
        <x:f>IF(C46=12,K46*'Inputs &amp; Summary'!$B$11*'Inputs &amp; Summary'!$B$12,0)</x:f>
        <x:v>0</x:v>
      </x:c>
      <x:c r="M46" s="40" t="n">
        <x:f>MIN(L46,G46)</x:f>
        <x:v>0</x:v>
      </x:c>
      <x:c r="N46" s="40" t="n">
        <x:f>MAX(0,L46-M46)</x:f>
        <x:v>0</x:v>
      </x:c>
      <x:c r="O46" s="40" t="n">
        <x:f>IF(ABS(MAX(0,G46-M46))&lt;0.00000001,0,MAX(0,G46-M46))</x:f>
        <x:v>384325.6664836683</x:v>
      </x:c>
      <x:c r="P46" s="40" t="n">
        <x:f>MAX(0,D46-O46)</x:f>
        <x:v>893.3745642054128</x:v>
      </x:c>
      <x:c r="Q46" s="40" t="n">
        <x:f>MAX(0,'Inputs &amp; Summary'!$B$19*'Inputs &amp; Summary'!$B$4-O46-I46)</x:f>
        <x:v>35893.37456420541</x:v>
      </x:c>
      <x:c r="R46" s="40" t="n">
        <x:f>MIN(P46,Q46)</x:f>
        <x:v>893.3745642054128</x:v>
      </x:c>
      <x:c r="S46" s="40" t="n">
        <x:f>I46+R46</x:f>
        <x:v>35674.33351633168</x:v>
      </x:c>
      <x:c r="T46" s="40" t="n">
        <x:f>U45</x:f>
        <x:v>38250.25538385159</x:v>
      </x:c>
      <x:c r="U46" s="40" t="n">
        <x:f>T46*(1+'Inputs &amp; Summary'!$B$17)+R46+N46+H46</x:f>
        <x:v>39329.815000275186</x:v>
      </x:c>
      <x:c r="V46" s="40" t="n">
        <x:f>Y45</x:f>
        <x:v>386225.20077602746</x:v>
      </x:c>
      <x:c r="W46" s="40" t="n">
        <x:f>V46*'Inputs &amp; Summary'!$B$15</x:f>
        <x:v>1434.9500487270145</x:v>
      </x:c>
      <x:c r="X46" s="40" t="n">
        <x:f>IF(V46&lt;=0.00000001,0,MIN('Inputs &amp; Summary'!$B$18,V46+W46))</x:f>
        <x:v>2324.586407999052</x:v>
      </x:c>
      <x:c r="Y46" s="40" t="n">
        <x:f>IF(ABS(MAX(0,V46+W46-X46))&lt;0.00000001,0,MAX(0,V46+W46-X46))</x:f>
        <x:v>385335.56441675546</x:v>
      </x:c>
      <x:c r="Z46" s="40" t="n">
        <x:f>MAX(0,'Inputs &amp; Summary'!$B$18-X46)</x:f>
        <x:v>0</x:v>
      </x:c>
      <x:c r="AA46" s="40" t="n">
        <x:f>AC45</x:f>
        <x:v>3860.673265997752</x:v>
      </x:c>
      <x:c r="AB46" s="40" t="n">
        <x:f>J46</x:f>
        <x:v>188.39686099068396</x:v>
      </x:c>
      <x:c r="AC46" s="40" t="n">
        <x:f>AA46*(1+'Inputs &amp; Summary'!$B$17)+Z46+AB46</x:f>
        <x:v>4067.862149326948</x:v>
      </x:c>
      <x:c r="AD46" s="40" t="n">
        <x:f>F46+H46+J46</x:f>
        <x:v>2512.9832689897357</x:v>
      </x:c>
      <x:c r="AE46" s="40" t="n">
        <x:f>X46+Z46+AB46</x:f>
        <x:v>2512.9832689897357</x:v>
      </x:c>
      <x:c r="AF46" s="40" t="n">
        <x:f>AD46-AE46</x:f>
        <x:v>0</x:v>
      </x:c>
      <x:c r="AG46" s="42" t="n">
        <x:f>(O46+S46)/'Inputs &amp; Summary'!$B$4</x:f>
        <x:v>0.6</x:v>
      </x:c>
      <x:c r="AH46" s="40" t="n">
        <x:f>U46-O46-S46</x:f>
        <x:v>-380670.1849997248</x:v>
      </x:c>
      <x:c r="AI46" s="40" t="n">
        <x:f>AC46-Y46</x:f>
        <x:v>-381267.7022674285</x:v>
      </x:c>
      <x:c r="AJ46" s="40" t="n">
        <x:f>AH46-AI46</x:f>
        <x:v>597.517267703719</x:v>
      </x:c>
    </x:row>
    <x:row r="47">
      <x:c r="A47" t="n">
        <x:f>A46+1</x:f>
        <x:v>43</x:v>
      </x:c>
      <x:c r="B47" t="n">
        <x:f>INT((A47-1)/12)+1</x:f>
        <x:v>4</x:v>
      </x:c>
      <x:c r="C47" t="n">
        <x:f>MOD(A47-1,12)+1</x:f>
        <x:v>7</x:v>
      </x:c>
      <x:c r="D47" s="40" t="n">
        <x:f>O46</x:f>
        <x:v>384325.6664836683</x:v>
      </x:c>
      <x:c r="E47" s="40" t="n">
        <x:f>D47*'Inputs &amp; Summary'!$B$15</x:f>
        <x:v>1427.892671787595</x:v>
      </x:c>
      <x:c r="F47" s="40" t="n">
        <x:f>IF(D47&lt;=0.00000001,0,MIN('Inputs &amp; Summary'!$B$18,D47+E47))</x:f>
        <x:v>2324.586407999052</x:v>
      </x:c>
      <x:c r="G47" s="40" t="n">
        <x:f>IF(ABS(MAX(0,D47+E47-F47))&lt;0.00000001,0,MAX(0,D47+E47-F47))</x:f>
        <x:v>383428.97274745686</x:v>
      </x:c>
      <x:c r="H47" s="40" t="n">
        <x:f>MAX(0,'Inputs &amp; Summary'!$B$18-F47)</x:f>
        <x:v>0</x:v>
      </x:c>
      <x:c r="I47" s="40" t="n">
        <x:f>S46</x:f>
        <x:v>35674.33351633168</x:v>
      </x:c>
      <x:c r="J47" s="40" t="n">
        <x:f>I47*'Inputs &amp; Summary'!$B$16</x:f>
        <x:v>193.23597321346327</x:v>
      </x:c>
      <x:c r="K47" s="40" t="n">
        <x:f>IF(C47=1,J47,K46+J47)</x:f>
        <x:v>1251.655070784247</x:v>
      </x:c>
      <x:c r="L47" s="40" t="n">
        <x:f>IF(C47=12,K47*'Inputs &amp; Summary'!$B$11*'Inputs &amp; Summary'!$B$12,0)</x:f>
        <x:v>0</x:v>
      </x:c>
      <x:c r="M47" s="40" t="n">
        <x:f>MIN(L47,G47)</x:f>
        <x:v>0</x:v>
      </x:c>
      <x:c r="N47" s="40" t="n">
        <x:f>MAX(0,L47-M47)</x:f>
        <x:v>0</x:v>
      </x:c>
      <x:c r="O47" s="40" t="n">
        <x:f>IF(ABS(MAX(0,G47-M47))&lt;0.00000001,0,MAX(0,G47-M47))</x:f>
        <x:v>383428.97274745686</x:v>
      </x:c>
      <x:c r="P47" s="40" t="n">
        <x:f>MAX(0,D47-O47)</x:f>
        <x:v>896.693736211455</x:v>
      </x:c>
      <x:c r="Q47" s="40" t="n">
        <x:f>MAX(0,'Inputs &amp; Summary'!$B$19*'Inputs &amp; Summary'!$B$4-O47-I47)</x:f>
        <x:v>35896.693736211455</x:v>
      </x:c>
      <x:c r="R47" s="40" t="n">
        <x:f>MIN(P47,Q47)</x:f>
        <x:v>896.693736211455</x:v>
      </x:c>
      <x:c r="S47" s="40" t="n">
        <x:f>I47+R47</x:f>
        <x:v>36571.027252543136</x:v>
      </x:c>
      <x:c r="T47" s="40" t="n">
        <x:f>U46</x:f>
        <x:v>39329.815000275186</x:v>
      </x:c>
      <x:c r="U47" s="40" t="n">
        <x:f>T47*(1+'Inputs &amp; Summary'!$B$17)+R47+N47+H47</x:f>
        <x:v>40417.94859972607</x:v>
      </x:c>
      <x:c r="V47" s="40" t="n">
        <x:f>Y46</x:f>
        <x:v>385335.56441675546</x:v>
      </x:c>
      <x:c r="W47" s="40" t="n">
        <x:f>V47*'Inputs &amp; Summary'!$B$15</x:f>
        <x:v>1431.644765346951</x:v>
      </x:c>
      <x:c r="X47" s="40" t="n">
        <x:f>IF(V47&lt;=0.00000001,0,MIN('Inputs &amp; Summary'!$B$18,V47+W47))</x:f>
        <x:v>2324.586407999052</x:v>
      </x:c>
      <x:c r="Y47" s="40" t="n">
        <x:f>IF(ABS(MAX(0,V47+W47-X47))&lt;0.00000001,0,MAX(0,V47+W47-X47))</x:f>
        <x:v>384442.62277410337</x:v>
      </x:c>
      <x:c r="Z47" s="40" t="n">
        <x:f>MAX(0,'Inputs &amp; Summary'!$B$18-X47)</x:f>
        <x:v>0</x:v>
      </x:c>
      <x:c r="AA47" s="40" t="n">
        <x:f>AC46</x:f>
        <x:v>4067.862149326948</x:v>
      </x:c>
      <x:c r="AB47" s="40" t="n">
        <x:f>J47</x:f>
        <x:v>193.23597321346327</x:v>
      </x:c>
      <x:c r="AC47" s="40" t="n">
        <x:f>AA47*(1+'Inputs &amp; Summary'!$B$17)+Z47+AB47</x:f>
        <x:v>4280.898647245105</x:v>
      </x:c>
      <x:c r="AD47" s="40" t="n">
        <x:f>F47+H47+J47</x:f>
        <x:v>2517.822381212515</x:v>
      </x:c>
      <x:c r="AE47" s="40" t="n">
        <x:f>X47+Z47+AB47</x:f>
        <x:v>2517.822381212515</x:v>
      </x:c>
      <x:c r="AF47" s="40" t="n">
        <x:f>AD47-AE47</x:f>
        <x:v>0</x:v>
      </x:c>
      <x:c r="AG47" s="42" t="n">
        <x:f>(O47+S47)/'Inputs &amp; Summary'!$B$4</x:f>
        <x:v>0.6</x:v>
      </x:c>
      <x:c r="AH47" s="40" t="n">
        <x:f>U47-O47-S47</x:f>
        <x:v>-379582.0514002739</x:v>
      </x:c>
      <x:c r="AI47" s="40" t="n">
        <x:f>AC47-Y47</x:f>
        <x:v>-380161.7241268583</x:v>
      </x:c>
      <x:c r="AJ47" s="40" t="n">
        <x:f>AH47-AI47</x:f>
        <x:v>579.6727265843656</x:v>
      </x:c>
    </x:row>
    <x:row r="48">
      <x:c r="A48" t="n">
        <x:f>A47+1</x:f>
        <x:v>44</x:v>
      </x:c>
      <x:c r="B48" t="n">
        <x:f>INT((A48-1)/12)+1</x:f>
        <x:v>4</x:v>
      </x:c>
      <x:c r="C48" t="n">
        <x:f>MOD(A48-1,12)+1</x:f>
        <x:v>8</x:v>
      </x:c>
      <x:c r="D48" s="40" t="n">
        <x:f>O47</x:f>
        <x:v>383428.97274745686</x:v>
      </x:c>
      <x:c r="E48" s="40" t="n">
        <x:f>D48*'Inputs &amp; Summary'!$B$15</x:f>
        <x:v>1424.5611679968415</x:v>
      </x:c>
      <x:c r="F48" s="40" t="n">
        <x:f>IF(D48&lt;=0.00000001,0,MIN('Inputs &amp; Summary'!$B$18,D48+E48))</x:f>
        <x:v>2324.586407999052</x:v>
      </x:c>
      <x:c r="G48" s="40" t="n">
        <x:f>IF(ABS(MAX(0,D48+E48-F48))&lt;0.00000001,0,MAX(0,D48+E48-F48))</x:f>
        <x:v>382528.94750745466</x:v>
      </x:c>
      <x:c r="H48" s="40" t="n">
        <x:f>MAX(0,'Inputs &amp; Summary'!$B$18-F48)</x:f>
        <x:v>0</x:v>
      </x:c>
      <x:c r="I48" s="40" t="n">
        <x:f>S47</x:f>
        <x:v>36571.027252543136</x:v>
      </x:c>
      <x:c r="J48" s="40" t="n">
        <x:f>I48*'Inputs &amp; Summary'!$B$16</x:f>
        <x:v>198.09306428460866</x:v>
      </x:c>
      <x:c r="K48" s="40" t="n">
        <x:f>IF(C48=1,J48,K47+J48)</x:f>
        <x:v>1449.7481350688558</x:v>
      </x:c>
      <x:c r="L48" s="40" t="n">
        <x:f>IF(C48=12,K48*'Inputs &amp; Summary'!$B$11*'Inputs &amp; Summary'!$B$12,0)</x:f>
        <x:v>0</x:v>
      </x:c>
      <x:c r="M48" s="40" t="n">
        <x:f>MIN(L48,G48)</x:f>
        <x:v>0</x:v>
      </x:c>
      <x:c r="N48" s="40" t="n">
        <x:f>MAX(0,L48-M48)</x:f>
        <x:v>0</x:v>
      </x:c>
      <x:c r="O48" s="40" t="n">
        <x:f>IF(ABS(MAX(0,G48-M48))&lt;0.00000001,0,MAX(0,G48-M48))</x:f>
        <x:v>382528.94750745466</x:v>
      </x:c>
      <x:c r="P48" s="40" t="n">
        <x:f>MAX(0,D48-O48)</x:f>
        <x:v>900.0252400022</x:v>
      </x:c>
      <x:c r="Q48" s="40" t="n">
        <x:f>MAX(0,'Inputs &amp; Summary'!$B$19*'Inputs &amp; Summary'!$B$4-O48-I48)</x:f>
        <x:v>35900.0252400022</x:v>
      </x:c>
      <x:c r="R48" s="40" t="n">
        <x:f>MIN(P48,Q48)</x:f>
        <x:v>900.0252400022</x:v>
      </x:c>
      <x:c r="S48" s="40" t="n">
        <x:f>I48+R48</x:f>
        <x:v>37471.052492545336</x:v>
      </x:c>
      <x:c r="T48" s="40" t="n">
        <x:f>U47</x:f>
        <x:v>40417.94859972607</x:v>
      </x:c>
      <x:c r="U48" s="40" t="n">
        <x:f>T48*(1+'Inputs &amp; Summary'!$B$17)+R48+N48+H48</x:f>
        <x:v>41514.71024828487</x:v>
      </x:c>
      <x:c r="V48" s="40" t="n">
        <x:f>Y47</x:f>
        <x:v>384442.62277410337</x:v>
      </x:c>
      <x:c r="W48" s="40" t="n">
        <x:f>V48*'Inputs &amp; Summary'!$B$15</x:f>
        <x:v>1428.3272017828451</x:v>
      </x:c>
      <x:c r="X48" s="40" t="n">
        <x:f>IF(V48&lt;=0.00000001,0,MIN('Inputs &amp; Summary'!$B$18,V48+W48))</x:f>
        <x:v>2324.586407999052</x:v>
      </x:c>
      <x:c r="Y48" s="40" t="n">
        <x:f>IF(ABS(MAX(0,V48+W48-X48))&lt;0.00000001,0,MAX(0,V48+W48-X48))</x:f>
        <x:v>383546.36356788717</x:v>
      </x:c>
      <x:c r="Z48" s="40" t="n">
        <x:f>MAX(0,'Inputs &amp; Summary'!$B$18-X48)</x:f>
        <x:v>0</x:v>
      </x:c>
      <x:c r="AA48" s="40" t="n">
        <x:f>AC47</x:f>
        <x:v>4280.898647245105</x:v>
      </x:c>
      <x:c r="AB48" s="40" t="n">
        <x:f>J48</x:f>
        <x:v>198.09306428460866</x:v>
      </x:c>
      <x:c r="AC48" s="40" t="n">
        <x:f>AA48*(1+'Inputs &amp; Summary'!$B$17)+Z48+AB48</x:f>
        <x:v>4499.829202160288</x:v>
      </x:c>
      <x:c r="AD48" s="40" t="n">
        <x:f>F48+H48+J48</x:f>
        <x:v>2522.6794722836607</x:v>
      </x:c>
      <x:c r="AE48" s="40" t="n">
        <x:f>X48+Z48+AB48</x:f>
        <x:v>2522.6794722836607</x:v>
      </x:c>
      <x:c r="AF48" s="40" t="n">
        <x:f>AD48-AE48</x:f>
        <x:v>0</x:v>
      </x:c>
      <x:c r="AG48" s="42" t="n">
        <x:f>(O48+S48)/'Inputs &amp; Summary'!$B$4</x:f>
        <x:v>0.6</x:v>
      </x:c>
      <x:c r="AH48" s="40" t="n">
        <x:f>U48-O48-S48</x:f>
        <x:v>-378485.28975171514</x:v>
      </x:c>
      <x:c r="AI48" s="40" t="n">
        <x:f>AC48-Y48</x:f>
        <x:v>-379046.53436572687</x:v>
      </x:c>
      <x:c r="AJ48" s="40" t="n">
        <x:f>AH48-AI48</x:f>
        <x:v>561.2446140117245</x:v>
      </x:c>
    </x:row>
    <x:row r="49">
      <x:c r="A49" t="n">
        <x:f>A48+1</x:f>
        <x:v>45</x:v>
      </x:c>
      <x:c r="B49" t="n">
        <x:f>INT((A49-1)/12)+1</x:f>
        <x:v>4</x:v>
      </x:c>
      <x:c r="C49" t="n">
        <x:f>MOD(A49-1,12)+1</x:f>
        <x:v>9</x:v>
      </x:c>
      <x:c r="D49" s="40" t="n">
        <x:f>O48</x:f>
        <x:v>382528.94750745466</x:v>
      </x:c>
      <x:c r="E49" s="40" t="n">
        <x:f>D49*'Inputs &amp; Summary'!$B$15</x:f>
        <x:v>1421.2172866048409</x:v>
      </x:c>
      <x:c r="F49" s="40" t="n">
        <x:f>IF(D49&lt;=0.00000001,0,MIN('Inputs &amp; Summary'!$B$18,D49+E49))</x:f>
        <x:v>2324.586407999052</x:v>
      </x:c>
      <x:c r="G49" s="40" t="n">
        <x:f>IF(ABS(MAX(0,D49+E49-F49))&lt;0.00000001,0,MAX(0,D49+E49-F49))</x:f>
        <x:v>381625.5783860605</x:v>
      </x:c>
      <x:c r="H49" s="40" t="n">
        <x:f>MAX(0,'Inputs &amp; Summary'!$B$18-F49)</x:f>
        <x:v>0</x:v>
      </x:c>
      <x:c r="I49" s="40" t="n">
        <x:f>S48</x:f>
        <x:v>37471.052492545336</x:v>
      </x:c>
      <x:c r="J49" s="40" t="n">
        <x:f>I49*'Inputs &amp; Summary'!$B$16</x:f>
        <x:v>202.96820100128724</x:v>
      </x:c>
      <x:c r="K49" s="40" t="n">
        <x:f>IF(C49=1,J49,K48+J49)</x:f>
        <x:v>1652.7163360701431</x:v>
      </x:c>
      <x:c r="L49" s="40" t="n">
        <x:f>IF(C49=12,K49*'Inputs &amp; Summary'!$B$11*'Inputs &amp; Summary'!$B$12,0)</x:f>
        <x:v>0</x:v>
      </x:c>
      <x:c r="M49" s="40" t="n">
        <x:f>MIN(L49,G49)</x:f>
        <x:v>0</x:v>
      </x:c>
      <x:c r="N49" s="40" t="n">
        <x:f>MAX(0,L49-M49)</x:f>
        <x:v>0</x:v>
      </x:c>
      <x:c r="O49" s="40" t="n">
        <x:f>IF(ABS(MAX(0,G49-M49))&lt;0.00000001,0,MAX(0,G49-M49))</x:f>
        <x:v>381625.5783860605</x:v>
      </x:c>
      <x:c r="P49" s="40" t="n">
        <x:f>MAX(0,D49-O49)</x:f>
        <x:v>903.3691213941784</x:v>
      </x:c>
      <x:c r="Q49" s="40" t="n">
        <x:f>MAX(0,'Inputs &amp; Summary'!$B$19*'Inputs &amp; Summary'!$B$4-O49-I49)</x:f>
        <x:v>35903.36912139418</x:v>
      </x:c>
      <x:c r="R49" s="40" t="n">
        <x:f>MIN(P49,Q49)</x:f>
        <x:v>903.3691213941784</x:v>
      </x:c>
      <x:c r="S49" s="40" t="n">
        <x:f>I49+R49</x:f>
        <x:v>38374.421613939514</x:v>
      </x:c>
      <x:c r="T49" s="40" t="n">
        <x:f>U48</x:f>
        <x:v>41514.71024828487</x:v>
      </x:c>
      <x:c r="U49" s="40" t="n">
        <x:f>T49*(1+'Inputs &amp; Summary'!$B$17)+R49+N49+H49</x:f>
        <x:v>42620.15432101814</x:v>
      </x:c>
      <x:c r="V49" s="40" t="n">
        <x:f>Y48</x:f>
        <x:v>383546.36356788717</x:v>
      </x:c>
      <x:c r="W49" s="40" t="n">
        <x:f>V49*'Inputs &amp; Summary'!$B$15</x:f>
        <x:v>1424.997312409889</x:v>
      </x:c>
      <x:c r="X49" s="40" t="n">
        <x:f>IF(V49&lt;=0.00000001,0,MIN('Inputs &amp; Summary'!$B$18,V49+W49))</x:f>
        <x:v>2324.586407999052</x:v>
      </x:c>
      <x:c r="Y49" s="40" t="n">
        <x:f>IF(ABS(MAX(0,V49+W49-X49))&lt;0.00000001,0,MAX(0,V49+W49-X49))</x:f>
        <x:v>382646.774472298</x:v>
      </x:c>
      <x:c r="Z49" s="40" t="n">
        <x:f>MAX(0,'Inputs &amp; Summary'!$B$18-X49)</x:f>
        <x:v>0</x:v>
      </x:c>
      <x:c r="AA49" s="40" t="n">
        <x:f>AC48</x:f>
        <x:v>4499.829202160288</x:v>
      </x:c>
      <x:c r="AB49" s="40" t="n">
        <x:f>J49</x:f>
        <x:v>202.96820100128724</x:v>
      </x:c>
      <x:c r="AC49" s="40" t="n">
        <x:f>AA49*(1+'Inputs &amp; Summary'!$B$17)+Z49+AB49</x:f>
        <x:v>4724.700549338499</x:v>
      </x:c>
      <x:c r="AD49" s="40" t="n">
        <x:f>F49+H49+J49</x:f>
        <x:v>2527.554609000339</x:v>
      </x:c>
      <x:c r="AE49" s="40" t="n">
        <x:f>X49+Z49+AB49</x:f>
        <x:v>2527.554609000339</x:v>
      </x:c>
      <x:c r="AF49" s="40" t="n">
        <x:f>AD49-AE49</x:f>
        <x:v>0</x:v>
      </x:c>
      <x:c r="AG49" s="42" t="n">
        <x:f>(O49+S49)/'Inputs &amp; Summary'!$B$4</x:f>
        <x:v>0.6</x:v>
      </x:c>
      <x:c r="AH49" s="40" t="n">
        <x:f>U49-O49-S49</x:f>
        <x:v>-377379.84567898186</x:v>
      </x:c>
      <x:c r="AI49" s="40" t="n">
        <x:f>AC49-Y49</x:f>
        <x:v>-377922.0739229595</x:v>
      </x:c>
      <x:c r="AJ49" s="40" t="n">
        <x:f>AH49-AI49</x:f>
        <x:v>542.2282439776463</x:v>
      </x:c>
    </x:row>
    <x:row r="50">
      <x:c r="A50" t="n">
        <x:f>A49+1</x:f>
        <x:v>46</x:v>
      </x:c>
      <x:c r="B50" t="n">
        <x:f>INT((A50-1)/12)+1</x:f>
        <x:v>4</x:v>
      </x:c>
      <x:c r="C50" t="n">
        <x:f>MOD(A50-1,12)+1</x:f>
        <x:v>10</x:v>
      </x:c>
      <x:c r="D50" s="40" t="n">
        <x:f>O49</x:f>
        <x:v>381625.5783860605</x:v>
      </x:c>
      <x:c r="E50" s="40" t="n">
        <x:f>D50*'Inputs &amp; Summary'!$B$15</x:f>
        <x:v>1417.8609816248486</x:v>
      </x:c>
      <x:c r="F50" s="40" t="n">
        <x:f>IF(D50&lt;=0.00000001,0,MIN('Inputs &amp; Summary'!$B$18,D50+E50))</x:f>
        <x:v>2324.586407999052</x:v>
      </x:c>
      <x:c r="G50" s="40" t="n">
        <x:f>IF(ABS(MAX(0,D50+E50-F50))&lt;0.00000001,0,MAX(0,D50+E50-F50))</x:f>
        <x:v>380718.8529596863</x:v>
      </x:c>
      <x:c r="H50" s="40" t="n">
        <x:f>MAX(0,'Inputs &amp; Summary'!$B$18-F50)</x:f>
        <x:v>0</x:v>
      </x:c>
      <x:c r="I50" s="40" t="n">
        <x:f>S49</x:f>
        <x:v>38374.421613939514</x:v>
      </x:c>
      <x:c r="J50" s="40" t="n">
        <x:f>I50*'Inputs &amp; Summary'!$B$16</x:f>
        <x:v>207.86145040883903</x:v>
      </x:c>
      <x:c r="K50" s="40" t="n">
        <x:f>IF(C50=1,J50,K49+J50)</x:f>
        <x:v>1860.5777864789823</x:v>
      </x:c>
      <x:c r="L50" s="40" t="n">
        <x:f>IF(C50=12,K50*'Inputs &amp; Summary'!$B$11*'Inputs &amp; Summary'!$B$12,0)</x:f>
        <x:v>0</x:v>
      </x:c>
      <x:c r="M50" s="40" t="n">
        <x:f>MIN(L50,G50)</x:f>
        <x:v>0</x:v>
      </x:c>
      <x:c r="N50" s="40" t="n">
        <x:f>MAX(0,L50-M50)</x:f>
        <x:v>0</x:v>
      </x:c>
      <x:c r="O50" s="40" t="n">
        <x:f>IF(ABS(MAX(0,G50-M50))&lt;0.00000001,0,MAX(0,G50-M50))</x:f>
        <x:v>380718.8529596863</x:v>
      </x:c>
      <x:c r="P50" s="40" t="n">
        <x:f>MAX(0,D50-O50)</x:f>
        <x:v>906.7254263741779</x:v>
      </x:c>
      <x:c r="Q50" s="40" t="n">
        <x:f>MAX(0,'Inputs &amp; Summary'!$B$19*'Inputs &amp; Summary'!$B$4-O50-I50)</x:f>
        <x:v>35906.72542637418</x:v>
      </x:c>
      <x:c r="R50" s="40" t="n">
        <x:f>MIN(P50,Q50)</x:f>
        <x:v>906.7254263741779</x:v>
      </x:c>
      <x:c r="S50" s="40" t="n">
        <x:f>I50+R50</x:f>
        <x:v>39281.14704031369</x:v>
      </x:c>
      <x:c r="T50" s="40" t="n">
        <x:f>U49</x:f>
        <x:v>42620.15432101814</x:v>
      </x:c>
      <x:c r="U50" s="40" t="n">
        <x:f>T50*(1+'Inputs &amp; Summary'!$B$17)+R50+N50+H50</x:f>
        <x:v>43734.3355036526</x:v>
      </x:c>
      <x:c r="V50" s="40" t="n">
        <x:f>Y49</x:f>
        <x:v>382646.774472298</x:v>
      </x:c>
      <x:c r="W50" s="40" t="n">
        <x:f>V50*'Inputs &amp; Summary'!$B$15</x:f>
        <x:v>1421.6550514337634</x:v>
      </x:c>
      <x:c r="X50" s="40" t="n">
        <x:f>IF(V50&lt;=0.00000001,0,MIN('Inputs &amp; Summary'!$B$18,V50+W50))</x:f>
        <x:v>2324.586407999052</x:v>
      </x:c>
      <x:c r="Y50" s="40" t="n">
        <x:f>IF(ABS(MAX(0,V50+W50-X50))&lt;0.00000001,0,MAX(0,V50+W50-X50))</x:f>
        <x:v>381743.8431157327</x:v>
      </x:c>
      <x:c r="Z50" s="40" t="n">
        <x:f>MAX(0,'Inputs &amp; Summary'!$B$18-X50)</x:f>
        <x:v>0</x:v>
      </x:c>
      <x:c r="AA50" s="40" t="n">
        <x:f>AC49</x:f>
        <x:v>4724.700549338499</x:v>
      </x:c>
      <x:c r="AB50" s="40" t="n">
        <x:f>J50</x:f>
        <x:v>207.86145040883903</x:v>
      </x:c>
      <x:c r="AC50" s="40" t="n">
        <x:f>AA50*(1+'Inputs &amp; Summary'!$B$17)+Z50+AB50</x:f>
        <x:v>4955.559718577347</x:v>
      </x:c>
      <x:c r="AD50" s="40" t="n">
        <x:f>F50+H50+J50</x:f>
        <x:v>2532.447858407891</x:v>
      </x:c>
      <x:c r="AE50" s="40" t="n">
        <x:f>X50+Z50+AB50</x:f>
        <x:v>2532.447858407891</x:v>
      </x:c>
      <x:c r="AF50" s="40" t="n">
        <x:f>AD50-AE50</x:f>
        <x:v>0</x:v>
      </x:c>
      <x:c r="AG50" s="42" t="n">
        <x:f>(O50+S50)/'Inputs &amp; Summary'!$B$4</x:f>
        <x:v>0.6</x:v>
      </x:c>
      <x:c r="AH50" s="40" t="n">
        <x:f>U50-O50-S50</x:f>
        <x:v>-376265.6644963474</x:v>
      </x:c>
      <x:c r="AI50" s="40" t="n">
        <x:f>AC50-Y50</x:f>
        <x:v>-376788.28339715535</x:v>
      </x:c>
      <x:c r="AJ50" s="40" t="n">
        <x:f>AH50-AI50</x:f>
        <x:v>522.6189008079236</x:v>
      </x:c>
    </x:row>
    <x:row r="51">
      <x:c r="A51" t="n">
        <x:f>A50+1</x:f>
        <x:v>47</x:v>
      </x:c>
      <x:c r="B51" t="n">
        <x:f>INT((A51-1)/12)+1</x:f>
        <x:v>4</x:v>
      </x:c>
      <x:c r="C51" t="n">
        <x:f>MOD(A51-1,12)+1</x:f>
        <x:v>11</x:v>
      </x:c>
      <x:c r="D51" s="40" t="n">
        <x:f>O50</x:f>
        <x:v>380718.8529596863</x:v>
      </x:c>
      <x:c r="E51" s="40" t="n">
        <x:f>D51*'Inputs &amp; Summary'!$B$15</x:f>
        <x:v>1414.4922068992653</x:v>
      </x:c>
      <x:c r="F51" s="40" t="n">
        <x:f>IF(D51&lt;=0.00000001,0,MIN('Inputs &amp; Summary'!$B$18,D51+E51))</x:f>
        <x:v>2324.586407999052</x:v>
      </x:c>
      <x:c r="G51" s="40" t="n">
        <x:f>IF(ABS(MAX(0,D51+E51-F51))&lt;0.00000001,0,MAX(0,D51+E51-F51))</x:f>
        <x:v>379808.75875858654</x:v>
      </x:c>
      <x:c r="H51" s="40" t="n">
        <x:f>MAX(0,'Inputs &amp; Summary'!$B$18-F51)</x:f>
        <x:v>0</x:v>
      </x:c>
      <x:c r="I51" s="40" t="n">
        <x:f>S50</x:f>
        <x:v>39281.14704031369</x:v>
      </x:c>
      <x:c r="J51" s="40" t="n">
        <x:f>I51*'Inputs &amp; Summary'!$B$16</x:f>
        <x:v>212.77287980169916</x:v>
      </x:c>
      <x:c r="K51" s="40" t="n">
        <x:f>IF(C51=1,J51,K50+J51)</x:f>
        <x:v>2073.3506662806813</x:v>
      </x:c>
      <x:c r="L51" s="40" t="n">
        <x:f>IF(C51=12,K51*'Inputs &amp; Summary'!$B$11*'Inputs &amp; Summary'!$B$12,0)</x:f>
        <x:v>0</x:v>
      </x:c>
      <x:c r="M51" s="40" t="n">
        <x:f>MIN(L51,G51)</x:f>
        <x:v>0</x:v>
      </x:c>
      <x:c r="N51" s="40" t="n">
        <x:f>MAX(0,L51-M51)</x:f>
        <x:v>0</x:v>
      </x:c>
      <x:c r="O51" s="40" t="n">
        <x:f>IF(ABS(MAX(0,G51-M51))&lt;0.00000001,0,MAX(0,G51-M51))</x:f>
        <x:v>379808.75875858654</x:v>
      </x:c>
      <x:c r="P51" s="40" t="n">
        <x:f>MAX(0,D51-O51)</x:f>
        <x:v>910.0942010997678</x:v>
      </x:c>
      <x:c r="Q51" s="40" t="n">
        <x:f>MAX(0,'Inputs &amp; Summary'!$B$19*'Inputs &amp; Summary'!$B$4-O51-I51)</x:f>
        <x:v>35910.09420109977</x:v>
      </x:c>
      <x:c r="R51" s="40" t="n">
        <x:f>MIN(P51,Q51)</x:f>
        <x:v>910.0942010997678</x:v>
      </x:c>
      <x:c r="S51" s="40" t="n">
        <x:f>I51+R51</x:f>
        <x:v>40191.24124141346</x:v>
      </x:c>
      <x:c r="T51" s="40" t="n">
        <x:f>U50</x:f>
        <x:v>43734.3355036526</x:v>
      </x:c>
      <x:c r="U51" s="40" t="n">
        <x:f>T51*(1+'Inputs &amp; Summary'!$B$17)+R51+N51+H51</x:f>
        <x:v>44857.308794258075</x:v>
      </x:c>
      <x:c r="V51" s="40" t="n">
        <x:f>Y50</x:f>
        <x:v>381743.8431157327</x:v>
      </x:c>
      <x:c r="W51" s="40" t="n">
        <x:f>V51*'Inputs &amp; Summary'!$B$15</x:f>
        <x:v>1418.3003728900092</x:v>
      </x:c>
      <x:c r="X51" s="40" t="n">
        <x:f>IF(V51&lt;=0.00000001,0,MIN('Inputs &amp; Summary'!$B$18,V51+W51))</x:f>
        <x:v>2324.586407999052</x:v>
      </x:c>
      <x:c r="Y51" s="40" t="n">
        <x:f>IF(ABS(MAX(0,V51+W51-X51))&lt;0.00000001,0,MAX(0,V51+W51-X51))</x:f>
        <x:v>380837.5570806237</x:v>
      </x:c>
      <x:c r="Z51" s="40" t="n">
        <x:f>MAX(0,'Inputs &amp; Summary'!$B$18-X51)</x:f>
        <x:v>0</x:v>
      </x:c>
      <x:c r="AA51" s="40" t="n">
        <x:f>AC50</x:f>
        <x:v>4955.559718577347</x:v>
      </x:c>
      <x:c r="AB51" s="40" t="n">
        <x:f>J51</x:f>
        <x:v>212.77287980169916</x:v>
      </x:c>
      <x:c r="AC51" s="40" t="n">
        <x:f>AA51*(1+'Inputs &amp; Summary'!$B$17)+Z51+AB51</x:f>
        <x:v>5192.454035888798</x:v>
      </x:c>
      <x:c r="AD51" s="40" t="n">
        <x:f>F51+H51+J51</x:f>
        <x:v>2537.359287800751</x:v>
      </x:c>
      <x:c r="AE51" s="40" t="n">
        <x:f>X51+Z51+AB51</x:f>
        <x:v>2537.359287800751</x:v>
      </x:c>
      <x:c r="AF51" s="40" t="n">
        <x:f>AD51-AE51</x:f>
        <x:v>0</x:v>
      </x:c>
      <x:c r="AG51" s="42" t="n">
        <x:f>(O51+S51)/'Inputs &amp; Summary'!$B$4</x:f>
        <x:v>0.6</x:v>
      </x:c>
      <x:c r="AH51" s="40" t="n">
        <x:f>U51-O51-S51</x:f>
        <x:v>-375142.6912057419</x:v>
      </x:c>
      <x:c r="AI51" s="40" t="n">
        <x:f>AC51-Y51</x:f>
        <x:v>-375645.1030447349</x:v>
      </x:c>
      <x:c r="AJ51" s="40" t="n">
        <x:f>AH51-AI51</x:f>
        <x:v>502.4118389930227</x:v>
      </x:c>
    </x:row>
    <x:row r="52">
      <x:c r="A52" t="n">
        <x:f>A51+1</x:f>
        <x:v>48</x:v>
      </x:c>
      <x:c r="B52" t="n">
        <x:f>INT((A52-1)/12)+1</x:f>
        <x:v>4</x:v>
      </x:c>
      <x:c r="C52" t="n">
        <x:f>MOD(A52-1,12)+1</x:f>
        <x:v>12</x:v>
      </x:c>
      <x:c r="D52" s="40" t="n">
        <x:f>O51</x:f>
        <x:v>379808.75875858654</x:v>
      </x:c>
      <x:c r="E52" s="40" t="n">
        <x:f>D52*'Inputs &amp; Summary'!$B$15</x:f>
        <x:v>1411.1109160990009</x:v>
      </x:c>
      <x:c r="F52" s="40" t="n">
        <x:f>IF(D52&lt;=0.00000001,0,MIN('Inputs &amp; Summary'!$B$18,D52+E52))</x:f>
        <x:v>2324.586407999052</x:v>
      </x:c>
      <x:c r="G52" s="40" t="n">
        <x:f>IF(ABS(MAX(0,D52+E52-F52))&lt;0.00000001,0,MAX(0,D52+E52-F52))</x:f>
        <x:v>378895.2832666865</x:v>
      </x:c>
      <x:c r="H52" s="40" t="n">
        <x:f>MAX(0,'Inputs &amp; Summary'!$B$18-F52)</x:f>
        <x:v>0</x:v>
      </x:c>
      <x:c r="I52" s="40" t="n">
        <x:f>S51</x:f>
        <x:v>40191.24124141346</x:v>
      </x:c>
      <x:c r="J52" s="40" t="n">
        <x:f>I52*'Inputs &amp; Summary'!$B$16</x:f>
        <x:v>217.7025567243229</x:v>
      </x:c>
      <x:c r="K52" s="40" t="n">
        <x:f>IF(C52=1,J52,K51+J52)</x:f>
        <x:v>2291.053223005004</x:v>
      </x:c>
      <x:c r="L52" s="40" t="n">
        <x:f>IF(C52=12,K52*'Inputs &amp; Summary'!$B$11*'Inputs &amp; Summary'!$B$12,0)</x:f>
        <x:v>801.8686280517513</x:v>
      </x:c>
      <x:c r="M52" s="40" t="n">
        <x:f>MIN(L52,G52)</x:f>
        <x:v>801.8686280517513</x:v>
      </x:c>
      <x:c r="N52" s="40" t="n">
        <x:f>MAX(0,L52-M52)</x:f>
        <x:v>0</x:v>
      </x:c>
      <x:c r="O52" s="40" t="n">
        <x:f>IF(ABS(MAX(0,G52-M52))&lt;0.00000001,0,MAX(0,G52-M52))</x:f>
        <x:v>378093.4146386347</x:v>
      </x:c>
      <x:c r="P52" s="40" t="n">
        <x:f>MAX(0,D52-O52)</x:f>
        <x:v>1715.3441199518275</x:v>
      </x:c>
      <x:c r="Q52" s="40" t="n">
        <x:f>MAX(0,'Inputs &amp; Summary'!$B$19*'Inputs &amp; Summary'!$B$4-O52-I52)</x:f>
        <x:v>36715.34411995183</x:v>
      </x:c>
      <x:c r="R52" s="40" t="n">
        <x:f>MIN(P52,Q52)</x:f>
        <x:v>1715.3441199518275</x:v>
      </x:c>
      <x:c r="S52" s="40" t="n">
        <x:f>I52+R52</x:f>
        <x:v>41906.58536136529</x:v>
      </x:c>
      <x:c r="T52" s="40" t="n">
        <x:f>U51</x:f>
        <x:v>44857.308794258075</x:v>
      </x:c>
      <x:c r="U52" s="40" t="n">
        <x:f>T52*(1+'Inputs &amp; Summary'!$B$17)+R52+N52+H52</x:f>
        <x:v>46790.99813299116</x:v>
      </x:c>
      <x:c r="V52" s="40" t="n">
        <x:f>Y51</x:f>
        <x:v>380837.5570806237</x:v>
      </x:c>
      <x:c r="W52" s="40" t="n">
        <x:f>V52*'Inputs &amp; Summary'!$B$15</x:f>
        <x:v>1414.9332306433942</x:v>
      </x:c>
      <x:c r="X52" s="40" t="n">
        <x:f>IF(V52&lt;=0.00000001,0,MIN('Inputs &amp; Summary'!$B$18,V52+W52))</x:f>
        <x:v>2324.586407999052</x:v>
      </x:c>
      <x:c r="Y52" s="40" t="n">
        <x:f>IF(ABS(MAX(0,V52+W52-X52))&lt;0.00000001,0,MAX(0,V52+W52-X52))</x:f>
        <x:v>379927.90390326804</x:v>
      </x:c>
      <x:c r="Z52" s="40" t="n">
        <x:f>MAX(0,'Inputs &amp; Summary'!$B$18-X52)</x:f>
        <x:v>0</x:v>
      </x:c>
      <x:c r="AA52" s="40" t="n">
        <x:f>AC51</x:f>
        <x:v>5192.454035888798</x:v>
      </x:c>
      <x:c r="AB52" s="40" t="n">
        <x:f>J52</x:f>
        <x:v>217.7025567243229</x:v>
      </x:c>
      <x:c r="AC52" s="40" t="n">
        <x:f>AA52*(1+'Inputs &amp; Summary'!$B$17)+Z52+AB52</x:f>
        <x:v>5435.431125191029</x:v>
      </x:c>
      <x:c r="AD52" s="40" t="n">
        <x:f>F52+H52+J52</x:f>
        <x:v>2542.288964723375</x:v>
      </x:c>
      <x:c r="AE52" s="40" t="n">
        <x:f>X52+Z52+AB52</x:f>
        <x:v>2542.288964723375</x:v>
      </x:c>
      <x:c r="AF52" s="40" t="n">
        <x:f>AD52-AE52</x:f>
        <x:v>0</x:v>
      </x:c>
      <x:c r="AG52" s="42" t="n">
        <x:f>(O52+S52)/'Inputs &amp; Summary'!$B$4</x:f>
        <x:v>0.6</x:v>
      </x:c>
      <x:c r="AH52" s="40" t="n">
        <x:f>U52-O52-S52</x:f>
        <x:v>-373209.00186700886</x:v>
      </x:c>
      <x:c r="AI52" s="40" t="n">
        <x:f>AC52-Y52</x:f>
        <x:v>-374492.472778077</x:v>
      </x:c>
      <x:c r="AJ52" s="40" t="n">
        <x:f>AH52-AI52</x:f>
        <x:v>1283.4709110681433</x:v>
      </x:c>
    </x:row>
    <x:row r="53">
      <x:c r="A53" t="n">
        <x:f>A52+1</x:f>
        <x:v>49</x:v>
      </x:c>
      <x:c r="B53" t="n">
        <x:f>INT((A53-1)/12)+1</x:f>
        <x:v>5</x:v>
      </x:c>
      <x:c r="C53" t="n">
        <x:f>MOD(A53-1,12)+1</x:f>
        <x:v>1</x:v>
      </x:c>
      <x:c r="D53" s="40" t="n">
        <x:f>O52</x:f>
        <x:v>378093.4146386347</x:v>
      </x:c>
      <x:c r="E53" s="40" t="n">
        <x:f>D53*'Inputs &amp; Summary'!$B$15</x:f>
        <x:v>1404.7378645126134</x:v>
      </x:c>
      <x:c r="F53" s="40" t="n">
        <x:f>IF(D53&lt;=0.00000001,0,MIN('Inputs &amp; Summary'!$B$18,D53+E53))</x:f>
        <x:v>2324.586407999052</x:v>
      </x:c>
      <x:c r="G53" s="40" t="n">
        <x:f>IF(ABS(MAX(0,D53+E53-F53))&lt;0.00000001,0,MAX(0,D53+E53-F53))</x:f>
        <x:v>377173.5660951483</x:v>
      </x:c>
      <x:c r="H53" s="40" t="n">
        <x:f>MAX(0,'Inputs &amp; Summary'!$B$18-F53)</x:f>
        <x:v>0</x:v>
      </x:c>
      <x:c r="I53" s="40" t="n">
        <x:f>S52</x:f>
        <x:v>41906.58536136529</x:v>
      </x:c>
      <x:c r="J53" s="40" t="n">
        <x:f>I53*'Inputs &amp; Summary'!$B$16</x:f>
        <x:v>226.99400404072864</x:v>
      </x:c>
      <x:c r="K53" s="40" t="n">
        <x:f>IF(C53=1,J53,K52+J53)</x:f>
        <x:v>226.99400404072864</x:v>
      </x:c>
      <x:c r="L53" s="40" t="n">
        <x:f>IF(C53=12,K53*'Inputs &amp; Summary'!$B$11*'Inputs &amp; Summary'!$B$12,0)</x:f>
        <x:v>0</x:v>
      </x:c>
      <x:c r="M53" s="40" t="n">
        <x:f>MIN(L53,G53)</x:f>
        <x:v>0</x:v>
      </x:c>
      <x:c r="N53" s="40" t="n">
        <x:f>MAX(0,L53-M53)</x:f>
        <x:v>0</x:v>
      </x:c>
      <x:c r="O53" s="40" t="n">
        <x:f>IF(ABS(MAX(0,G53-M53))&lt;0.00000001,0,MAX(0,G53-M53))</x:f>
        <x:v>377173.5660951483</x:v>
      </x:c>
      <x:c r="P53" s="40" t="n">
        <x:f>MAX(0,D53-O53)</x:f>
        <x:v>919.8485434864415</x:v>
      </x:c>
      <x:c r="Q53" s="40" t="n">
        <x:f>MAX(0,'Inputs &amp; Summary'!$B$19*'Inputs &amp; Summary'!$B$4-O53-I53)</x:f>
        <x:v>35919.84854348644</x:v>
      </x:c>
      <x:c r="R53" s="40" t="n">
        <x:f>MIN(P53,Q53)</x:f>
        <x:v>919.8485434864415</x:v>
      </x:c>
      <x:c r="S53" s="40" t="n">
        <x:f>I53+R53</x:f>
        <x:v>42826.43390485173</x:v>
      </x:c>
      <x:c r="T53" s="40" t="n">
        <x:f>U52</x:f>
        <x:v>46790.99813299116</x:v>
      </x:c>
      <x:c r="U53" s="40" t="n">
        <x:f>T53*(1+'Inputs &amp; Summary'!$B$17)+R53+N53+H53</x:f>
        <x:v>47938.60422589281</x:v>
      </x:c>
      <x:c r="V53" s="40" t="n">
        <x:f>Y52</x:f>
        <x:v>379927.90390326804</x:v>
      </x:c>
      <x:c r="W53" s="40" t="n">
        <x:f>V53*'Inputs &amp; Summary'!$B$15</x:f>
        <x:v>1411.5535783872792</x:v>
      </x:c>
      <x:c r="X53" s="40" t="n">
        <x:f>IF(V53&lt;=0.00000001,0,MIN('Inputs &amp; Summary'!$B$18,V53+W53))</x:f>
        <x:v>2324.586407999052</x:v>
      </x:c>
      <x:c r="Y53" s="40" t="n">
        <x:f>IF(ABS(MAX(0,V53+W53-X53))&lt;0.00000001,0,MAX(0,V53+W53-X53))</x:f>
        <x:v>379014.8710736563</x:v>
      </x:c>
      <x:c r="Z53" s="40" t="n">
        <x:f>MAX(0,'Inputs &amp; Summary'!$B$18-X53)</x:f>
        <x:v>0</x:v>
      </x:c>
      <x:c r="AA53" s="40" t="n">
        <x:f>AC52</x:f>
        <x:v>5435.431125191029</x:v>
      </x:c>
      <x:c r="AB53" s="40" t="n">
        <x:f>J53</x:f>
        <x:v>226.99400404072864</x:v>
      </x:c>
      <x:c r="AC53" s="40" t="n">
        <x:f>AA53*(1+'Inputs &amp; Summary'!$B$17)+Z53+AB53</x:f>
        <x:v>5688.882365078064</x:v>
      </x:c>
      <x:c r="AD53" s="40" t="n">
        <x:f>F53+H53+J53</x:f>
        <x:v>2551.5804120397806</x:v>
      </x:c>
      <x:c r="AE53" s="40" t="n">
        <x:f>X53+Z53+AB53</x:f>
        <x:v>2551.5804120397806</x:v>
      </x:c>
      <x:c r="AF53" s="40" t="n">
        <x:f>AD53-AE53</x:f>
        <x:v>0</x:v>
      </x:c>
      <x:c r="AG53" s="42" t="n">
        <x:f>(O53+S53)/'Inputs &amp; Summary'!$B$4</x:f>
        <x:v>0.6</x:v>
      </x:c>
      <x:c r="AH53" s="40" t="n">
        <x:f>U53-O53-S53</x:f>
        <x:v>-372061.3957741072</x:v>
      </x:c>
      <x:c r="AI53" s="40" t="n">
        <x:f>AC53-Y53</x:f>
        <x:v>-373325.9887085782</x:v>
      </x:c>
      <x:c r="AJ53" s="40" t="n">
        <x:f>AH53-AI53</x:f>
        <x:v>1264.5929344710312</x:v>
      </x:c>
    </x:row>
    <x:row r="54">
      <x:c r="A54" t="n">
        <x:f>A53+1</x:f>
        <x:v>50</x:v>
      </x:c>
      <x:c r="B54" t="n">
        <x:f>INT((A54-1)/12)+1</x:f>
        <x:v>5</x:v>
      </x:c>
      <x:c r="C54" t="n">
        <x:f>MOD(A54-1,12)+1</x:f>
        <x:v>2</x:v>
      </x:c>
      <x:c r="D54" s="40" t="n">
        <x:f>O53</x:f>
        <x:v>377173.5660951483</x:v>
      </x:c>
      <x:c r="E54" s="40" t="n">
        <x:f>D54*'Inputs &amp; Summary'!$B$15</x:f>
        <x:v>1401.3203332131404</x:v>
      </x:c>
      <x:c r="F54" s="40" t="n">
        <x:f>IF(D54&lt;=0.00000001,0,MIN('Inputs &amp; Summary'!$B$18,D54+E54))</x:f>
        <x:v>2324.586407999052</x:v>
      </x:c>
      <x:c r="G54" s="40" t="n">
        <x:f>IF(ABS(MAX(0,D54+E54-F54))&lt;0.00000001,0,MAX(0,D54+E54-F54))</x:f>
        <x:v>376250.30002036237</x:v>
      </x:c>
      <x:c r="H54" s="40" t="n">
        <x:f>MAX(0,'Inputs &amp; Summary'!$B$18-F54)</x:f>
        <x:v>0</x:v>
      </x:c>
      <x:c r="I54" s="40" t="n">
        <x:f>S53</x:f>
        <x:v>42826.43390485173</x:v>
      </x:c>
      <x:c r="J54" s="40" t="n">
        <x:f>I54*'Inputs &amp; Summary'!$B$16</x:f>
        <x:v>231.97651698461354</x:v>
      </x:c>
      <x:c r="K54" s="40" t="n">
        <x:f>IF(C54=1,J54,K53+J54)</x:f>
        <x:v>458.9705210253422</x:v>
      </x:c>
      <x:c r="L54" s="40" t="n">
        <x:f>IF(C54=12,K54*'Inputs &amp; Summary'!$B$11*'Inputs &amp; Summary'!$B$12,0)</x:f>
        <x:v>0</x:v>
      </x:c>
      <x:c r="M54" s="40" t="n">
        <x:f>MIN(L54,G54)</x:f>
        <x:v>0</x:v>
      </x:c>
      <x:c r="N54" s="40" t="n">
        <x:f>MAX(0,L54-M54)</x:f>
        <x:v>0</x:v>
      </x:c>
      <x:c r="O54" s="40" t="n">
        <x:f>IF(ABS(MAX(0,G54-M54))&lt;0.00000001,0,MAX(0,G54-M54))</x:f>
        <x:v>376250.30002036237</x:v>
      </x:c>
      <x:c r="P54" s="40" t="n">
        <x:f>MAX(0,D54-O54)</x:f>
        <x:v>923.2660747859045</x:v>
      </x:c>
      <x:c r="Q54" s="40" t="n">
        <x:f>MAX(0,'Inputs &amp; Summary'!$B$19*'Inputs &amp; Summary'!$B$4-O54-I54)</x:f>
        <x:v>35923.266074785904</x:v>
      </x:c>
      <x:c r="R54" s="40" t="n">
        <x:f>MIN(P54,Q54)</x:f>
        <x:v>923.2660747859045</x:v>
      </x:c>
      <x:c r="S54" s="40" t="n">
        <x:f>I54+R54</x:f>
        <x:v>43749.69997963763</x:v>
      </x:c>
      <x:c r="T54" s="40" t="n">
        <x:f>U53</x:f>
        <x:v>47938.60422589281</x:v>
      </x:c>
      <x:c r="U54" s="40" t="n">
        <x:f>T54*(1+'Inputs &amp; Summary'!$B$17)+R54+N54+H54</x:f>
        <x:v>49095.21388078021</x:v>
      </x:c>
      <x:c r="V54" s="40" t="n">
        <x:f>Y53</x:f>
        <x:v>379014.8710736563</x:v>
      </x:c>
      <x:c r="W54" s="40" t="n">
        <x:f>V54*'Inputs &amp; Summary'!$B$15</x:f>
        <x:v>1408.161369642981</x:v>
      </x:c>
      <x:c r="X54" s="40" t="n">
        <x:f>IF(V54&lt;=0.00000001,0,MIN('Inputs &amp; Summary'!$B$18,V54+W54))</x:f>
        <x:v>2324.586407999052</x:v>
      </x:c>
      <x:c r="Y54" s="40" t="n">
        <x:f>IF(ABS(MAX(0,V54+W54-X54))&lt;0.00000001,0,MAX(0,V54+W54-X54))</x:f>
        <x:v>378098.44603530027</x:v>
      </x:c>
      <x:c r="Z54" s="40" t="n">
        <x:f>MAX(0,'Inputs &amp; Summary'!$B$18-X54)</x:f>
        <x:v>0</x:v>
      </x:c>
      <x:c r="AA54" s="40" t="n">
        <x:f>AC53</x:f>
        <x:v>5688.882365078064</x:v>
      </x:c>
      <x:c r="AB54" s="40" t="n">
        <x:f>J54</x:f>
        <x:v>231.97651698461354</x:v>
      </x:c>
      <x:c r="AC54" s="40" t="n">
        <x:f>AA54*(1+'Inputs &amp; Summary'!$B$17)+Z54+AB54</x:f>
        <x:v>5948.549804634983</x:v>
      </x:c>
      <x:c r="AD54" s="40" t="n">
        <x:f>F54+H54+J54</x:f>
        <x:v>2556.5629249836657</x:v>
      </x:c>
      <x:c r="AE54" s="40" t="n">
        <x:f>X54+Z54+AB54</x:f>
        <x:v>2556.5629249836657</x:v>
      </x:c>
      <x:c r="AF54" s="40" t="n">
        <x:f>AD54-AE54</x:f>
        <x:v>0</x:v>
      </x:c>
      <x:c r="AG54" s="42" t="n">
        <x:f>(O54+S54)/'Inputs &amp; Summary'!$B$4</x:f>
        <x:v>0.6</x:v>
      </x:c>
      <x:c r="AH54" s="40" t="n">
        <x:f>U54-O54-S54</x:f>
        <x:v>-370904.7861192198</x:v>
      </x:c>
      <x:c r="AI54" s="40" t="n">
        <x:f>AC54-Y54</x:f>
        <x:v>-372149.89623066527</x:v>
      </x:c>
      <x:c r="AJ54" s="40" t="n">
        <x:f>AH54-AI54</x:f>
        <x:v>1245.1101114454796</x:v>
      </x:c>
    </x:row>
    <x:row r="55">
      <x:c r="A55" t="n">
        <x:f>A54+1</x:f>
        <x:v>51</x:v>
      </x:c>
      <x:c r="B55" t="n">
        <x:f>INT((A55-1)/12)+1</x:f>
        <x:v>5</x:v>
      </x:c>
      <x:c r="C55" t="n">
        <x:f>MOD(A55-1,12)+1</x:f>
        <x:v>3</x:v>
      </x:c>
      <x:c r="D55" s="40" t="n">
        <x:f>O54</x:f>
        <x:v>376250.30002036237</x:v>
      </x:c>
      <x:c r="E55" s="40" t="n">
        <x:f>D55*'Inputs &amp; Summary'!$B$15</x:f>
        <x:v>1397.8901046927328</x:v>
      </x:c>
      <x:c r="F55" s="40" t="n">
        <x:f>IF(D55&lt;=0.00000001,0,MIN('Inputs &amp; Summary'!$B$18,D55+E55))</x:f>
        <x:v>2324.586407999052</x:v>
      </x:c>
      <x:c r="G55" s="40" t="n">
        <x:f>IF(ABS(MAX(0,D55+E55-F55))&lt;0.00000001,0,MAX(0,D55+E55-F55))</x:f>
        <x:v>375323.60371705604</x:v>
      </x:c>
      <x:c r="H55" s="40" t="n">
        <x:f>MAX(0,'Inputs &amp; Summary'!$B$18-F55)</x:f>
        <x:v>0</x:v>
      </x:c>
      <x:c r="I55" s="40" t="n">
        <x:f>S54</x:f>
        <x:v>43749.69997963763</x:v>
      </x:c>
      <x:c r="J55" s="40" t="n">
        <x:f>I55*'Inputs &amp; Summary'!$B$16</x:f>
        <x:v>236.9775415563705</x:v>
      </x:c>
      <x:c r="K55" s="40" t="n">
        <x:f>IF(C55=1,J55,K54+J55)</x:f>
        <x:v>695.9480625817127</x:v>
      </x:c>
      <x:c r="L55" s="40" t="n">
        <x:f>IF(C55=12,K55*'Inputs &amp; Summary'!$B$11*'Inputs &amp; Summary'!$B$12,0)</x:f>
        <x:v>0</x:v>
      </x:c>
      <x:c r="M55" s="40" t="n">
        <x:f>MIN(L55,G55)</x:f>
        <x:v>0</x:v>
      </x:c>
      <x:c r="N55" s="40" t="n">
        <x:f>MAX(0,L55-M55)</x:f>
        <x:v>0</x:v>
      </x:c>
      <x:c r="O55" s="40" t="n">
        <x:f>IF(ABS(MAX(0,G55-M55))&lt;0.00000001,0,MAX(0,G55-M55))</x:f>
        <x:v>375323.60371705604</x:v>
      </x:c>
      <x:c r="P55" s="40" t="n">
        <x:f>MAX(0,D55-O55)</x:f>
        <x:v>926.6963033063221</x:v>
      </x:c>
      <x:c r="Q55" s="40" t="n">
        <x:f>MAX(0,'Inputs &amp; Summary'!$B$19*'Inputs &amp; Summary'!$B$4-O55-I55)</x:f>
        <x:v>35926.69630330632</x:v>
      </x:c>
      <x:c r="R55" s="40" t="n">
        <x:f>MIN(P55,Q55)</x:f>
        <x:v>926.6963033063221</x:v>
      </x:c>
      <x:c r="S55" s="40" t="n">
        <x:f>I55+R55</x:f>
        <x:v>44676.396282943955</x:v>
      </x:c>
      <x:c r="T55" s="40" t="n">
        <x:f>U54</x:f>
        <x:v>49095.21388078021</x:v>
      </x:c>
      <x:c r="U55" s="40" t="n">
        <x:f>T55*(1+'Inputs &amp; Summary'!$B$17)+R55+N55+H55</x:f>
        <x:v>50260.883620167566</x:v>
      </x:c>
      <x:c r="V55" s="40" t="n">
        <x:f>Y54</x:f>
        <x:v>378098.44603530027</x:v>
      </x:c>
      <x:c r="W55" s="40" t="n">
        <x:f>V55*'Inputs &amp; Summary'!$B$15</x:f>
        <x:v>1404.7565577591336</x:v>
      </x:c>
      <x:c r="X55" s="40" t="n">
        <x:f>IF(V55&lt;=0.00000001,0,MIN('Inputs &amp; Summary'!$B$18,V55+W55))</x:f>
        <x:v>2324.586407999052</x:v>
      </x:c>
      <x:c r="Y55" s="40" t="n">
        <x:f>IF(ABS(MAX(0,V55+W55-X55))&lt;0.00000001,0,MAX(0,V55+W55-X55))</x:f>
        <x:v>377178.61618506035</x:v>
      </x:c>
      <x:c r="Z55" s="40" t="n">
        <x:f>MAX(0,'Inputs &amp; Summary'!$B$18-X55)</x:f>
        <x:v>0</x:v>
      </x:c>
      <x:c r="AA55" s="40" t="n">
        <x:f>AC54</x:f>
        <x:v>5948.549804634983</x:v>
      </x:c>
      <x:c r="AB55" s="40" t="n">
        <x:f>J55</x:f>
        <x:v>236.9775415563705</x:v>
      </x:c>
      <x:c r="AC55" s="40" t="n">
        <x:f>AA55*(1+'Inputs &amp; Summary'!$B$17)+Z55+AB55</x:f>
        <x:v>6214.482213155876</x:v>
      </x:c>
      <x:c r="AD55" s="40" t="n">
        <x:f>F55+H55+J55</x:f>
        <x:v>2561.5639495554224</x:v>
      </x:c>
      <x:c r="AE55" s="40" t="n">
        <x:f>X55+Z55+AB55</x:f>
        <x:v>2561.5639495554224</x:v>
      </x:c>
      <x:c r="AF55" s="40" t="n">
        <x:f>AD55-AE55</x:f>
        <x:v>0</x:v>
      </x:c>
      <x:c r="AG55" s="42" t="n">
        <x:f>(O55+S55)/'Inputs &amp; Summary'!$B$4</x:f>
        <x:v>0.6</x:v>
      </x:c>
      <x:c r="AH55" s="40" t="n">
        <x:f>U55-O55-S55</x:f>
        <x:v>-369739.11637983244</x:v>
      </x:c>
      <x:c r="AI55" s="40" t="n">
        <x:f>AC55-Y55</x:f>
        <x:v>-370964.13397190446</x:v>
      </x:c>
      <x:c r="AJ55" s="40" t="n">
        <x:f>AH55-AI55</x:f>
        <x:v>1225.0175920720212</x:v>
      </x:c>
    </x:row>
    <x:row r="56">
      <x:c r="A56" t="n">
        <x:f>A55+1</x:f>
        <x:v>52</x:v>
      </x:c>
      <x:c r="B56" t="n">
        <x:f>INT((A56-1)/12)+1</x:f>
        <x:v>5</x:v>
      </x:c>
      <x:c r="C56" t="n">
        <x:f>MOD(A56-1,12)+1</x:f>
        <x:v>4</x:v>
      </x:c>
      <x:c r="D56" s="40" t="n">
        <x:f>O55</x:f>
        <x:v>375323.60371705604</x:v>
      </x:c>
      <x:c r="E56" s="40" t="n">
        <x:f>D56*'Inputs &amp; Summary'!$B$15</x:f>
        <x:v>1394.4471317771574</x:v>
      </x:c>
      <x:c r="F56" s="40" t="n">
        <x:f>IF(D56&lt;=0.00000001,0,MIN('Inputs &amp; Summary'!$B$18,D56+E56))</x:f>
        <x:v>2324.586407999052</x:v>
      </x:c>
      <x:c r="G56" s="40" t="n">
        <x:f>IF(ABS(MAX(0,D56+E56-F56))&lt;0.00000001,0,MAX(0,D56+E56-F56))</x:f>
        <x:v>374393.4644408342</x:v>
      </x:c>
      <x:c r="H56" s="40" t="n">
        <x:f>MAX(0,'Inputs &amp; Summary'!$B$18-F56)</x:f>
        <x:v>0</x:v>
      </x:c>
      <x:c r="I56" s="40" t="n">
        <x:f>S55</x:f>
        <x:v>44676.396282943955</x:v>
      </x:c>
      <x:c r="J56" s="40" t="n">
        <x:f>I56*'Inputs &amp; Summary'!$B$16</x:f>
        <x:v>241.9971465326131</x:v>
      </x:c>
      <x:c r="K56" s="40" t="n">
        <x:f>IF(C56=1,J56,K55+J56)</x:f>
        <x:v>937.9452091143258</x:v>
      </x:c>
      <x:c r="L56" s="40" t="n">
        <x:f>IF(C56=12,K56*'Inputs &amp; Summary'!$B$11*'Inputs &amp; Summary'!$B$12,0)</x:f>
        <x:v>0</x:v>
      </x:c>
      <x:c r="M56" s="40" t="n">
        <x:f>MIN(L56,G56)</x:f>
        <x:v>0</x:v>
      </x:c>
      <x:c r="N56" s="40" t="n">
        <x:f>MAX(0,L56-M56)</x:f>
        <x:v>0</x:v>
      </x:c>
      <x:c r="O56" s="40" t="n">
        <x:f>IF(ABS(MAX(0,G56-M56))&lt;0.00000001,0,MAX(0,G56-M56))</x:f>
        <x:v>374393.4644408342</x:v>
      </x:c>
      <x:c r="P56" s="40" t="n">
        <x:f>MAX(0,D56-O56)</x:f>
        <x:v>930.1392762218602</x:v>
      </x:c>
      <x:c r="Q56" s="40" t="n">
        <x:f>MAX(0,'Inputs &amp; Summary'!$B$19*'Inputs &amp; Summary'!$B$4-O56-I56)</x:f>
        <x:v>35930.13927622186</x:v>
      </x:c>
      <x:c r="R56" s="40" t="n">
        <x:f>MIN(P56,Q56)</x:f>
        <x:v>930.1392762218602</x:v>
      </x:c>
      <x:c r="S56" s="40" t="n">
        <x:f>I56+R56</x:f>
        <x:v>45606.535559165815</x:v>
      </x:c>
      <x:c r="T56" s="40" t="n">
        <x:f>U55</x:f>
        <x:v>50260.883620167566</x:v>
      </x:c>
      <x:c r="U56" s="40" t="n">
        <x:f>T56*(1+'Inputs &amp; Summary'!$B$17)+R56+N56+H56</x:f>
        <x:v>51435.67028886941</x:v>
      </x:c>
      <x:c r="V56" s="40" t="n">
        <x:f>Y55</x:f>
        <x:v>377178.61618506035</x:v>
      </x:c>
      <x:c r="W56" s="40" t="n">
        <x:f>V56*'Inputs &amp; Summary'!$B$15</x:f>
        <x:v>1401.3390959110452</x:v>
      </x:c>
      <x:c r="X56" s="40" t="n">
        <x:f>IF(V56&lt;=0.00000001,0,MIN('Inputs &amp; Summary'!$B$18,V56+W56))</x:f>
        <x:v>2324.586407999052</x:v>
      </x:c>
      <x:c r="Y56" s="40" t="n">
        <x:f>IF(ABS(MAX(0,V56+W56-X56))&lt;0.00000001,0,MAX(0,V56+W56-X56))</x:f>
        <x:v>376255.3688729724</x:v>
      </x:c>
      <x:c r="Z56" s="40" t="n">
        <x:f>MAX(0,'Inputs &amp; Summary'!$B$18-X56)</x:f>
        <x:v>0</x:v>
      </x:c>
      <x:c r="AA56" s="40" t="n">
        <x:f>AC55</x:f>
        <x:v>6214.482213155876</x:v>
      </x:c>
      <x:c r="AB56" s="40" t="n">
        <x:f>J56</x:f>
        <x:v>241.9971465326131</x:v>
      </x:c>
      <x:c r="AC56" s="40" t="n">
        <x:f>AA56*(1+'Inputs &amp; Summary'!$B$17)+Z56+AB56</x:f>
        <x:v>6486.72866609845</x:v>
      </x:c>
      <x:c r="AD56" s="40" t="n">
        <x:f>F56+H56+J56</x:f>
        <x:v>2566.583554531665</x:v>
      </x:c>
      <x:c r="AE56" s="40" t="n">
        <x:f>X56+Z56+AB56</x:f>
        <x:v>2566.583554531665</x:v>
      </x:c>
      <x:c r="AF56" s="40" t="n">
        <x:f>AD56-AE56</x:f>
        <x:v>0</x:v>
      </x:c>
      <x:c r="AG56" s="42" t="n">
        <x:f>(O56+S56)/'Inputs &amp; Summary'!$B$4</x:f>
        <x:v>0.6</x:v>
      </x:c>
      <x:c r="AH56" s="40" t="n">
        <x:f>U56-O56-S56</x:f>
        <x:v>-368564.3297111306</x:v>
      </x:c>
      <x:c r="AI56" s="40" t="n">
        <x:f>AC56-Y56</x:f>
        <x:v>-369768.64020687394</x:v>
      </x:c>
      <x:c r="AJ56" s="40" t="n">
        <x:f>AH56-AI56</x:f>
        <x:v>1204.3104957433534</x:v>
      </x:c>
    </x:row>
    <x:row r="57">
      <x:c r="A57" t="n">
        <x:f>A56+1</x:f>
        <x:v>53</x:v>
      </x:c>
      <x:c r="B57" t="n">
        <x:f>INT((A57-1)/12)+1</x:f>
        <x:v>5</x:v>
      </x:c>
      <x:c r="C57" t="n">
        <x:f>MOD(A57-1,12)+1</x:f>
        <x:v>5</x:v>
      </x:c>
      <x:c r="D57" s="40" t="n">
        <x:f>O56</x:f>
        <x:v>374393.4644408342</x:v>
      </x:c>
      <x:c r="E57" s="40" t="n">
        <x:f>D57*'Inputs &amp; Summary'!$B$15</x:f>
        <x:v>1390.9913671169134</x:v>
      </x:c>
      <x:c r="F57" s="40" t="n">
        <x:f>IF(D57&lt;=0.00000001,0,MIN('Inputs &amp; Summary'!$B$18,D57+E57))</x:f>
        <x:v>2324.586407999052</x:v>
      </x:c>
      <x:c r="G57" s="40" t="n">
        <x:f>IF(ABS(MAX(0,D57+E57-F57))&lt;0.00000001,0,MAX(0,D57+E57-F57))</x:f>
        <x:v>373459.86939995206</x:v>
      </x:c>
      <x:c r="H57" s="40" t="n">
        <x:f>MAX(0,'Inputs &amp; Summary'!$B$18-F57)</x:f>
        <x:v>0</x:v>
      </x:c>
      <x:c r="I57" s="40" t="n">
        <x:f>S56</x:f>
        <x:v>45606.535559165815</x:v>
      </x:c>
      <x:c r="J57" s="40" t="n">
        <x:f>I57*'Inputs &amp; Summary'!$B$16</x:f>
        <x:v>247.0354009454815</x:v>
      </x:c>
      <x:c r="K57" s="40" t="n">
        <x:f>IF(C57=1,J57,K56+J57)</x:f>
        <x:v>1184.9806100598073</x:v>
      </x:c>
      <x:c r="L57" s="40" t="n">
        <x:f>IF(C57=12,K57*'Inputs &amp; Summary'!$B$11*'Inputs &amp; Summary'!$B$12,0)</x:f>
        <x:v>0</x:v>
      </x:c>
      <x:c r="M57" s="40" t="n">
        <x:f>MIN(L57,G57)</x:f>
        <x:v>0</x:v>
      </x:c>
      <x:c r="N57" s="40" t="n">
        <x:f>MAX(0,L57-M57)</x:f>
        <x:v>0</x:v>
      </x:c>
      <x:c r="O57" s="40" t="n">
        <x:f>IF(ABS(MAX(0,G57-M57))&lt;0.00000001,0,MAX(0,G57-M57))</x:f>
        <x:v>373459.86939995206</x:v>
      </x:c>
      <x:c r="P57" s="40" t="n">
        <x:f>MAX(0,D57-O57)</x:f>
        <x:v>933.5950408821227</x:v>
      </x:c>
      <x:c r="Q57" s="40" t="n">
        <x:f>MAX(0,'Inputs &amp; Summary'!$B$19*'Inputs &amp; Summary'!$B$4-O57-I57)</x:f>
        <x:v>35933.59504088212</x:v>
      </x:c>
      <x:c r="R57" s="40" t="n">
        <x:f>MIN(P57,Q57)</x:f>
        <x:v>933.5950408821227</x:v>
      </x:c>
      <x:c r="S57" s="40" t="n">
        <x:f>I57+R57</x:f>
        <x:v>46540.13060004794</x:v>
      </x:c>
      <x:c r="T57" s="40" t="n">
        <x:f>U56</x:f>
        <x:v>51435.67028886941</x:v>
      </x:c>
      <x:c r="U57" s="40" t="n">
        <x:f>T57*(1+'Inputs &amp; Summary'!$B$17)+R57+N57+H57</x:f>
        <x:v>52619.63105574492</x:v>
      </x:c>
      <x:c r="V57" s="40" t="n">
        <x:f>Y56</x:f>
        <x:v>376255.3688729724</x:v>
      </x:c>
      <x:c r="W57" s="40" t="n">
        <x:f>V57*'Inputs &amp; Summary'!$B$15</x:f>
        <x:v>1397.9089371000566</x:v>
      </x:c>
      <x:c r="X57" s="40" t="n">
        <x:f>IF(V57&lt;=0.00000001,0,MIN('Inputs &amp; Summary'!$B$18,V57+W57))</x:f>
        <x:v>2324.586407999052</x:v>
      </x:c>
      <x:c r="Y57" s="40" t="n">
        <x:f>IF(ABS(MAX(0,V57+W57-X57))&lt;0.00000001,0,MAX(0,V57+W57-X57))</x:f>
        <x:v>375328.69140207337</x:v>
      </x:c>
      <x:c r="Z57" s="40" t="n">
        <x:f>MAX(0,'Inputs &amp; Summary'!$B$18-X57)</x:f>
        <x:v>0</x:v>
      </x:c>
      <x:c r="AA57" s="40" t="n">
        <x:f>AC56</x:f>
        <x:v>6486.72866609845</x:v>
      </x:c>
      <x:c r="AB57" s="40" t="n">
        <x:f>J57</x:f>
        <x:v>247.0354009454815</x:v>
      </x:c>
      <x:c r="AC57" s="40" t="n">
        <x:f>AA57*(1+'Inputs &amp; Summary'!$B$17)+Z57+AB57</x:f>
        <x:v>6765.338546829826</x:v>
      </x:c>
      <x:c r="AD57" s="40" t="n">
        <x:f>F57+H57+J57</x:f>
        <x:v>2571.6218089445333</x:v>
      </x:c>
      <x:c r="AE57" s="40" t="n">
        <x:f>X57+Z57+AB57</x:f>
        <x:v>2571.6218089445333</x:v>
      </x:c>
      <x:c r="AF57" s="40" t="n">
        <x:f>AD57-AE57</x:f>
        <x:v>0</x:v>
      </x:c>
      <x:c r="AG57" s="42" t="n">
        <x:f>(O57+S57)/'Inputs &amp; Summary'!$B$4</x:f>
        <x:v>0.6</x:v>
      </x:c>
      <x:c r="AH57" s="40" t="n">
        <x:f>U57-O57-S57</x:f>
        <x:v>-367380.3689442551</x:v>
      </x:c>
      <x:c r="AI57" s="40" t="n">
        <x:f>AC57-Y57</x:f>
        <x:v>-368563.35285524355</x:v>
      </x:c>
      <x:c r="AJ57" s="40" t="n">
        <x:f>AH57-AI57</x:f>
        <x:v>1182.9839109884342</x:v>
      </x:c>
    </x:row>
    <x:row r="58">
      <x:c r="A58" t="n">
        <x:f>A57+1</x:f>
        <x:v>54</x:v>
      </x:c>
      <x:c r="B58" t="n">
        <x:f>INT((A58-1)/12)+1</x:f>
        <x:v>5</x:v>
      </x:c>
      <x:c r="C58" t="n">
        <x:f>MOD(A58-1,12)+1</x:f>
        <x:v>6</x:v>
      </x:c>
      <x:c r="D58" s="40" t="n">
        <x:f>O57</x:f>
        <x:v>373459.86939995206</x:v>
      </x:c>
      <x:c r="E58" s="40" t="n">
        <x:f>D58*'Inputs &amp; Summary'!$B$15</x:f>
        <x:v>1387.522763186581</x:v>
      </x:c>
      <x:c r="F58" s="40" t="n">
        <x:f>IF(D58&lt;=0.00000001,0,MIN('Inputs &amp; Summary'!$B$18,D58+E58))</x:f>
        <x:v>2324.586407999052</x:v>
      </x:c>
      <x:c r="G58" s="40" t="n">
        <x:f>IF(ABS(MAX(0,D58+E58-F58))&lt;0.00000001,0,MAX(0,D58+E58-F58))</x:f>
        <x:v>372522.8057551396</x:v>
      </x:c>
      <x:c r="H58" s="40" t="n">
        <x:f>MAX(0,'Inputs &amp; Summary'!$B$18-F58)</x:f>
        <x:v>0</x:v>
      </x:c>
      <x:c r="I58" s="40" t="n">
        <x:f>S57</x:f>
        <x:v>46540.13060004794</x:v>
      </x:c>
      <x:c r="J58" s="40" t="n">
        <x:f>I58*'Inputs &amp; Summary'!$B$16</x:f>
        <x:v>252.092374083593</x:v>
      </x:c>
      <x:c r="K58" s="40" t="n">
        <x:f>IF(C58=1,J58,K57+J58)</x:f>
        <x:v>1437.0729841434004</x:v>
      </x:c>
      <x:c r="L58" s="40" t="n">
        <x:f>IF(C58=12,K58*'Inputs &amp; Summary'!$B$11*'Inputs &amp; Summary'!$B$12,0)</x:f>
        <x:v>0</x:v>
      </x:c>
      <x:c r="M58" s="40" t="n">
        <x:f>MIN(L58,G58)</x:f>
        <x:v>0</x:v>
      </x:c>
      <x:c r="N58" s="40" t="n">
        <x:f>MAX(0,L58-M58)</x:f>
        <x:v>0</x:v>
      </x:c>
      <x:c r="O58" s="40" t="n">
        <x:f>IF(ABS(MAX(0,G58-M58))&lt;0.00000001,0,MAX(0,G58-M58))</x:f>
        <x:v>372522.8057551396</x:v>
      </x:c>
      <x:c r="P58" s="40" t="n">
        <x:f>MAX(0,D58-O58)</x:f>
        <x:v>937.0636448124424</x:v>
      </x:c>
      <x:c r="Q58" s="40" t="n">
        <x:f>MAX(0,'Inputs &amp; Summary'!$B$19*'Inputs &amp; Summary'!$B$4-O58-I58)</x:f>
        <x:v>35937.06364481244</x:v>
      </x:c>
      <x:c r="R58" s="40" t="n">
        <x:f>MIN(P58,Q58)</x:f>
        <x:v>937.0636448124424</x:v>
      </x:c>
      <x:c r="S58" s="40" t="n">
        <x:f>I58+R58</x:f>
        <x:v>47477.19424486038</x:v>
      </x:c>
      <x:c r="T58" s="40" t="n">
        <x:f>U57</x:f>
        <x:v>52619.63105574492</x:v>
      </x:c>
      <x:c r="U58" s="40" t="n">
        <x:f>T58*(1+'Inputs &amp; Summary'!$B$17)+R58+N58+H58</x:f>
        <x:v>53812.8234154509</x:v>
      </x:c>
      <x:c r="V58" s="40" t="n">
        <x:f>Y57</x:f>
        <x:v>375328.69140207337</x:v>
      </x:c>
      <x:c r="W58" s="40" t="n">
        <x:f>V58*'Inputs &amp; Summary'!$B$15</x:f>
        <x:v>1394.4660341528927</x:v>
      </x:c>
      <x:c r="X58" s="40" t="n">
        <x:f>IF(V58&lt;=0.00000001,0,MIN('Inputs &amp; Summary'!$B$18,V58+W58))</x:f>
        <x:v>2324.586407999052</x:v>
      </x:c>
      <x:c r="Y58" s="40" t="n">
        <x:f>IF(ABS(MAX(0,V58+W58-X58))&lt;0.00000001,0,MAX(0,V58+W58-X58))</x:f>
        <x:v>374398.5710282272</x:v>
      </x:c>
      <x:c r="Z58" s="40" t="n">
        <x:f>MAX(0,'Inputs &amp; Summary'!$B$18-X58)</x:f>
        <x:v>0</x:v>
      </x:c>
      <x:c r="AA58" s="40" t="n">
        <x:f>AC57</x:f>
        <x:v>6765.338546829826</x:v>
      </x:c>
      <x:c r="AB58" s="40" t="n">
        <x:f>J58</x:f>
        <x:v>252.092374083593</x:v>
      </x:c>
      <x:c r="AC58" s="40" t="n">
        <x:f>AA58*(1+'Inputs &amp; Summary'!$B$17)+Z58+AB58</x:f>
        <x:v>7050.3615483817775</x:v>
      </x:c>
      <x:c r="AD58" s="40" t="n">
        <x:f>F58+H58+J58</x:f>
        <x:v>2576.678782082645</x:v>
      </x:c>
      <x:c r="AE58" s="40" t="n">
        <x:f>X58+Z58+AB58</x:f>
        <x:v>2576.678782082645</x:v>
      </x:c>
      <x:c r="AF58" s="40" t="n">
        <x:f>AD58-AE58</x:f>
        <x:v>0</x:v>
      </x:c>
      <x:c r="AG58" s="42" t="n">
        <x:f>(O58+S58)/'Inputs &amp; Summary'!$B$4</x:f>
        <x:v>0.6</x:v>
      </x:c>
      <x:c r="AH58" s="40" t="n">
        <x:f>U58-O58-S58</x:f>
        <x:v>-366187.1765845491</x:v>
      </x:c>
      <x:c r="AI58" s="40" t="n">
        <x:f>AC58-Y58</x:f>
        <x:v>-367348.2094798454</x:v>
      </x:c>
      <x:c r="AJ58" s="40" t="n">
        <x:f>AH58-AI58</x:f>
        <x:v>1161.0328952963464</x:v>
      </x:c>
    </x:row>
    <x:row r="59">
      <x:c r="A59" t="n">
        <x:f>A58+1</x:f>
        <x:v>55</x:v>
      </x:c>
      <x:c r="B59" t="n">
        <x:f>INT((A59-1)/12)+1</x:f>
        <x:v>5</x:v>
      </x:c>
      <x:c r="C59" t="n">
        <x:f>MOD(A59-1,12)+1</x:f>
        <x:v>7</x:v>
      </x:c>
      <x:c r="D59" s="40" t="n">
        <x:f>O58</x:f>
        <x:v>372522.8057551396</x:v>
      </x:c>
      <x:c r="E59" s="40" t="n">
        <x:f>D59*'Inputs &amp; Summary'!$B$15</x:f>
        <x:v>1384.0412722841693</x:v>
      </x:c>
      <x:c r="F59" s="40" t="n">
        <x:f>IF(D59&lt;=0.00000001,0,MIN('Inputs &amp; Summary'!$B$18,D59+E59))</x:f>
        <x:v>2324.586407999052</x:v>
      </x:c>
      <x:c r="G59" s="40" t="n">
        <x:f>IF(ABS(MAX(0,D59+E59-F59))&lt;0.00000001,0,MAX(0,D59+E59-F59))</x:f>
        <x:v>371582.26061942475</x:v>
      </x:c>
      <x:c r="H59" s="40" t="n">
        <x:f>MAX(0,'Inputs &amp; Summary'!$B$18-F59)</x:f>
        <x:v>0</x:v>
      </x:c>
      <x:c r="I59" s="40" t="n">
        <x:f>S58</x:f>
        <x:v>47477.19424486038</x:v>
      </x:c>
      <x:c r="J59" s="40" t="n">
        <x:f>I59*'Inputs &amp; Summary'!$B$16</x:f>
        <x:v>257.1681354929937</x:v>
      </x:c>
      <x:c r="K59" s="40" t="n">
        <x:f>IF(C59=1,J59,K58+J59)</x:f>
        <x:v>1694.2411196363942</x:v>
      </x:c>
      <x:c r="L59" s="40" t="n">
        <x:f>IF(C59=12,K59*'Inputs &amp; Summary'!$B$11*'Inputs &amp; Summary'!$B$12,0)</x:f>
        <x:v>0</x:v>
      </x:c>
      <x:c r="M59" s="40" t="n">
        <x:f>MIN(L59,G59)</x:f>
        <x:v>0</x:v>
      </x:c>
      <x:c r="N59" s="40" t="n">
        <x:f>MAX(0,L59-M59)</x:f>
        <x:v>0</x:v>
      </x:c>
      <x:c r="O59" s="40" t="n">
        <x:f>IF(ABS(MAX(0,G59-M59))&lt;0.00000001,0,MAX(0,G59-M59))</x:f>
        <x:v>371582.26061942475</x:v>
      </x:c>
      <x:c r="P59" s="40" t="n">
        <x:f>MAX(0,D59-O59)</x:f>
        <x:v>940.5451357148704</x:v>
      </x:c>
      <x:c r="Q59" s="40" t="n">
        <x:f>MAX(0,'Inputs &amp; Summary'!$B$19*'Inputs &amp; Summary'!$B$4-O59-I59)</x:f>
        <x:v>35940.54513571487</x:v>
      </x:c>
      <x:c r="R59" s="40" t="n">
        <x:f>MIN(P59,Q59)</x:f>
        <x:v>940.5451357148704</x:v>
      </x:c>
      <x:c r="S59" s="40" t="n">
        <x:f>I59+R59</x:f>
        <x:v>48417.73938057525</x:v>
      </x:c>
      <x:c r="T59" s="40" t="n">
        <x:f>U58</x:f>
        <x:v>53812.8234154509</x:v>
      </x:c>
      <x:c r="U59" s="40" t="n">
        <x:f>T59*(1+'Inputs &amp; Summary'!$B$17)+R59+N59+H59</x:f>
        <x:v>55015.30519020435</x:v>
      </x:c>
      <x:c r="V59" s="40" t="n">
        <x:f>Y58</x:f>
        <x:v>374398.5710282272</x:v>
      </x:c>
      <x:c r="W59" s="40" t="n">
        <x:f>V59*'Inputs &amp; Summary'!$B$15</x:f>
        <x:v>1391.010339721015</x:v>
      </x:c>
      <x:c r="X59" s="40" t="n">
        <x:f>IF(V59&lt;=0.00000001,0,MIN('Inputs &amp; Summary'!$B$18,V59+W59))</x:f>
        <x:v>2324.586407999052</x:v>
      </x:c>
      <x:c r="Y59" s="40" t="n">
        <x:f>IF(ABS(MAX(0,V59+W59-X59))&lt;0.00000001,0,MAX(0,V59+W59-X59))</x:f>
        <x:v>373464.99495994917</x:v>
      </x:c>
      <x:c r="Z59" s="40" t="n">
        <x:f>MAX(0,'Inputs &amp; Summary'!$B$18-X59)</x:f>
        <x:v>0</x:v>
      </x:c>
      <x:c r="AA59" s="40" t="n">
        <x:f>AC58</x:f>
        <x:v>7050.3615483817775</x:v>
      </x:c>
      <x:c r="AB59" s="40" t="n">
        <x:f>J59</x:f>
        <x:v>257.1681354929937</x:v>
      </x:c>
      <x:c r="AC59" s="40" t="n">
        <x:f>AA59*(1+'Inputs &amp; Summary'!$B$17)+Z59+AB59</x:f>
        <x:v>7341.847675215469</x:v>
      </x:c>
      <x:c r="AD59" s="40" t="n">
        <x:f>F59+H59+J59</x:f>
        <x:v>2581.7545434920457</x:v>
      </x:c>
      <x:c r="AE59" s="40" t="n">
        <x:f>X59+Z59+AB59</x:f>
        <x:v>2581.7545434920457</x:v>
      </x:c>
      <x:c r="AF59" s="40" t="n">
        <x:f>AD59-AE59</x:f>
        <x:v>0</x:v>
      </x:c>
      <x:c r="AG59" s="42" t="n">
        <x:f>(O59+S59)/'Inputs &amp; Summary'!$B$4</x:f>
        <x:v>0.6</x:v>
      </x:c>
      <x:c r="AH59" s="40" t="n">
        <x:f>U59-O59-S59</x:f>
        <x:v>-364984.69480979565</x:v>
      </x:c>
      <x:c r="AI59" s="40" t="n">
        <x:f>AC59-Y59</x:f>
        <x:v>-366123.1472847337</x:v>
      </x:c>
      <x:c r="AJ59" s="40" t="n">
        <x:f>AH59-AI59</x:f>
        <x:v>1138.4524749380653</x:v>
      </x:c>
    </x:row>
    <x:row r="60">
      <x:c r="A60" t="n">
        <x:f>A59+1</x:f>
        <x:v>56</x:v>
      </x:c>
      <x:c r="B60" t="n">
        <x:f>INT((A60-1)/12)+1</x:f>
        <x:v>5</x:v>
      </x:c>
      <x:c r="C60" t="n">
        <x:f>MOD(A60-1,12)+1</x:f>
        <x:v>8</x:v>
      </x:c>
      <x:c r="D60" s="40" t="n">
        <x:f>O59</x:f>
        <x:v>371582.26061942475</x:v>
      </x:c>
      <x:c r="E60" s="40" t="n">
        <x:f>D60*'Inputs &amp; Summary'!$B$15</x:f>
        <x:v>1380.546846530458</x:v>
      </x:c>
      <x:c r="F60" s="40" t="n">
        <x:f>IF(D60&lt;=0.00000001,0,MIN('Inputs &amp; Summary'!$B$18,D60+E60))</x:f>
        <x:v>2324.586407999052</x:v>
      </x:c>
      <x:c r="G60" s="40" t="n">
        <x:f>IF(ABS(MAX(0,D60+E60-F60))&lt;0.00000001,0,MAX(0,D60+E60-F60))</x:f>
        <x:v>370638.22105795617</x:v>
      </x:c>
      <x:c r="H60" s="40" t="n">
        <x:f>MAX(0,'Inputs &amp; Summary'!$B$18-F60)</x:f>
        <x:v>0</x:v>
      </x:c>
      <x:c r="I60" s="40" t="n">
        <x:f>S59</x:f>
        <x:v>48417.73938057525</x:v>
      </x:c>
      <x:c r="J60" s="40" t="n">
        <x:f>I60*'Inputs &amp; Summary'!$B$16</x:f>
        <x:v>262.26275497811594</x:v>
      </x:c>
      <x:c r="K60" s="40" t="n">
        <x:f>IF(C60=1,J60,K59+J60)</x:f>
        <x:v>1956.50387461451</x:v>
      </x:c>
      <x:c r="L60" s="40" t="n">
        <x:f>IF(C60=12,K60*'Inputs &amp; Summary'!$B$11*'Inputs &amp; Summary'!$B$12,0)</x:f>
        <x:v>0</x:v>
      </x:c>
      <x:c r="M60" s="40" t="n">
        <x:f>MIN(L60,G60)</x:f>
        <x:v>0</x:v>
      </x:c>
      <x:c r="N60" s="40" t="n">
        <x:f>MAX(0,L60-M60)</x:f>
        <x:v>0</x:v>
      </x:c>
      <x:c r="O60" s="40" t="n">
        <x:f>IF(ABS(MAX(0,G60-M60))&lt;0.00000001,0,MAX(0,G60-M60))</x:f>
        <x:v>370638.22105795617</x:v>
      </x:c>
      <x:c r="P60" s="40" t="n">
        <x:f>MAX(0,D60-O60)</x:f>
        <x:v>944.039561468584</x:v>
      </x:c>
      <x:c r="Q60" s="40" t="n">
        <x:f>MAX(0,'Inputs &amp; Summary'!$B$19*'Inputs &amp; Summary'!$B$4-O60-I60)</x:f>
        <x:v>35944.039561468584</x:v>
      </x:c>
      <x:c r="R60" s="40" t="n">
        <x:f>MIN(P60,Q60)</x:f>
        <x:v>944.039561468584</x:v>
      </x:c>
      <x:c r="S60" s="40" t="n">
        <x:f>I60+R60</x:f>
        <x:v>49361.778942043835</x:v>
      </x:c>
      <x:c r="T60" s="40" t="n">
        <x:f>U59</x:f>
        <x:v>55015.30519020435</x:v>
      </x:c>
      <x:c r="U60" s="40" t="n">
        <x:f>T60*(1+'Inputs &amp; Summary'!$B$17)+R60+N60+H60</x:f>
        <x:v>56227.13453155404</x:v>
      </x:c>
      <x:c r="V60" s="40" t="n">
        <x:f>Y59</x:f>
        <x:v>373464.99495994917</x:v>
      </x:c>
      <x:c r="W60" s="40" t="n">
        <x:f>V60*'Inputs &amp; Summary'!$B$15</x:f>
        <x:v>1387.5418062799702</x:v>
      </x:c>
      <x:c r="X60" s="40" t="n">
        <x:f>IF(V60&lt;=0.00000001,0,MIN('Inputs &amp; Summary'!$B$18,V60+W60))</x:f>
        <x:v>2324.586407999052</x:v>
      </x:c>
      <x:c r="Y60" s="40" t="n">
        <x:f>IF(ABS(MAX(0,V60+W60-X60))&lt;0.00000001,0,MAX(0,V60+W60-X60))</x:f>
        <x:v>372527.9503582301</x:v>
      </x:c>
      <x:c r="Z60" s="40" t="n">
        <x:f>MAX(0,'Inputs &amp; Summary'!$B$18-X60)</x:f>
        <x:v>0</x:v>
      </x:c>
      <x:c r="AA60" s="40" t="n">
        <x:f>AC59</x:f>
        <x:v>7341.847675215469</x:v>
      </x:c>
      <x:c r="AB60" s="40" t="n">
        <x:f>J60</x:f>
        <x:v>262.26275497811594</x:v>
      </x:c>
      <x:c r="AC60" s="40" t="n">
        <x:f>AA60*(1+'Inputs &amp; Summary'!$B$17)+Z60+AB60</x:f>
        <x:v>7639.847244995743</x:v>
      </x:c>
      <x:c r="AD60" s="40" t="n">
        <x:f>F60+H60+J60</x:f>
        <x:v>2586.849162977168</x:v>
      </x:c>
      <x:c r="AE60" s="40" t="n">
        <x:f>X60+Z60+AB60</x:f>
        <x:v>2586.849162977168</x:v>
      </x:c>
      <x:c r="AF60" s="40" t="n">
        <x:f>AD60-AE60</x:f>
        <x:v>0</x:v>
      </x:c>
      <x:c r="AG60" s="42" t="n">
        <x:f>(O60+S60)/'Inputs &amp; Summary'!$B$4</x:f>
        <x:v>0.6</x:v>
      </x:c>
      <x:c r="AH60" s="40" t="n">
        <x:f>U60-O60-S60</x:f>
        <x:v>-363772.865468446</x:v>
      </x:c>
      <x:c r="AI60" s="40" t="n">
        <x:f>AC60-Y60</x:f>
        <x:v>-364888.10311323433</x:v>
      </x:c>
      <x:c r="AJ60" s="40" t="n">
        <x:f>AH60-AI60</x:f>
        <x:v>1115.2376447883435</x:v>
      </x:c>
    </x:row>
    <x:row r="61">
      <x:c r="A61" t="n">
        <x:f>A60+1</x:f>
        <x:v>57</x:v>
      </x:c>
      <x:c r="B61" t="n">
        <x:f>INT((A61-1)/12)+1</x:f>
        <x:v>5</x:v>
      </x:c>
      <x:c r="C61" t="n">
        <x:f>MOD(A61-1,12)+1</x:f>
        <x:v>9</x:v>
      </x:c>
      <x:c r="D61" s="40" t="n">
        <x:f>O60</x:f>
        <x:v>370638.22105795617</x:v>
      </x:c>
      <x:c r="E61" s="40" t="n">
        <x:f>D61*'Inputs &amp; Summary'!$B$15</x:f>
        <x:v>1377.0394378683413</x:v>
      </x:c>
      <x:c r="F61" s="40" t="n">
        <x:f>IF(D61&lt;=0.00000001,0,MIN('Inputs &amp; Summary'!$B$18,D61+E61))</x:f>
        <x:v>2324.586407999052</x:v>
      </x:c>
      <x:c r="G61" s="40" t="n">
        <x:f>IF(ABS(MAX(0,D61+E61-F61))&lt;0.00000001,0,MAX(0,D61+E61-F61))</x:f>
        <x:v>369690.67408782546</x:v>
      </x:c>
      <x:c r="H61" s="40" t="n">
        <x:f>MAX(0,'Inputs &amp; Summary'!$B$18-F61)</x:f>
        <x:v>0</x:v>
      </x:c>
      <x:c r="I61" s="40" t="n">
        <x:f>S60</x:f>
        <x:v>49361.778942043835</x:v>
      </x:c>
      <x:c r="J61" s="40" t="n">
        <x:f>I61*'Inputs &amp; Summary'!$B$16</x:f>
        <x:v>267.37630260273744</x:v>
      </x:c>
      <x:c r="K61" s="40" t="n">
        <x:f>IF(C61=1,J61,K60+J61)</x:f>
        <x:v>2223.8801772172474</x:v>
      </x:c>
      <x:c r="L61" s="40" t="n">
        <x:f>IF(C61=12,K61*'Inputs &amp; Summary'!$B$11*'Inputs &amp; Summary'!$B$12,0)</x:f>
        <x:v>0</x:v>
      </x:c>
      <x:c r="M61" s="40" t="n">
        <x:f>MIN(L61,G61)</x:f>
        <x:v>0</x:v>
      </x:c>
      <x:c r="N61" s="40" t="n">
        <x:f>MAX(0,L61-M61)</x:f>
        <x:v>0</x:v>
      </x:c>
      <x:c r="O61" s="40" t="n">
        <x:f>IF(ABS(MAX(0,G61-M61))&lt;0.00000001,0,MAX(0,G61-M61))</x:f>
        <x:v>369690.67408782546</x:v>
      </x:c>
      <x:c r="P61" s="40" t="n">
        <x:f>MAX(0,D61-O61)</x:f>
        <x:v>947.5469701307011</x:v>
      </x:c>
      <x:c r="Q61" s="40" t="n">
        <x:f>MAX(0,'Inputs &amp; Summary'!$B$19*'Inputs &amp; Summary'!$B$4-O61-I61)</x:f>
        <x:v>35947.5469701307</x:v>
      </x:c>
      <x:c r="R61" s="40" t="n">
        <x:f>MIN(P61,Q61)</x:f>
        <x:v>947.5469701307011</x:v>
      </x:c>
      <x:c r="S61" s="40" t="n">
        <x:f>I61+R61</x:f>
        <x:v>50309.325912174536</x:v>
      </x:c>
      <x:c r="T61" s="40" t="n">
        <x:f>U60</x:f>
        <x:v>56227.13453155404</x:v>
      </x:c>
      <x:c r="U61" s="40" t="n">
        <x:f>T61*(1+'Inputs &amp; Summary'!$B$17)+R61+N61+H61</x:f>
        <x:v>57448.36992216142</x:v>
      </x:c>
      <x:c r="V61" s="40" t="n">
        <x:f>Y60</x:f>
        <x:v>372527.9503582301</x:v>
      </x:c>
      <x:c r="W61" s="40" t="n">
        <x:f>V61*'Inputs &amp; Summary'!$B$15</x:f>
        <x:v>1384.060386128736</x:v>
      </x:c>
      <x:c r="X61" s="40" t="n">
        <x:f>IF(V61&lt;=0.00000001,0,MIN('Inputs &amp; Summary'!$B$18,V61+W61))</x:f>
        <x:v>2324.586407999052</x:v>
      </x:c>
      <x:c r="Y61" s="40" t="n">
        <x:f>IF(ABS(MAX(0,V61+W61-X61))&lt;0.00000001,0,MAX(0,V61+W61-X61))</x:f>
        <x:v>371587.4243363598</x:v>
      </x:c>
      <x:c r="Z61" s="40" t="n">
        <x:f>MAX(0,'Inputs &amp; Summary'!$B$18-X61)</x:f>
        <x:v>0</x:v>
      </x:c>
      <x:c r="AA61" s="40" t="n">
        <x:f>AC60</x:f>
        <x:v>7639.847244995743</x:v>
      </x:c>
      <x:c r="AB61" s="40" t="n">
        <x:f>J61</x:f>
        <x:v>267.37630260273744</x:v>
      </x:c>
      <x:c r="AC61" s="40" t="n">
        <x:f>AA61*(1+'Inputs &amp; Summary'!$B$17)+Z61+AB61</x:f>
        <x:v>7944.410890374993</x:v>
      </x:c>
      <x:c r="AD61" s="40" t="n">
        <x:f>F61+H61+J61</x:f>
        <x:v>2591.9627106017892</x:v>
      </x:c>
      <x:c r="AE61" s="40" t="n">
        <x:f>X61+Z61+AB61</x:f>
        <x:v>2591.9627106017892</x:v>
      </x:c>
      <x:c r="AF61" s="40" t="n">
        <x:f>AD61-AE61</x:f>
        <x:v>0</x:v>
      </x:c>
      <x:c r="AG61" s="42" t="n">
        <x:f>(O61+S61)/'Inputs &amp; Summary'!$B$4</x:f>
        <x:v>0.6</x:v>
      </x:c>
      <x:c r="AH61" s="40" t="n">
        <x:f>U61-O61-S61</x:f>
        <x:v>-362551.63007783855</x:v>
      </x:c>
      <x:c r="AI61" s="40" t="n">
        <x:f>AC61-Y61</x:f>
        <x:v>-363643.0134459848</x:v>
      </x:c>
      <x:c r="AJ61" s="40" t="n">
        <x:f>AH61-AI61</x:f>
        <x:v>1091.3833681462565</x:v>
      </x:c>
    </x:row>
    <x:row r="62">
      <x:c r="A62" t="n">
        <x:f>A61+1</x:f>
        <x:v>58</x:v>
      </x:c>
      <x:c r="B62" t="n">
        <x:f>INT((A62-1)/12)+1</x:f>
        <x:v>5</x:v>
      </x:c>
      <x:c r="C62" t="n">
        <x:f>MOD(A62-1,12)+1</x:f>
        <x:v>10</x:v>
      </x:c>
      <x:c r="D62" s="40" t="n">
        <x:f>O61</x:f>
        <x:v>369690.67408782546</x:v>
      </x:c>
      <x:c r="E62" s="40" t="n">
        <x:f>D62*'Inputs &amp; Summary'!$B$15</x:f>
        <x:v>1373.5189980621656</x:v>
      </x:c>
      <x:c r="F62" s="40" t="n">
        <x:f>IF(D62&lt;=0.00000001,0,MIN('Inputs &amp; Summary'!$B$18,D62+E62))</x:f>
        <x:v>2324.586407999052</x:v>
      </x:c>
      <x:c r="G62" s="40" t="n">
        <x:f>IF(ABS(MAX(0,D62+E62-F62))&lt;0.00000001,0,MAX(0,D62+E62-F62))</x:f>
        <x:v>368739.6066778886</x:v>
      </x:c>
      <x:c r="H62" s="40" t="n">
        <x:f>MAX(0,'Inputs &amp; Summary'!$B$18-F62)</x:f>
        <x:v>0</x:v>
      </x:c>
      <x:c r="I62" s="40" t="n">
        <x:f>S61</x:f>
        <x:v>50309.325912174536</x:v>
      </x:c>
      <x:c r="J62" s="40" t="n">
        <x:f>I62*'Inputs &amp; Summary'!$B$16</x:f>
        <x:v>272.5088486909454</x:v>
      </x:c>
      <x:c r="K62" s="40" t="n">
        <x:f>IF(C62=1,J62,K61+J62)</x:f>
        <x:v>2496.3890259081927</x:v>
      </x:c>
      <x:c r="L62" s="40" t="n">
        <x:f>IF(C62=12,K62*'Inputs &amp; Summary'!$B$11*'Inputs &amp; Summary'!$B$12,0)</x:f>
        <x:v>0</x:v>
      </x:c>
      <x:c r="M62" s="40" t="n">
        <x:f>MIN(L62,G62)</x:f>
        <x:v>0</x:v>
      </x:c>
      <x:c r="N62" s="40" t="n">
        <x:f>MAX(0,L62-M62)</x:f>
        <x:v>0</x:v>
      </x:c>
      <x:c r="O62" s="40" t="n">
        <x:f>IF(ABS(MAX(0,G62-M62))&lt;0.00000001,0,MAX(0,G62-M62))</x:f>
        <x:v>368739.6066778886</x:v>
      </x:c>
      <x:c r="P62" s="40" t="n">
        <x:f>MAX(0,D62-O62)</x:f>
        <x:v>951.0674099368625</x:v>
      </x:c>
      <x:c r="Q62" s="40" t="n">
        <x:f>MAX(0,'Inputs &amp; Summary'!$B$19*'Inputs &amp; Summary'!$B$4-O62-I62)</x:f>
        <x:v>35951.06740993686</x:v>
      </x:c>
      <x:c r="R62" s="40" t="n">
        <x:f>MIN(P62,Q62)</x:f>
        <x:v>951.0674099368625</x:v>
      </x:c>
      <x:c r="S62" s="40" t="n">
        <x:f>I62+R62</x:f>
        <x:v>51260.3933221114</x:v>
      </x:c>
      <x:c r="T62" s="40" t="n">
        <x:f>U61</x:f>
        <x:v>57448.36992216142</x:v>
      </x:c>
      <x:c r="U62" s="40" t="n">
        <x:f>T62*(1+'Inputs &amp; Summary'!$B$17)+R62+N62+H62</x:f>
        <x:v>58679.07017759094</x:v>
      </x:c>
      <x:c r="V62" s="40" t="n">
        <x:f>Y61</x:f>
        <x:v>371587.4243363598</x:v>
      </x:c>
      <x:c r="W62" s="40" t="n">
        <x:f>V62*'Inputs &amp; Summary'!$B$15</x:f>
        <x:v>1380.5660313890655</x:v>
      </x:c>
      <x:c r="X62" s="40" t="n">
        <x:f>IF(V62&lt;=0.00000001,0,MIN('Inputs &amp; Summary'!$B$18,V62+W62))</x:f>
        <x:v>2324.586407999052</x:v>
      </x:c>
      <x:c r="Y62" s="40" t="n">
        <x:f>IF(ABS(MAX(0,V62+W62-X62))&lt;0.00000001,0,MAX(0,V62+W62-X62))</x:f>
        <x:v>370643.4039597498</x:v>
      </x:c>
      <x:c r="Z62" s="40" t="n">
        <x:f>MAX(0,'Inputs &amp; Summary'!$B$18-X62)</x:f>
        <x:v>0</x:v>
      </x:c>
      <x:c r="AA62" s="40" t="n">
        <x:f>AC61</x:f>
        <x:v>7944.410890374993</x:v>
      </x:c>
      <x:c r="AB62" s="40" t="n">
        <x:f>J62</x:f>
        <x:v>272.5088486909454</x:v>
      </x:c>
      <x:c r="AC62" s="40" t="n">
        <x:f>AA62*(1+'Inputs &amp; Summary'!$B$17)+Z62+AB62</x:f>
        <x:v>8255.5895607867</x:v>
      </x:c>
      <x:c r="AD62" s="40" t="n">
        <x:f>F62+H62+J62</x:f>
        <x:v>2597.0952566899973</x:v>
      </x:c>
      <x:c r="AE62" s="40" t="n">
        <x:f>X62+Z62+AB62</x:f>
        <x:v>2597.0952566899973</x:v>
      </x:c>
      <x:c r="AF62" s="40" t="n">
        <x:f>AD62-AE62</x:f>
        <x:v>0</x:v>
      </x:c>
      <x:c r="AG62" s="42" t="n">
        <x:f>(O62+S62)/'Inputs &amp; Summary'!$B$4</x:f>
        <x:v>0.6</x:v>
      </x:c>
      <x:c r="AH62" s="40" t="n">
        <x:f>U62-O62-S62</x:f>
        <x:v>-361320.92982240906</x:v>
      </x:c>
      <x:c r="AI62" s="40" t="n">
        <x:f>AC62-Y62</x:f>
        <x:v>-362387.81439896306</x:v>
      </x:c>
      <x:c r="AJ62" s="40" t="n">
        <x:f>AH62-AI62</x:f>
        <x:v>1066.8845765540027</x:v>
      </x:c>
    </x:row>
    <x:row r="63">
      <x:c r="A63" t="n">
        <x:f>A62+1</x:f>
        <x:v>59</x:v>
      </x:c>
      <x:c r="B63" t="n">
        <x:f>INT((A63-1)/12)+1</x:f>
        <x:v>5</x:v>
      </x:c>
      <x:c r="C63" t="n">
        <x:f>MOD(A63-1,12)+1</x:f>
        <x:v>11</x:v>
      </x:c>
      <x:c r="D63" s="40" t="n">
        <x:f>O62</x:f>
        <x:v>368739.6066778886</x:v>
      </x:c>
      <x:c r="E63" s="40" t="n">
        <x:f>D63*'Inputs &amp; Summary'!$B$15</x:f>
        <x:v>1369.985478697066</x:v>
      </x:c>
      <x:c r="F63" s="40" t="n">
        <x:f>IF(D63&lt;=0.00000001,0,MIN('Inputs &amp; Summary'!$B$18,D63+E63))</x:f>
        <x:v>2324.586407999052</x:v>
      </x:c>
      <x:c r="G63" s="40" t="n">
        <x:f>IF(ABS(MAX(0,D63+E63-F63))&lt;0.00000001,0,MAX(0,D63+E63-F63))</x:f>
        <x:v>367785.0057485866</x:v>
      </x:c>
      <x:c r="H63" s="40" t="n">
        <x:f>MAX(0,'Inputs &amp; Summary'!$B$18-F63)</x:f>
        <x:v>0</x:v>
      </x:c>
      <x:c r="I63" s="40" t="n">
        <x:f>S62</x:f>
        <x:v>51260.3933221114</x:v>
      </x:c>
      <x:c r="J63" s="40" t="n">
        <x:f>I63*'Inputs &amp; Summary'!$B$16</x:f>
        <x:v>277.66046382810345</x:v>
      </x:c>
      <x:c r="K63" s="40" t="n">
        <x:f>IF(C63=1,J63,K62+J63)</x:f>
        <x:v>2774.049489736296</x:v>
      </x:c>
      <x:c r="L63" s="40" t="n">
        <x:f>IF(C63=12,K63*'Inputs &amp; Summary'!$B$11*'Inputs &amp; Summary'!$B$12,0)</x:f>
        <x:v>0</x:v>
      </x:c>
      <x:c r="M63" s="40" t="n">
        <x:f>MIN(L63,G63)</x:f>
        <x:v>0</x:v>
      </x:c>
      <x:c r="N63" s="40" t="n">
        <x:f>MAX(0,L63-M63)</x:f>
        <x:v>0</x:v>
      </x:c>
      <x:c r="O63" s="40" t="n">
        <x:f>IF(ABS(MAX(0,G63-M63))&lt;0.00000001,0,MAX(0,G63-M63))</x:f>
        <x:v>367785.0057485866</x:v>
      </x:c>
      <x:c r="P63" s="40" t="n">
        <x:f>MAX(0,D63-O63)</x:f>
        <x:v>954.6009293019888</x:v>
      </x:c>
      <x:c r="Q63" s="40" t="n">
        <x:f>MAX(0,'Inputs &amp; Summary'!$B$19*'Inputs &amp; Summary'!$B$4-O63-I63)</x:f>
        <x:v>35954.60092930199</x:v>
      </x:c>
      <x:c r="R63" s="40" t="n">
        <x:f>MIN(P63,Q63)</x:f>
        <x:v>954.6009293019888</x:v>
      </x:c>
      <x:c r="S63" s="40" t="n">
        <x:f>I63+R63</x:f>
        <x:v>52214.99425141339</x:v>
      </x:c>
      <x:c r="T63" s="40" t="n">
        <x:f>U62</x:f>
        <x:v>58679.07017759094</x:v>
      </x:c>
      <x:c r="U63" s="40" t="n">
        <x:f>T63*(1+'Inputs &amp; Summary'!$B$17)+R63+N63+H63</x:f>
        <x:v>59919.294448109664</x:v>
      </x:c>
      <x:c r="V63" s="40" t="n">
        <x:f>Y62</x:f>
        <x:v>370643.4039597498</x:v>
      </x:c>
      <x:c r="W63" s="40" t="n">
        <x:f>V63*'Inputs &amp; Summary'!$B$15</x:f>
        <x:v>1377.0586940048295</x:v>
      </x:c>
      <x:c r="X63" s="40" t="n">
        <x:f>IF(V63&lt;=0.00000001,0,MIN('Inputs &amp; Summary'!$B$18,V63+W63))</x:f>
        <x:v>2324.586407999052</x:v>
      </x:c>
      <x:c r="Y63" s="40" t="n">
        <x:f>IF(ABS(MAX(0,V63+W63-X63))&lt;0.00000001,0,MAX(0,V63+W63-X63))</x:f>
        <x:v>369695.8762457556</x:v>
      </x:c>
      <x:c r="Z63" s="40" t="n">
        <x:f>MAX(0,'Inputs &amp; Summary'!$B$18-X63)</x:f>
        <x:v>0</x:v>
      </x:c>
      <x:c r="AA63" s="40" t="n">
        <x:f>AC62</x:f>
        <x:v>8255.5895607867</x:v>
      </x:c>
      <x:c r="AB63" s="40" t="n">
        <x:f>J63</x:f>
        <x:v>277.66046382810345</x:v>
      </x:c>
      <x:c r="AC63" s="40" t="n">
        <x:f>AA63*(1+'Inputs &amp; Summary'!$B$17)+Z63+AB63</x:f>
        <x:v>8573.434524248652</x:v>
      </x:c>
      <x:c r="AD63" s="40" t="n">
        <x:f>F63+H63+J63</x:f>
        <x:v>2602.2468718271552</x:v>
      </x:c>
      <x:c r="AE63" s="40" t="n">
        <x:f>X63+Z63+AB63</x:f>
        <x:v>2602.2468718271552</x:v>
      </x:c>
      <x:c r="AF63" s="40" t="n">
        <x:f>AD63-AE63</x:f>
        <x:v>0</x:v>
      </x:c>
      <x:c r="AG63" s="42" t="n">
        <x:f>(O63+S63)/'Inputs &amp; Summary'!$B$4</x:f>
        <x:v>0.6</x:v>
      </x:c>
      <x:c r="AH63" s="40" t="n">
        <x:f>U63-O63-S63</x:f>
        <x:v>-360080.7055518903</x:v>
      </x:c>
      <x:c r="AI63" s="40" t="n">
        <x:f>AC63-Y63</x:f>
        <x:v>-361122.44172150694</x:v>
      </x:c>
      <x:c r="AJ63" s="40" t="n">
        <x:f>AH63-AI63</x:f>
        <x:v>1041.7361696166336</x:v>
      </x:c>
    </x:row>
    <x:row r="64">
      <x:c r="A64" t="n">
        <x:f>A63+1</x:f>
        <x:v>60</x:v>
      </x:c>
      <x:c r="B64" t="n">
        <x:f>INT((A64-1)/12)+1</x:f>
        <x:v>5</x:v>
      </x:c>
      <x:c r="C64" t="n">
        <x:f>MOD(A64-1,12)+1</x:f>
        <x:v>12</x:v>
      </x:c>
      <x:c r="D64" s="40" t="n">
        <x:f>O63</x:f>
        <x:v>367785.0057485866</x:v>
      </x:c>
      <x:c r="E64" s="40" t="n">
        <x:f>D64*'Inputs &amp; Summary'!$B$15</x:f>
        <x:v>1366.4388311783011</x:v>
      </x:c>
      <x:c r="F64" s="40" t="n">
        <x:f>IF(D64&lt;=0.00000001,0,MIN('Inputs &amp; Summary'!$B$18,D64+E64))</x:f>
        <x:v>2324.586407999052</x:v>
      </x:c>
      <x:c r="G64" s="40" t="n">
        <x:f>IF(ABS(MAX(0,D64+E64-F64))&lt;0.00000001,0,MAX(0,D64+E64-F64))</x:f>
        <x:v>366826.85817176587</x:v>
      </x:c>
      <x:c r="H64" s="40" t="n">
        <x:f>MAX(0,'Inputs &amp; Summary'!$B$18-F64)</x:f>
        <x:v>0</x:v>
      </x:c>
      <x:c r="I64" s="40" t="n">
        <x:f>S63</x:f>
        <x:v>52214.99425141339</x:v>
      </x:c>
      <x:c r="J64" s="40" t="n">
        <x:f>I64*'Inputs &amp; Summary'!$B$16</x:f>
        <x:v>282.83121886182255</x:v>
      </x:c>
      <x:c r="K64" s="40" t="n">
        <x:f>IF(C64=1,J64,K63+J64)</x:f>
        <x:v>3056.8807085981184</x:v>
      </x:c>
      <x:c r="L64" s="40" t="n">
        <x:f>IF(C64=12,K64*'Inputs &amp; Summary'!$B$11*'Inputs &amp; Summary'!$B$12,0)</x:f>
        <x:v>1069.9082480093414</x:v>
      </x:c>
      <x:c r="M64" s="40" t="n">
        <x:f>MIN(L64,G64)</x:f>
        <x:v>1069.9082480093414</x:v>
      </x:c>
      <x:c r="N64" s="40" t="n">
        <x:f>MAX(0,L64-M64)</x:f>
        <x:v>0</x:v>
      </x:c>
      <x:c r="O64" s="40" t="n">
        <x:f>IF(ABS(MAX(0,G64-M64))&lt;0.00000001,0,MAX(0,G64-M64))</x:f>
        <x:v>365756.94992375653</x:v>
      </x:c>
      <x:c r="P64" s="40" t="n">
        <x:f>MAX(0,D64-O64)</x:f>
        <x:v>2028.0558248300804</x:v>
      </x:c>
      <x:c r="Q64" s="40" t="n">
        <x:f>MAX(0,'Inputs &amp; Summary'!$B$19*'Inputs &amp; Summary'!$B$4-O64-I64)</x:f>
        <x:v>37028.05582483008</x:v>
      </x:c>
      <x:c r="R64" s="40" t="n">
        <x:f>MIN(P64,Q64)</x:f>
        <x:v>2028.0558248300804</x:v>
      </x:c>
      <x:c r="S64" s="40" t="n">
        <x:f>I64+R64</x:f>
        <x:v>54243.05007624347</x:v>
      </x:c>
      <x:c r="T64" s="40" t="n">
        <x:f>U63</x:f>
        <x:v>59919.294448109664</x:v>
      </x:c>
      <x:c r="U64" s="40" t="n">
        <x:f>T64*(1+'Inputs &amp; Summary'!$B$17)+R64+N64+H64</x:f>
        <x:v>62239.0104685056</x:v>
      </x:c>
      <x:c r="V64" s="40" t="n">
        <x:f>Y63</x:f>
        <x:v>369695.8762457556</x:v>
      </x:c>
      <x:c r="W64" s="40" t="n">
        <x:f>V64*'Inputs &amp; Summary'!$B$15</x:f>
        <x:v>1373.5383257413546</x:v>
      </x:c>
      <x:c r="X64" s="40" t="n">
        <x:f>IF(V64&lt;=0.00000001,0,MIN('Inputs &amp; Summary'!$B$18,V64+W64))</x:f>
        <x:v>2324.586407999052</x:v>
      </x:c>
      <x:c r="Y64" s="40" t="n">
        <x:f>IF(ABS(MAX(0,V64+W64-X64))&lt;0.00000001,0,MAX(0,V64+W64-X64))</x:f>
        <x:v>368744.8281634979</x:v>
      </x:c>
      <x:c r="Z64" s="40" t="n">
        <x:f>MAX(0,'Inputs &amp; Summary'!$B$18-X64)</x:f>
        <x:v>0</x:v>
      </x:c>
      <x:c r="AA64" s="40" t="n">
        <x:f>AC63</x:f>
        <x:v>8573.434524248652</x:v>
      </x:c>
      <x:c r="AB64" s="40" t="n">
        <x:f>J64</x:f>
        <x:v>282.83121886182255</x:v>
      </x:c>
      <x:c r="AC64" s="40" t="n">
        <x:f>AA64*(1+'Inputs &amp; Summary'!$B$17)+Z64+AB64</x:f>
        <x:v>8897.997369175913</x:v>
      </x:c>
      <x:c r="AD64" s="40" t="n">
        <x:f>F64+H64+J64</x:f>
        <x:v>2607.4176268608744</x:v>
      </x:c>
      <x:c r="AE64" s="40" t="n">
        <x:f>X64+Z64+AB64</x:f>
        <x:v>2607.4176268608744</x:v>
      </x:c>
      <x:c r="AF64" s="40" t="n">
        <x:f>AD64-AE64</x:f>
        <x:v>0</x:v>
      </x:c>
      <x:c r="AG64" s="42" t="n">
        <x:f>(O64+S64)/'Inputs &amp; Summary'!$B$4</x:f>
        <x:v>0.6</x:v>
      </x:c>
      <x:c r="AH64" s="40" t="n">
        <x:f>U64-O64-S64</x:f>
        <x:v>-357760.9895314944</x:v>
      </x:c>
      <x:c r="AI64" s="40" t="n">
        <x:f>AC64-Y64</x:f>
        <x:v>-359846.830794322</x:v>
      </x:c>
      <x:c r="AJ64" s="40" t="n">
        <x:f>AH64-AI64</x:f>
        <x:v>2085.8412628276274</x:v>
      </x:c>
    </x:row>
    <x:row r="65">
      <x:c r="A65" t="n">
        <x:f>A64+1</x:f>
        <x:v>61</x:v>
      </x:c>
      <x:c r="B65" t="n">
        <x:f>INT((A65-1)/12)+1</x:f>
        <x:v>6</x:v>
      </x:c>
      <x:c r="C65" t="n">
        <x:f>MOD(A65-1,12)+1</x:f>
        <x:v>1</x:v>
      </x:c>
      <x:c r="D65" s="40" t="n">
        <x:f>O64</x:f>
        <x:v>365756.94992375653</x:v>
      </x:c>
      <x:c r="E65" s="40" t="n">
        <x:f>D65*'Inputs &amp; Summary'!$B$15</x:f>
        <x:v>1358.903955673508</x:v>
      </x:c>
      <x:c r="F65" s="40" t="n">
        <x:f>IF(D65&lt;=0.00000001,0,MIN('Inputs &amp; Summary'!$B$18,D65+E65))</x:f>
        <x:v>2324.586407999052</x:v>
      </x:c>
      <x:c r="G65" s="40" t="n">
        <x:f>IF(ABS(MAX(0,D65+E65-F65))&lt;0.00000001,0,MAX(0,D65+E65-F65))</x:f>
        <x:v>364791.267471431</x:v>
      </x:c>
      <x:c r="H65" s="40" t="n">
        <x:f>MAX(0,'Inputs &amp; Summary'!$B$18-F65)</x:f>
        <x:v>0</x:v>
      </x:c>
      <x:c r="I65" s="40" t="n">
        <x:f>S64</x:f>
        <x:v>54243.05007624347</x:v>
      </x:c>
      <x:c r="J65" s="40" t="n">
        <x:f>I65*'Inputs &amp; Summary'!$B$16</x:f>
        <x:v>293.8165212463188</x:v>
      </x:c>
      <x:c r="K65" s="40" t="n">
        <x:f>IF(C65=1,J65,K64+J65)</x:f>
        <x:v>293.8165212463188</x:v>
      </x:c>
      <x:c r="L65" s="40" t="n">
        <x:f>IF(C65=12,K65*'Inputs &amp; Summary'!$B$11*'Inputs &amp; Summary'!$B$12,0)</x:f>
        <x:v>0</x:v>
      </x:c>
      <x:c r="M65" s="40" t="n">
        <x:f>MIN(L65,G65)</x:f>
        <x:v>0</x:v>
      </x:c>
      <x:c r="N65" s="40" t="n">
        <x:f>MAX(0,L65-M65)</x:f>
        <x:v>0</x:v>
      </x:c>
      <x:c r="O65" s="40" t="n">
        <x:f>IF(ABS(MAX(0,G65-M65))&lt;0.00000001,0,MAX(0,G65-M65))</x:f>
        <x:v>364791.267471431</x:v>
      </x:c>
      <x:c r="P65" s="40" t="n">
        <x:f>MAX(0,D65-O65)</x:f>
        <x:v>965.6824523255345</x:v>
      </x:c>
      <x:c r="Q65" s="40" t="n">
        <x:f>MAX(0,'Inputs &amp; Summary'!$B$19*'Inputs &amp; Summary'!$B$4-O65-I65)</x:f>
        <x:v>35965.682452325535</x:v>
      </x:c>
      <x:c r="R65" s="40" t="n">
        <x:f>MIN(P65,Q65)</x:f>
        <x:v>965.6824523255345</x:v>
      </x:c>
      <x:c r="S65" s="40" t="n">
        <x:f>I65+R65</x:f>
        <x:v>55208.732528569</x:v>
      </x:c>
      <x:c r="T65" s="40" t="n">
        <x:f>U64</x:f>
        <x:v>62239.0104685056</x:v>
      </x:c>
      <x:c r="U65" s="40" t="n">
        <x:f>T65*(1+'Inputs &amp; Summary'!$B$17)+R65+N65+H65</x:f>
        <x:v>63507.6444514235</x:v>
      </x:c>
      <x:c r="V65" s="40" t="n">
        <x:f>Y64</x:f>
        <x:v>368744.8281634979</x:v>
      </x:c>
      <x:c r="W65" s="40" t="n">
        <x:f>V65*'Inputs &amp; Summary'!$B$15</x:f>
        <x:v>1370.0048781847597</x:v>
      </x:c>
      <x:c r="X65" s="40" t="n">
        <x:f>IF(V65&lt;=0.00000001,0,MIN('Inputs &amp; Summary'!$B$18,V65+W65))</x:f>
        <x:v>2324.586407999052</x:v>
      </x:c>
      <x:c r="Y65" s="40" t="n">
        <x:f>IF(ABS(MAX(0,V65+W65-X65))&lt;0.00000001,0,MAX(0,V65+W65-X65))</x:f>
        <x:v>367790.2466336836</x:v>
      </x:c>
      <x:c r="Z65" s="40" t="n">
        <x:f>MAX(0,'Inputs &amp; Summary'!$B$18-X65)</x:f>
        <x:v>0</x:v>
      </x:c>
      <x:c r="AA65" s="40" t="n">
        <x:f>AC64</x:f>
        <x:v>8897.997369175913</x:v>
      </x:c>
      <x:c r="AB65" s="40" t="n">
        <x:f>J65</x:f>
        <x:v>293.8165212463188</x:v>
      </x:c>
      <x:c r="AC65" s="40" t="n">
        <x:f>AA65*(1+'Inputs &amp; Summary'!$B$17)+Z65+AB65</x:f>
        <x:v>9235.125342546986</x:v>
      </x:c>
      <x:c r="AD65" s="40" t="n">
        <x:f>F65+H65+J65</x:f>
        <x:v>2618.4029292453706</x:v>
      </x:c>
      <x:c r="AE65" s="40" t="n">
        <x:f>X65+Z65+AB65</x:f>
        <x:v>2618.4029292453706</x:v>
      </x:c>
      <x:c r="AF65" s="40" t="n">
        <x:f>AD65-AE65</x:f>
        <x:v>0</x:v>
      </x:c>
      <x:c r="AG65" s="42" t="n">
        <x:f>(O65+S65)/'Inputs &amp; Summary'!$B$4</x:f>
        <x:v>0.6</x:v>
      </x:c>
      <x:c r="AH65" s="40" t="n">
        <x:f>U65-O65-S65</x:f>
        <x:v>-356492.3555485765</x:v>
      </x:c>
      <x:c r="AI65" s="40" t="n">
        <x:f>AC65-Y65</x:f>
        <x:v>-358555.12129113666</x:v>
      </x:c>
      <x:c r="AJ65" s="40" t="n">
        <x:f>AH65-AI65</x:f>
        <x:v>2062.76574256015</x:v>
      </x:c>
    </x:row>
    <x:row r="66">
      <x:c r="A66" t="n">
        <x:f>A65+1</x:f>
        <x:v>62</x:v>
      </x:c>
      <x:c r="B66" t="n">
        <x:f>INT((A66-1)/12)+1</x:f>
        <x:v>6</x:v>
      </x:c>
      <x:c r="C66" t="n">
        <x:f>MOD(A66-1,12)+1</x:f>
        <x:v>2</x:v>
      </x:c>
      <x:c r="D66" s="40" t="n">
        <x:f>O65</x:f>
        <x:v>364791.267471431</x:v>
      </x:c>
      <x:c r="E66" s="40" t="n">
        <x:f>D66*'Inputs &amp; Summary'!$B$15</x:f>
        <x:v>1355.3161367553353</x:v>
      </x:c>
      <x:c r="F66" s="40" t="n">
        <x:f>IF(D66&lt;=0.00000001,0,MIN('Inputs &amp; Summary'!$B$18,D66+E66))</x:f>
        <x:v>2324.586407999052</x:v>
      </x:c>
      <x:c r="G66" s="40" t="n">
        <x:f>IF(ABS(MAX(0,D66+E66-F66))&lt;0.00000001,0,MAX(0,D66+E66-F66))</x:f>
        <x:v>363821.9972001873</x:v>
      </x:c>
      <x:c r="H66" s="40" t="n">
        <x:f>MAX(0,'Inputs &amp; Summary'!$B$18-F66)</x:f>
        <x:v>0</x:v>
      </x:c>
      <x:c r="I66" s="40" t="n">
        <x:f>S65</x:f>
        <x:v>55208.732528569</x:v>
      </x:c>
      <x:c r="J66" s="40" t="n">
        <x:f>I66*'Inputs &amp; Summary'!$B$16</x:f>
        <x:v>299.04730119641545</x:v>
      </x:c>
      <x:c r="K66" s="40" t="n">
        <x:f>IF(C66=1,J66,K65+J66)</x:f>
        <x:v>592.8638224427343</x:v>
      </x:c>
      <x:c r="L66" s="40" t="n">
        <x:f>IF(C66=12,K66*'Inputs &amp; Summary'!$B$11*'Inputs &amp; Summary'!$B$12,0)</x:f>
        <x:v>0</x:v>
      </x:c>
      <x:c r="M66" s="40" t="n">
        <x:f>MIN(L66,G66)</x:f>
        <x:v>0</x:v>
      </x:c>
      <x:c r="N66" s="40" t="n">
        <x:f>MAX(0,L66-M66)</x:f>
        <x:v>0</x:v>
      </x:c>
      <x:c r="O66" s="40" t="n">
        <x:f>IF(ABS(MAX(0,G66-M66))&lt;0.00000001,0,MAX(0,G66-M66))</x:f>
        <x:v>363821.9972001873</x:v>
      </x:c>
      <x:c r="P66" s="40" t="n">
        <x:f>MAX(0,D66-O66)</x:f>
        <x:v>969.2702712437022</x:v>
      </x:c>
      <x:c r="Q66" s="40" t="n">
        <x:f>MAX(0,'Inputs &amp; Summary'!$B$19*'Inputs &amp; Summary'!$B$4-O66-I66)</x:f>
        <x:v>35969.2702712437</x:v>
      </x:c>
      <x:c r="R66" s="40" t="n">
        <x:f>MIN(P66,Q66)</x:f>
        <x:v>969.2702712437022</x:v>
      </x:c>
      <x:c r="S66" s="40" t="n">
        <x:f>I66+R66</x:f>
        <x:v>56178.002799812704</x:v>
      </x:c>
      <x:c r="T66" s="40" t="n">
        <x:f>U65</x:f>
        <x:v>63507.6444514235</x:v>
      </x:c>
      <x:c r="U66" s="40" t="n">
        <x:f>T66*(1+'Inputs &amp; Summary'!$B$17)+R66+N66+H66</x:f>
        <x:v>64786.04139332033</x:v>
      </x:c>
      <x:c r="V66" s="40" t="n">
        <x:f>Y65</x:f>
        <x:v>367790.2466336836</x:v>
      </x:c>
      <x:c r="W66" s="40" t="n">
        <x:f>V66*'Inputs &amp; Summary'!$B$15</x:f>
        <x:v>1366.4583027412914</x:v>
      </x:c>
      <x:c r="X66" s="40" t="n">
        <x:f>IF(V66&lt;=0.00000001,0,MIN('Inputs &amp; Summary'!$B$18,V66+W66))</x:f>
        <x:v>2324.586407999052</x:v>
      </x:c>
      <x:c r="Y66" s="40" t="n">
        <x:f>IF(ABS(MAX(0,V66+W66-X66))&lt;0.00000001,0,MAX(0,V66+W66-X66))</x:f>
        <x:v>366832.11852842587</x:v>
      </x:c>
      <x:c r="Z66" s="40" t="n">
        <x:f>MAX(0,'Inputs &amp; Summary'!$B$18-X66)</x:f>
        <x:v>0</x:v>
      </x:c>
      <x:c r="AA66" s="40" t="n">
        <x:f>AC65</x:f>
        <x:v>9235.125342546986</x:v>
      </x:c>
      <x:c r="AB66" s="40" t="n">
        <x:f>J66</x:f>
        <x:v>299.04730119641545</x:v>
      </x:c>
      <x:c r="AC66" s="40" t="n">
        <x:f>AA66*(1+'Inputs &amp; Summary'!$B$17)+Z66+AB66</x:f>
        <x:v>9579.125083325529</x:v>
      </x:c>
      <x:c r="AD66" s="40" t="n">
        <x:f>F66+H66+J66</x:f>
        <x:v>2623.6337091954674</x:v>
      </x:c>
      <x:c r="AE66" s="40" t="n">
        <x:f>X66+Z66+AB66</x:f>
        <x:v>2623.6337091954674</x:v>
      </x:c>
      <x:c r="AF66" s="40" t="n">
        <x:f>AD66-AE66</x:f>
        <x:v>0</x:v>
      </x:c>
      <x:c r="AG66" s="42" t="n">
        <x:f>(O66+S66)/'Inputs &amp; Summary'!$B$4</x:f>
        <x:v>0.6</x:v>
      </x:c>
      <x:c r="AH66" s="40" t="n">
        <x:f>U66-O66-S66</x:f>
        <x:v>-355213.9586066797</x:v>
      </x:c>
      <x:c r="AI66" s="40" t="n">
        <x:f>AC66-Y66</x:f>
        <x:v>-357252.9934451003</x:v>
      </x:c>
      <x:c r="AJ66" s="40" t="n">
        <x:f>AH66-AI66</x:f>
        <x:v>2039.03483842063</x:v>
      </x:c>
    </x:row>
    <x:row r="67">
      <x:c r="A67" t="n">
        <x:f>A66+1</x:f>
        <x:v>63</x:v>
      </x:c>
      <x:c r="B67" t="n">
        <x:f>INT((A67-1)/12)+1</x:f>
        <x:v>6</x:v>
      </x:c>
      <x:c r="C67" t="n">
        <x:f>MOD(A67-1,12)+1</x:f>
        <x:v>3</x:v>
      </x:c>
      <x:c r="D67" s="40" t="n">
        <x:f>O66</x:f>
        <x:v>363821.9972001873</x:v>
      </x:c>
      <x:c r="E67" s="40" t="n">
        <x:f>D67*'Inputs &amp; Summary'!$B$15</x:f>
        <x:v>1351.714987943305</x:v>
      </x:c>
      <x:c r="F67" s="40" t="n">
        <x:f>IF(D67&lt;=0.00000001,0,MIN('Inputs &amp; Summary'!$B$18,D67+E67))</x:f>
        <x:v>2324.586407999052</x:v>
      </x:c>
      <x:c r="G67" s="40" t="n">
        <x:f>IF(ABS(MAX(0,D67+E67-F67))&lt;0.00000001,0,MAX(0,D67+E67-F67))</x:f>
        <x:v>362849.12578013155</x:v>
      </x:c>
      <x:c r="H67" s="40" t="n">
        <x:f>MAX(0,'Inputs &amp; Summary'!$B$18-F67)</x:f>
        <x:v>0</x:v>
      </x:c>
      <x:c r="I67" s="40" t="n">
        <x:f>S66</x:f>
        <x:v>56178.002799812704</x:v>
      </x:c>
      <x:c r="J67" s="40" t="n">
        <x:f>I67*'Inputs &amp; Summary'!$B$16</x:f>
        <x:v>304.29751516565216</x:v>
      </x:c>
      <x:c r="K67" s="40" t="n">
        <x:f>IF(C67=1,J67,K66+J67)</x:f>
        <x:v>897.1613376083865</x:v>
      </x:c>
      <x:c r="L67" s="40" t="n">
        <x:f>IF(C67=12,K67*'Inputs &amp; Summary'!$B$11*'Inputs &amp; Summary'!$B$12,0)</x:f>
        <x:v>0</x:v>
      </x:c>
      <x:c r="M67" s="40" t="n">
        <x:f>MIN(L67,G67)</x:f>
        <x:v>0</x:v>
      </x:c>
      <x:c r="N67" s="40" t="n">
        <x:f>MAX(0,L67-M67)</x:f>
        <x:v>0</x:v>
      </x:c>
      <x:c r="O67" s="40" t="n">
        <x:f>IF(ABS(MAX(0,G67-M67))&lt;0.00000001,0,MAX(0,G67-M67))</x:f>
        <x:v>362849.12578013155</x:v>
      </x:c>
      <x:c r="P67" s="40" t="n">
        <x:f>MAX(0,D67-O67)</x:f>
        <x:v>972.8714200557442</x:v>
      </x:c>
      <x:c r="Q67" s="40" t="n">
        <x:f>MAX(0,'Inputs &amp; Summary'!$B$19*'Inputs &amp; Summary'!$B$4-O67-I67)</x:f>
        <x:v>35972.871420055744</x:v>
      </x:c>
      <x:c r="R67" s="40" t="n">
        <x:f>MIN(P67,Q67)</x:f>
        <x:v>972.8714200557442</x:v>
      </x:c>
      <x:c r="S67" s="40" t="n">
        <x:f>I67+R67</x:f>
        <x:v>57150.87421986845</x:v>
      </x:c>
      <x:c r="T67" s="40" t="n">
        <x:f>U66</x:f>
        <x:v>64786.04139332033</x:v>
      </x:c>
      <x:c r="U67" s="40" t="n">
        <x:f>T67*(1+'Inputs &amp; Summary'!$B$17)+R67+N67+H67</x:f>
        <x:v>66074.26214578646</x:v>
      </x:c>
      <x:c r="V67" s="40" t="n">
        <x:f>Y66</x:f>
        <x:v>366832.11852842587</x:v>
      </x:c>
      <x:c r="W67" s="40" t="n">
        <x:f>V67*'Inputs &amp; Summary'!$B$15</x:f>
        <x:v>1362.8985506366544</x:v>
      </x:c>
      <x:c r="X67" s="40" t="n">
        <x:f>IF(V67&lt;=0.00000001,0,MIN('Inputs &amp; Summary'!$B$18,V67+W67))</x:f>
        <x:v>2324.586407999052</x:v>
      </x:c>
      <x:c r="Y67" s="40" t="n">
        <x:f>IF(ABS(MAX(0,V67+W67-X67))&lt;0.00000001,0,MAX(0,V67+W67-X67))</x:f>
        <x:v>365870.4306710635</x:v>
      </x:c>
      <x:c r="Z67" s="40" t="n">
        <x:f>MAX(0,'Inputs &amp; Summary'!$B$18-X67)</x:f>
        <x:v>0</x:v>
      </x:c>
      <x:c r="AA67" s="40" t="n">
        <x:f>AC66</x:f>
        <x:v>9579.125083325529</x:v>
      </x:c>
      <x:c r="AB67" s="40" t="n">
        <x:f>J67</x:f>
        <x:v>304.29751516565216</x:v>
      </x:c>
      <x:c r="AC67" s="40" t="n">
        <x:f>AA67*(1+'Inputs &amp; Summary'!$B$17)+Z67+AB67</x:f>
        <x:v>9930.049474206015</x:v>
      </x:c>
      <x:c r="AD67" s="40" t="n">
        <x:f>F67+H67+J67</x:f>
        <x:v>2628.8839231647044</x:v>
      </x:c>
      <x:c r="AE67" s="40" t="n">
        <x:f>X67+Z67+AB67</x:f>
        <x:v>2628.8839231647044</x:v>
      </x:c>
      <x:c r="AF67" s="40" t="n">
        <x:f>AD67-AE67</x:f>
        <x:v>0</x:v>
      </x:c>
      <x:c r="AG67" s="42" t="n">
        <x:f>(O67+S67)/'Inputs &amp; Summary'!$B$4</x:f>
        <x:v>0.6</x:v>
      </x:c>
      <x:c r="AH67" s="40" t="n">
        <x:f>U67-O67-S67</x:f>
        <x:v>-353925.73785421357</x:v>
      </x:c>
      <x:c r="AI67" s="40" t="n">
        <x:f>AC67-Y67</x:f>
        <x:v>-355940.3811968575</x:v>
      </x:c>
      <x:c r="AJ67" s="40" t="n">
        <x:f>AH67-AI67</x:f>
        <x:v>2014.643342643918</x:v>
      </x:c>
    </x:row>
    <x:row r="68">
      <x:c r="A68" t="n">
        <x:f>A67+1</x:f>
        <x:v>64</x:v>
      </x:c>
      <x:c r="B68" t="n">
        <x:f>INT((A68-1)/12)+1</x:f>
        <x:v>6</x:v>
      </x:c>
      <x:c r="C68" t="n">
        <x:f>MOD(A68-1,12)+1</x:f>
        <x:v>4</x:v>
      </x:c>
      <x:c r="D68" s="40" t="n">
        <x:f>O67</x:f>
        <x:v>362849.12578013155</x:v>
      </x:c>
      <x:c r="E68" s="40" t="n">
        <x:f>D68*'Inputs &amp; Summary'!$B$15</x:f>
        <x:v>1348.1004597126014</x:v>
      </x:c>
      <x:c r="F68" s="40" t="n">
        <x:f>IF(D68&lt;=0.00000001,0,MIN('Inputs &amp; Summary'!$B$18,D68+E68))</x:f>
        <x:v>2324.586407999052</x:v>
      </x:c>
      <x:c r="G68" s="40" t="n">
        <x:f>IF(ABS(MAX(0,D68+E68-F68))&lt;0.00000001,0,MAX(0,D68+E68-F68))</x:f>
        <x:v>361872.6398318451</x:v>
      </x:c>
      <x:c r="H68" s="40" t="n">
        <x:f>MAX(0,'Inputs &amp; Summary'!$B$18-F68)</x:f>
        <x:v>0</x:v>
      </x:c>
      <x:c r="I68" s="40" t="n">
        <x:f>S67</x:f>
        <x:v>57150.87421986845</x:v>
      </x:c>
      <x:c r="J68" s="40" t="n">
        <x:f>I68*'Inputs &amp; Summary'!$B$16</x:f>
        <x:v>309.56723535762075</x:v>
      </x:c>
      <x:c r="K68" s="40" t="n">
        <x:f>IF(C68=1,J68,K67+J68)</x:f>
        <x:v>1206.7285729660073</x:v>
      </x:c>
      <x:c r="L68" s="40" t="n">
        <x:f>IF(C68=12,K68*'Inputs &amp; Summary'!$B$11*'Inputs &amp; Summary'!$B$12,0)</x:f>
        <x:v>0</x:v>
      </x:c>
      <x:c r="M68" s="40" t="n">
        <x:f>MIN(L68,G68)</x:f>
        <x:v>0</x:v>
      </x:c>
      <x:c r="N68" s="40" t="n">
        <x:f>MAX(0,L68-M68)</x:f>
        <x:v>0</x:v>
      </x:c>
      <x:c r="O68" s="40" t="n">
        <x:f>IF(ABS(MAX(0,G68-M68))&lt;0.00000001,0,MAX(0,G68-M68))</x:f>
        <x:v>361872.6398318451</x:v>
      </x:c>
      <x:c r="P68" s="40" t="n">
        <x:f>MAX(0,D68-O68)</x:f>
        <x:v>976.4859482864267</x:v>
      </x:c>
      <x:c r="Q68" s="40" t="n">
        <x:f>MAX(0,'Inputs &amp; Summary'!$B$19*'Inputs &amp; Summary'!$B$4-O68-I68)</x:f>
        <x:v>35976.48594828643</x:v>
      </x:c>
      <x:c r="R68" s="40" t="n">
        <x:f>MIN(P68,Q68)</x:f>
        <x:v>976.4859482864267</x:v>
      </x:c>
      <x:c r="S68" s="40" t="n">
        <x:f>I68+R68</x:f>
        <x:v>58127.360168154875</x:v>
      </x:c>
      <x:c r="T68" s="40" t="n">
        <x:f>U67</x:f>
        <x:v>66074.26214578646</x:v>
      </x:c>
      <x:c r="U68" s="40" t="n">
        <x:f>T68*(1+'Inputs &amp; Summary'!$B$17)+R68+N68+H68</x:f>
        <x:v>67372.36790613523</x:v>
      </x:c>
      <x:c r="V68" s="40" t="n">
        <x:f>Y67</x:f>
        <x:v>365870.4306710635</x:v>
      </x:c>
      <x:c r="W68" s="40" t="n">
        <x:f>V68*'Inputs &amp; Summary'!$B$15</x:f>
        <x:v>1359.3255729153414</x:v>
      </x:c>
      <x:c r="X68" s="40" t="n">
        <x:f>IF(V68&lt;=0.00000001,0,MIN('Inputs &amp; Summary'!$B$18,V68+W68))</x:f>
        <x:v>2324.586407999052</x:v>
      </x:c>
      <x:c r="Y68" s="40" t="n">
        <x:f>IF(ABS(MAX(0,V68+W68-X68))&lt;0.00000001,0,MAX(0,V68+W68-X68))</x:f>
        <x:v>364905.16983597976</x:v>
      </x:c>
      <x:c r="Z68" s="40" t="n">
        <x:f>MAX(0,'Inputs &amp; Summary'!$B$18-X68)</x:f>
        <x:v>0</x:v>
      </x:c>
      <x:c r="AA68" s="40" t="n">
        <x:f>AC67</x:f>
        <x:v>9930.049474206015</x:v>
      </x:c>
      <x:c r="AB68" s="40" t="n">
        <x:f>J68</x:f>
        <x:v>309.56723535762075</x:v>
      </x:c>
      <x:c r="AC68" s="40" t="n">
        <x:f>AA68*(1+'Inputs &amp; Summary'!$B$17)+Z68+AB68</x:f>
        <x:v>10287.95172749569</x:v>
      </x:c>
      <x:c r="AD68" s="40" t="n">
        <x:f>F68+H68+J68</x:f>
        <x:v>2634.1536433566725</x:v>
      </x:c>
      <x:c r="AE68" s="40" t="n">
        <x:f>X68+Z68+AB68</x:f>
        <x:v>2634.1536433566725</x:v>
      </x:c>
      <x:c r="AF68" s="40" t="n">
        <x:f>AD68-AE68</x:f>
        <x:v>0</x:v>
      </x:c>
      <x:c r="AG68" s="42" t="n">
        <x:f>(O68+S68)/'Inputs &amp; Summary'!$B$4</x:f>
        <x:v>0.6</x:v>
      </x:c>
      <x:c r="AH68" s="40" t="n">
        <x:f>U68-O68-S68</x:f>
        <x:v>-352627.6320938648</x:v>
      </x:c>
      <x:c r="AI68" s="40" t="n">
        <x:f>AC68-Y68</x:f>
        <x:v>-354617.21810848406</x:v>
      </x:c>
      <x:c r="AJ68" s="40" t="n">
        <x:f>AH68-AI68</x:f>
        <x:v>1989.5860146192717</x:v>
      </x:c>
    </x:row>
    <x:row r="69">
      <x:c r="A69" t="n">
        <x:f>A68+1</x:f>
        <x:v>65</x:v>
      </x:c>
      <x:c r="B69" t="n">
        <x:f>INT((A69-1)/12)+1</x:f>
        <x:v>6</x:v>
      </x:c>
      <x:c r="C69" t="n">
        <x:f>MOD(A69-1,12)+1</x:f>
        <x:v>5</x:v>
      </x:c>
      <x:c r="D69" s="40" t="n">
        <x:f>O68</x:f>
        <x:v>361872.6398318451</x:v>
      </x:c>
      <x:c r="E69" s="40" t="n">
        <x:f>D69*'Inputs &amp; Summary'!$B$15</x:f>
        <x:v>1344.4725023544086</x:v>
      </x:c>
      <x:c r="F69" s="40" t="n">
        <x:f>IF(D69&lt;=0.00000001,0,MIN('Inputs &amp; Summary'!$B$18,D69+E69))</x:f>
        <x:v>2324.586407999052</x:v>
      </x:c>
      <x:c r="G69" s="40" t="n">
        <x:f>IF(ABS(MAX(0,D69+E69-F69))&lt;0.00000001,0,MAX(0,D69+E69-F69))</x:f>
        <x:v>360892.5259262005</x:v>
      </x:c>
      <x:c r="H69" s="40" t="n">
        <x:f>MAX(0,'Inputs &amp; Summary'!$B$18-F69)</x:f>
        <x:v>0</x:v>
      </x:c>
      <x:c r="I69" s="40" t="n">
        <x:f>S68</x:f>
        <x:v>58127.360168154875</x:v>
      </x:c>
      <x:c r="J69" s="40" t="n">
        <x:f>I69*'Inputs &amp; Summary'!$B$16</x:f>
        <x:v>314.8565342441722</x:v>
      </x:c>
      <x:c r="K69" s="40" t="n">
        <x:f>IF(C69=1,J69,K68+J69)</x:f>
        <x:v>1521.5851072101796</x:v>
      </x:c>
      <x:c r="L69" s="40" t="n">
        <x:f>IF(C69=12,K69*'Inputs &amp; Summary'!$B$11*'Inputs &amp; Summary'!$B$12,0)</x:f>
        <x:v>0</x:v>
      </x:c>
      <x:c r="M69" s="40" t="n">
        <x:f>MIN(L69,G69)</x:f>
        <x:v>0</x:v>
      </x:c>
      <x:c r="N69" s="40" t="n">
        <x:f>MAX(0,L69-M69)</x:f>
        <x:v>0</x:v>
      </x:c>
      <x:c r="O69" s="40" t="n">
        <x:f>IF(ABS(MAX(0,G69-M69))&lt;0.00000001,0,MAX(0,G69-M69))</x:f>
        <x:v>360892.5259262005</x:v>
      </x:c>
      <x:c r="P69" s="40" t="n">
        <x:f>MAX(0,D69-O69)</x:f>
        <x:v>980.1139056446264</x:v>
      </x:c>
      <x:c r="Q69" s="40" t="n">
        <x:f>MAX(0,'Inputs &amp; Summary'!$B$19*'Inputs &amp; Summary'!$B$4-O69-I69)</x:f>
        <x:v>35980.113905644626</x:v>
      </x:c>
      <x:c r="R69" s="40" t="n">
        <x:f>MIN(P69,Q69)</x:f>
        <x:v>980.1139056446264</x:v>
      </x:c>
      <x:c r="S69" s="40" t="n">
        <x:f>I69+R69</x:f>
        <x:v>59107.4740737995</x:v>
      </x:c>
      <x:c r="T69" s="40" t="n">
        <x:f>U68</x:f>
        <x:v>67372.36790613523</x:v>
      </x:c>
      <x:c r="U69" s="40" t="n">
        <x:f>T69*(1+'Inputs &amp; Summary'!$B$17)+R69+N69+H69</x:f>
        <x:v>68680.42021926987</x:v>
      </x:c>
      <x:c r="V69" s="40" t="n">
        <x:f>Y68</x:f>
        <x:v>364905.16983597976</x:v>
      </x:c>
      <x:c r="W69" s="40" t="n">
        <x:f>V69*'Inputs &amp; Summary'!$B$15</x:f>
        <x:v>1355.7393204399602</x:v>
      </x:c>
      <x:c r="X69" s="40" t="n">
        <x:f>IF(V69&lt;=0.00000001,0,MIN('Inputs &amp; Summary'!$B$18,V69+W69))</x:f>
        <x:v>2324.586407999052</x:v>
      </x:c>
      <x:c r="Y69" s="40" t="n">
        <x:f>IF(ABS(MAX(0,V69+W69-X69))&lt;0.00000001,0,MAX(0,V69+W69-X69))</x:f>
        <x:v>363936.3227484207</x:v>
      </x:c>
      <x:c r="Z69" s="40" t="n">
        <x:f>MAX(0,'Inputs &amp; Summary'!$B$18-X69)</x:f>
        <x:v>0</x:v>
      </x:c>
      <x:c r="AA69" s="40" t="n">
        <x:f>AC68</x:f>
        <x:v>10287.95172749569</x:v>
      </x:c>
      <x:c r="AB69" s="40" t="n">
        <x:f>J69</x:f>
        <x:v>314.8565342441722</x:v>
      </x:c>
      <x:c r="AC69" s="40" t="n">
        <x:f>AA69*(1+'Inputs &amp; Summary'!$B$17)+Z69+AB69</x:f>
        <x:v>10652.885386987256</x:v>
      </x:c>
      <x:c r="AD69" s="40" t="n">
        <x:f>F69+H69+J69</x:f>
        <x:v>2639.442942243224</x:v>
      </x:c>
      <x:c r="AE69" s="40" t="n">
        <x:f>X69+Z69+AB69</x:f>
        <x:v>2639.442942243224</x:v>
      </x:c>
      <x:c r="AF69" s="40" t="n">
        <x:f>AD69-AE69</x:f>
        <x:v>0</x:v>
      </x:c>
      <x:c r="AG69" s="42" t="n">
        <x:f>(O69+S69)/'Inputs &amp; Summary'!$B$4</x:f>
        <x:v>0.6</x:v>
      </x:c>
      <x:c r="AH69" s="40" t="n">
        <x:f>U69-O69-S69</x:f>
        <x:v>-351319.5797807301</x:v>
      </x:c>
      <x:c r="AI69" s="40" t="n">
        <x:f>AC69-Y69</x:f>
        <x:v>-353283.43736143346</x:v>
      </x:c>
      <x:c r="AJ69" s="40" t="n">
        <x:f>AH69-AI69</x:f>
        <x:v>1963.857580703334</x:v>
      </x:c>
    </x:row>
    <x:row r="70">
      <x:c r="A70" t="n">
        <x:f>A69+1</x:f>
        <x:v>66</x:v>
      </x:c>
      <x:c r="B70" t="n">
        <x:f>INT((A70-1)/12)+1</x:f>
        <x:v>6</x:v>
      </x:c>
      <x:c r="C70" t="n">
        <x:f>MOD(A70-1,12)+1</x:f>
        <x:v>6</x:v>
      </x:c>
      <x:c r="D70" s="40" t="n">
        <x:f>O69</x:f>
        <x:v>360892.5259262005</x:v>
      </x:c>
      <x:c r="E70" s="40" t="n">
        <x:f>D70*'Inputs &amp; Summary'!$B$15</x:f>
        <x:v>1340.8310659752265</x:v>
      </x:c>
      <x:c r="F70" s="40" t="n">
        <x:f>IF(D70&lt;=0.00000001,0,MIN('Inputs &amp; Summary'!$B$18,D70+E70))</x:f>
        <x:v>2324.586407999052</x:v>
      </x:c>
      <x:c r="G70" s="40" t="n">
        <x:f>IF(ABS(MAX(0,D70+E70-F70))&lt;0.00000001,0,MAX(0,D70+E70-F70))</x:f>
        <x:v>359908.7705841767</x:v>
      </x:c>
      <x:c r="H70" s="40" t="n">
        <x:f>MAX(0,'Inputs &amp; Summary'!$B$18-F70)</x:f>
        <x:v>0</x:v>
      </x:c>
      <x:c r="I70" s="40" t="n">
        <x:f>S69</x:f>
        <x:v>59107.4740737995</x:v>
      </x:c>
      <x:c r="J70" s="40" t="n">
        <x:f>I70*'Inputs &amp; Summary'!$B$16</x:f>
        <x:v>320.16548456641397</x:v>
      </x:c>
      <x:c r="K70" s="40" t="n">
        <x:f>IF(C70=1,J70,K69+J70)</x:f>
        <x:v>1841.7505917765934</x:v>
      </x:c>
      <x:c r="L70" s="40" t="n">
        <x:f>IF(C70=12,K70*'Inputs &amp; Summary'!$B$11*'Inputs &amp; Summary'!$B$12,0)</x:f>
        <x:v>0</x:v>
      </x:c>
      <x:c r="M70" s="40" t="n">
        <x:f>MIN(L70,G70)</x:f>
        <x:v>0</x:v>
      </x:c>
      <x:c r="N70" s="40" t="n">
        <x:f>MAX(0,L70-M70)</x:f>
        <x:v>0</x:v>
      </x:c>
      <x:c r="O70" s="40" t="n">
        <x:f>IF(ABS(MAX(0,G70-M70))&lt;0.00000001,0,MAX(0,G70-M70))</x:f>
        <x:v>359908.7705841767</x:v>
      </x:c>
      <x:c r="P70" s="40" t="n">
        <x:f>MAX(0,D70-O70)</x:f>
        <x:v>983.7553420237964</x:v>
      </x:c>
      <x:c r="Q70" s="40" t="n">
        <x:f>MAX(0,'Inputs &amp; Summary'!$B$19*'Inputs &amp; Summary'!$B$4-O70-I70)</x:f>
        <x:v>35983.7553420238</x:v>
      </x:c>
      <x:c r="R70" s="40" t="n">
        <x:f>MIN(P70,Q70)</x:f>
        <x:v>983.7553420237964</x:v>
      </x:c>
      <x:c r="S70" s="40" t="n">
        <x:f>I70+R70</x:f>
        <x:v>60091.2294158233</x:v>
      </x:c>
      <x:c r="T70" s="40" t="n">
        <x:f>U69</x:f>
        <x:v>68680.42021926987</x:v>
      </x:c>
      <x:c r="U70" s="40" t="n">
        <x:f>T70*(1+'Inputs &amp; Summary'!$B$17)+R70+N70+H70</x:f>
        <x:v>69998.48097955997</x:v>
      </x:c>
      <x:c r="V70" s="40" t="n">
        <x:f>Y69</x:f>
        <x:v>363936.3227484207</x:v>
      </x:c>
      <x:c r="W70" s="40" t="n">
        <x:f>V70*'Inputs &amp; Summary'!$B$15</x:f>
        <x:v>1352.1397438905572</x:v>
      </x:c>
      <x:c r="X70" s="40" t="n">
        <x:f>IF(V70&lt;=0.00000001,0,MIN('Inputs &amp; Summary'!$B$18,V70+W70))</x:f>
        <x:v>2324.586407999052</x:v>
      </x:c>
      <x:c r="Y70" s="40" t="n">
        <x:f>IF(ABS(MAX(0,V70+W70-X70))&lt;0.00000001,0,MAX(0,V70+W70-X70))</x:f>
        <x:v>362963.8760843122</x:v>
      </x:c>
      <x:c r="Z70" s="40" t="n">
        <x:f>MAX(0,'Inputs &amp; Summary'!$B$18-X70)</x:f>
        <x:v>0</x:v>
      </x:c>
      <x:c r="AA70" s="40" t="n">
        <x:f>AC69</x:f>
        <x:v>10652.885386987256</x:v>
      </x:c>
      <x:c r="AB70" s="40" t="n">
        <x:f>J70</x:f>
        <x:v>320.16548456641397</x:v>
      </x:c>
      <x:c r="AC70" s="40" t="n">
        <x:f>AA70*(1+'Inputs &amp; Summary'!$B$17)+Z70+AB70</x:f>
        <x:v>11024.904329841635</x:v>
      </x:c>
      <x:c r="AD70" s="40" t="n">
        <x:f>F70+H70+J70</x:f>
        <x:v>2644.751892565466</x:v>
      </x:c>
      <x:c r="AE70" s="40" t="n">
        <x:f>X70+Z70+AB70</x:f>
        <x:v>2644.751892565466</x:v>
      </x:c>
      <x:c r="AF70" s="40" t="n">
        <x:f>AD70-AE70</x:f>
        <x:v>0</x:v>
      </x:c>
      <x:c r="AG70" s="42" t="n">
        <x:f>(O70+S70)/'Inputs &amp; Summary'!$B$4</x:f>
        <x:v>0.6</x:v>
      </x:c>
      <x:c r="AH70" s="40" t="n">
        <x:f>U70-O70-S70</x:f>
        <x:v>-350001.51902044</x:v>
      </x:c>
      <x:c r="AI70" s="40" t="n">
        <x:f>AC70-Y70</x:f>
        <x:v>-351938.9717544706</x:v>
      </x:c>
      <x:c r="AJ70" s="40" t="n">
        <x:f>AH70-AI70</x:f>
        <x:v>1937.4527340306086</x:v>
      </x:c>
    </x:row>
    <x:row r="71">
      <x:c r="A71" t="n">
        <x:f>A70+1</x:f>
        <x:v>67</x:v>
      </x:c>
      <x:c r="B71" t="n">
        <x:f>INT((A71-1)/12)+1</x:f>
        <x:v>6</x:v>
      </x:c>
      <x:c r="C71" t="n">
        <x:f>MOD(A71-1,12)+1</x:f>
        <x:v>7</x:v>
      </x:c>
      <x:c r="D71" s="40" t="n">
        <x:f>O70</x:f>
        <x:v>359908.7705841767</x:v>
      </x:c>
      <x:c r="E71" s="40" t="n">
        <x:f>D71*'Inputs &amp; Summary'!$B$15</x:f>
        <x:v>1337.1761004961843</x:v>
      </x:c>
      <x:c r="F71" s="40" t="n">
        <x:f>IF(D71&lt;=0.00000001,0,MIN('Inputs &amp; Summary'!$B$18,D71+E71))</x:f>
        <x:v>2324.586407999052</x:v>
      </x:c>
      <x:c r="G71" s="40" t="n">
        <x:f>IF(ABS(MAX(0,D71+E71-F71))&lt;0.00000001,0,MAX(0,D71+E71-F71))</x:f>
        <x:v>358921.36027667386</x:v>
      </x:c>
      <x:c r="H71" s="40" t="n">
        <x:f>MAX(0,'Inputs &amp; Summary'!$B$18-F71)</x:f>
        <x:v>0</x:v>
      </x:c>
      <x:c r="I71" s="40" t="n">
        <x:f>S70</x:f>
        <x:v>60091.2294158233</x:v>
      </x:c>
      <x:c r="J71" s="40" t="n">
        <x:f>I71*'Inputs &amp; Summary'!$B$16</x:f>
        <x:v>325.4941593357095</x:v>
      </x:c>
      <x:c r="K71" s="40" t="n">
        <x:f>IF(C71=1,J71,K70+J71)</x:f>
        <x:v>2167.2447511123028</x:v>
      </x:c>
      <x:c r="L71" s="40" t="n">
        <x:f>IF(C71=12,K71*'Inputs &amp; Summary'!$B$11*'Inputs &amp; Summary'!$B$12,0)</x:f>
        <x:v>0</x:v>
      </x:c>
      <x:c r="M71" s="40" t="n">
        <x:f>MIN(L71,G71)</x:f>
        <x:v>0</x:v>
      </x:c>
      <x:c r="N71" s="40" t="n">
        <x:f>MAX(0,L71-M71)</x:f>
        <x:v>0</x:v>
      </x:c>
      <x:c r="O71" s="40" t="n">
        <x:f>IF(ABS(MAX(0,G71-M71))&lt;0.00000001,0,MAX(0,G71-M71))</x:f>
        <x:v>358921.36027667386</x:v>
      </x:c>
      <x:c r="P71" s="40" t="n">
        <x:f>MAX(0,D71-O71)</x:f>
        <x:v>987.4103075028397</x:v>
      </x:c>
      <x:c r="Q71" s="40" t="n">
        <x:f>MAX(0,'Inputs &amp; Summary'!$B$19*'Inputs &amp; Summary'!$B$4-O71-I71)</x:f>
        <x:v>35987.41030750284</x:v>
      </x:c>
      <x:c r="R71" s="40" t="n">
        <x:f>MIN(P71,Q71)</x:f>
        <x:v>987.4103075028397</x:v>
      </x:c>
      <x:c r="S71" s="40" t="n">
        <x:f>I71+R71</x:f>
        <x:v>61078.63972332614</x:v>
      </x:c>
      <x:c r="T71" s="40" t="n">
        <x:f>U70</x:f>
        <x:v>69998.48097955997</x:v>
      </x:c>
      <x:c r="U71" s="40" t="n">
        <x:f>T71*(1+'Inputs &amp; Summary'!$B$17)+R71+N71+H71</x:f>
        <x:v>71326.61243272803</x:v>
      </x:c>
      <x:c r="V71" s="40" t="n">
        <x:f>Y70</x:f>
        <x:v>362963.8760843122</x:v>
      </x:c>
      <x:c r="W71" s="40" t="n">
        <x:f>V71*'Inputs &amp; Summary'!$B$15</x:f>
        <x:v>1348.526793763939</x:v>
      </x:c>
      <x:c r="X71" s="40" t="n">
        <x:f>IF(V71&lt;=0.00000001,0,MIN('Inputs &amp; Summary'!$B$18,V71+W71))</x:f>
        <x:v>2324.586407999052</x:v>
      </x:c>
      <x:c r="Y71" s="40" t="n">
        <x:f>IF(ABS(MAX(0,V71+W71-X71))&lt;0.00000001,0,MAX(0,V71+W71-X71))</x:f>
        <x:v>361987.8164700771</x:v>
      </x:c>
      <x:c r="Z71" s="40" t="n">
        <x:f>MAX(0,'Inputs &amp; Summary'!$B$18-X71)</x:f>
        <x:v>0</x:v>
      </x:c>
      <x:c r="AA71" s="40" t="n">
        <x:f>AC70</x:f>
        <x:v>11024.904329841635</x:v>
      </x:c>
      <x:c r="AB71" s="40" t="n">
        <x:f>J71</x:f>
        <x:v>325.4941593357095</x:v>
      </x:c>
      <x:c r="AC71" s="40" t="n">
        <x:f>AA71*(1+'Inputs &amp; Summary'!$B$17)+Z71+AB71</x:f>
        <x:v>11404.062768480917</x:v>
      </x:c>
      <x:c r="AD71" s="40" t="n">
        <x:f>F71+H71+J71</x:f>
        <x:v>2650.0805673347613</x:v>
      </x:c>
      <x:c r="AE71" s="40" t="n">
        <x:f>X71+Z71+AB71</x:f>
        <x:v>2650.0805673347613</x:v>
      </x:c>
      <x:c r="AF71" s="40" t="n">
        <x:f>AD71-AE71</x:f>
        <x:v>0</x:v>
      </x:c>
      <x:c r="AG71" s="42" t="n">
        <x:f>(O71+S71)/'Inputs &amp; Summary'!$B$4</x:f>
        <x:v>0.6</x:v>
      </x:c>
      <x:c r="AH71" s="40" t="n">
        <x:f>U71-O71-S71</x:f>
        <x:v>-348673.387567272</x:v>
      </x:c>
      <x:c r="AI71" s="40" t="n">
        <x:f>AC71-Y71</x:f>
        <x:v>-350583.7537015962</x:v>
      </x:c>
      <x:c r="AJ71" s="40" t="n">
        <x:f>AH71-AI71</x:f>
        <x:v>1910.3661343241693</x:v>
      </x:c>
    </x:row>
    <x:row r="72">
      <x:c r="A72" t="n">
        <x:f>A71+1</x:f>
        <x:v>68</x:v>
      </x:c>
      <x:c r="B72" t="n">
        <x:f>INT((A72-1)/12)+1</x:f>
        <x:v>6</x:v>
      </x:c>
      <x:c r="C72" t="n">
        <x:f>MOD(A72-1,12)+1</x:f>
        <x:v>8</x:v>
      </x:c>
      <x:c r="D72" s="40" t="n">
        <x:f>O71</x:f>
        <x:v>358921.36027667386</x:v>
      </x:c>
      <x:c r="E72" s="40" t="n">
        <x:f>D72*'Inputs &amp; Summary'!$B$15</x:f>
        <x:v>1333.5075556523525</x:v>
      </x:c>
      <x:c r="F72" s="40" t="n">
        <x:f>IF(D72&lt;=0.00000001,0,MIN('Inputs &amp; Summary'!$B$18,D72+E72))</x:f>
        <x:v>2324.586407999052</x:v>
      </x:c>
      <x:c r="G72" s="40" t="n">
        <x:f>IF(ABS(MAX(0,D72+E72-F72))&lt;0.00000001,0,MAX(0,D72+E72-F72))</x:f>
        <x:v>357930.2814243272</x:v>
      </x:c>
      <x:c r="H72" s="40" t="n">
        <x:f>MAX(0,'Inputs &amp; Summary'!$B$18-F72)</x:f>
        <x:v>0</x:v>
      </x:c>
      <x:c r="I72" s="40" t="n">
        <x:f>S71</x:f>
        <x:v>61078.63972332614</x:v>
      </x:c>
      <x:c r="J72" s="40" t="n">
        <x:f>I72*'Inputs &amp; Summary'!$B$16</x:f>
        <x:v>330.84263183468323</x:v>
      </x:c>
      <x:c r="K72" s="40" t="n">
        <x:f>IF(C72=1,J72,K71+J72)</x:f>
        <x:v>2498.087382946986</x:v>
      </x:c>
      <x:c r="L72" s="40" t="n">
        <x:f>IF(C72=12,K72*'Inputs &amp; Summary'!$B$11*'Inputs &amp; Summary'!$B$12,0)</x:f>
        <x:v>0</x:v>
      </x:c>
      <x:c r="M72" s="40" t="n">
        <x:f>MIN(L72,G72)</x:f>
        <x:v>0</x:v>
      </x:c>
      <x:c r="N72" s="40" t="n">
        <x:f>MAX(0,L72-M72)</x:f>
        <x:v>0</x:v>
      </x:c>
      <x:c r="O72" s="40" t="n">
        <x:f>IF(ABS(MAX(0,G72-M72))&lt;0.00000001,0,MAX(0,G72-M72))</x:f>
        <x:v>357930.2814243272</x:v>
      </x:c>
      <x:c r="P72" s="40" t="n">
        <x:f>MAX(0,D72-O72)</x:f>
        <x:v>991.0788523466908</x:v>
      </x:c>
      <x:c r="Q72" s="40" t="n">
        <x:f>MAX(0,'Inputs &amp; Summary'!$B$19*'Inputs &amp; Summary'!$B$4-O72-I72)</x:f>
        <x:v>35991.07885234669</x:v>
      </x:c>
      <x:c r="R72" s="40" t="n">
        <x:f>MIN(P72,Q72)</x:f>
        <x:v>991.0788523466908</x:v>
      </x:c>
      <x:c r="S72" s="40" t="n">
        <x:f>I72+R72</x:f>
        <x:v>62069.71857567283</x:v>
      </x:c>
      <x:c r="T72" s="40" t="n">
        <x:f>U71</x:f>
        <x:v>71326.61243272803</x:v>
      </x:c>
      <x:c r="U72" s="40" t="n">
        <x:f>T72*(1+'Inputs &amp; Summary'!$B$17)+R72+N72+H72</x:f>
        <x:v>72664.87717774564</x:v>
      </x:c>
      <x:c r="V72" s="40" t="n">
        <x:f>Y71</x:f>
        <x:v>361987.8164700771</x:v>
      </x:c>
      <x:c r="W72" s="40" t="n">
        <x:f>V72*'Inputs &amp; Summary'!$B$15</x:f>
        <x:v>1344.9004203729924</x:v>
      </x:c>
      <x:c r="X72" s="40" t="n">
        <x:f>IF(V72&lt;=0.00000001,0,MIN('Inputs &amp; Summary'!$B$18,V72+W72))</x:f>
        <x:v>2324.586407999052</x:v>
      </x:c>
      <x:c r="Y72" s="40" t="n">
        <x:f>IF(ABS(MAX(0,V72+W72-X72))&lt;0.00000001,0,MAX(0,V72+W72-X72))</x:f>
        <x:v>361008.13048245106</x:v>
      </x:c>
      <x:c r="Z72" s="40" t="n">
        <x:f>MAX(0,'Inputs &amp; Summary'!$B$18-X72)</x:f>
        <x:v>0</x:v>
      </x:c>
      <x:c r="AA72" s="40" t="n">
        <x:f>AC71</x:f>
        <x:v>11404.062768480917</x:v>
      </x:c>
      <x:c r="AB72" s="40" t="n">
        <x:f>J72</x:f>
        <x:v>330.84263183468323</x:v>
      </x:c>
      <x:c r="AC72" s="40" t="n">
        <x:f>AA72*(1+'Inputs &amp; Summary'!$B$17)+Z72+AB72</x:f>
        <x:v>11790.415252491526</x:v>
      </x:c>
      <x:c r="AD72" s="40" t="n">
        <x:f>F72+H72+J72</x:f>
        <x:v>2655.4290398337353</x:v>
      </x:c>
      <x:c r="AE72" s="40" t="n">
        <x:f>X72+Z72+AB72</x:f>
        <x:v>2655.4290398337353</x:v>
      </x:c>
      <x:c r="AF72" s="40" t="n">
        <x:f>AD72-AE72</x:f>
        <x:v>0</x:v>
      </x:c>
      <x:c r="AG72" s="42" t="n">
        <x:f>(O72+S72)/'Inputs &amp; Summary'!$B$4</x:f>
        <x:v>0.6</x:v>
      </x:c>
      <x:c r="AH72" s="40" t="n">
        <x:f>U72-O72-S72</x:f>
        <x:v>-347335.1228222544</x:v>
      </x:c>
      <x:c r="AI72" s="40" t="n">
        <x:f>AC72-Y72</x:f>
        <x:v>-349217.7152299595</x:v>
      </x:c>
      <x:c r="AJ72" s="40" t="n">
        <x:f>AH72-AI72</x:f>
        <x:v>1882.592407705146</x:v>
      </x:c>
    </x:row>
    <x:row r="73">
      <x:c r="A73" t="n">
        <x:f>A72+1</x:f>
        <x:v>69</x:v>
      </x:c>
      <x:c r="B73" t="n">
        <x:f>INT((A73-1)/12)+1</x:f>
        <x:v>6</x:v>
      </x:c>
      <x:c r="C73" t="n">
        <x:f>MOD(A73-1,12)+1</x:f>
        <x:v>9</x:v>
      </x:c>
      <x:c r="D73" s="40" t="n">
        <x:f>O72</x:f>
        <x:v>357930.2814243272</x:v>
      </x:c>
      <x:c r="E73" s="40" t="n">
        <x:f>D73*'Inputs &amp; Summary'!$B$15</x:f>
        <x:v>1329.8253809920514</x:v>
      </x:c>
      <x:c r="F73" s="40" t="n">
        <x:f>IF(D73&lt;=0.00000001,0,MIN('Inputs &amp; Summary'!$B$18,D73+E73))</x:f>
        <x:v>2324.586407999052</x:v>
      </x:c>
      <x:c r="G73" s="40" t="n">
        <x:f>IF(ABS(MAX(0,D73+E73-F73))&lt;0.00000001,0,MAX(0,D73+E73-F73))</x:f>
        <x:v>356935.52039732016</x:v>
      </x:c>
      <x:c r="H73" s="40" t="n">
        <x:f>MAX(0,'Inputs &amp; Summary'!$B$18-F73)</x:f>
        <x:v>0</x:v>
      </x:c>
      <x:c r="I73" s="40" t="n">
        <x:f>S72</x:f>
        <x:v>62069.71857567283</x:v>
      </x:c>
      <x:c r="J73" s="40" t="n">
        <x:f>I73*'Inputs &amp; Summary'!$B$16</x:f>
        <x:v>336.21097561822785</x:v>
      </x:c>
      <x:c r="K73" s="40" t="n">
        <x:f>IF(C73=1,J73,K72+J73)</x:f>
        <x:v>2834.2983585652137</x:v>
      </x:c>
      <x:c r="L73" s="40" t="n">
        <x:f>IF(C73=12,K73*'Inputs &amp; Summary'!$B$11*'Inputs &amp; Summary'!$B$12,0)</x:f>
        <x:v>0</x:v>
      </x:c>
      <x:c r="M73" s="40" t="n">
        <x:f>MIN(L73,G73)</x:f>
        <x:v>0</x:v>
      </x:c>
      <x:c r="N73" s="40" t="n">
        <x:f>MAX(0,L73-M73)</x:f>
        <x:v>0</x:v>
      </x:c>
      <x:c r="O73" s="40" t="n">
        <x:f>IF(ABS(MAX(0,G73-M73))&lt;0.00000001,0,MAX(0,G73-M73))</x:f>
        <x:v>356935.52039732016</x:v>
      </x:c>
      <x:c r="P73" s="40" t="n">
        <x:f>MAX(0,D73-O73)</x:f>
        <x:v>994.7610270070145</x:v>
      </x:c>
      <x:c r="Q73" s="40" t="n">
        <x:f>MAX(0,'Inputs &amp; Summary'!$B$19*'Inputs &amp; Summary'!$B$4-O73-I73)</x:f>
        <x:v>35994.761027007014</x:v>
      </x:c>
      <x:c r="R73" s="40" t="n">
        <x:f>MIN(P73,Q73)</x:f>
        <x:v>994.7610270070145</x:v>
      </x:c>
      <x:c r="S73" s="40" t="n">
        <x:f>I73+R73</x:f>
        <x:v>63064.47960267984</x:v>
      </x:c>
      <x:c r="T73" s="40" t="n">
        <x:f>U72</x:f>
        <x:v>72664.87717774564</x:v>
      </x:c>
      <x:c r="U73" s="40" t="n">
        <x:f>T73*(1+'Inputs &amp; Summary'!$B$17)+R73+N73+H73</x:f>
        <x:v>74013.33816873978</x:v>
      </x:c>
      <x:c r="V73" s="40" t="n">
        <x:f>Y72</x:f>
        <x:v>361008.13048245106</x:v>
      </x:c>
      <x:c r="W73" s="40" t="n">
        <x:f>V73*'Inputs &amp; Summary'!$B$15</x:f>
        <x:v>1341.260573846001</x:v>
      </x:c>
      <x:c r="X73" s="40" t="n">
        <x:f>IF(V73&lt;=0.00000001,0,MIN('Inputs &amp; Summary'!$B$18,V73+W73))</x:f>
        <x:v>2324.586407999052</x:v>
      </x:c>
      <x:c r="Y73" s="40" t="n">
        <x:f>IF(ABS(MAX(0,V73+W73-X73))&lt;0.00000001,0,MAX(0,V73+W73-X73))</x:f>
        <x:v>360024.804648298</x:v>
      </x:c>
      <x:c r="Z73" s="40" t="n">
        <x:f>MAX(0,'Inputs &amp; Summary'!$B$18-X73)</x:f>
        <x:v>0</x:v>
      </x:c>
      <x:c r="AA73" s="40" t="n">
        <x:f>AC72</x:f>
        <x:v>11790.415252491526</x:v>
      </x:c>
      <x:c r="AB73" s="40" t="n">
        <x:f>J73</x:f>
        <x:v>336.21097561822785</x:v>
      </x:c>
      <x:c r="AC73" s="40" t="n">
        <x:f>AA73*(1+'Inputs &amp; Summary'!$B$17)+Z73+AB73</x:f>
        <x:v>12184.016670537649</x:v>
      </x:c>
      <x:c r="AD73" s="40" t="n">
        <x:f>F73+H73+J73</x:f>
        <x:v>2660.7973836172796</x:v>
      </x:c>
      <x:c r="AE73" s="40" t="n">
        <x:f>X73+Z73+AB73</x:f>
        <x:v>2660.7973836172796</x:v>
      </x:c>
      <x:c r="AF73" s="40" t="n">
        <x:f>AD73-AE73</x:f>
        <x:v>0</x:v>
      </x:c>
      <x:c r="AG73" s="42" t="n">
        <x:f>(O73+S73)/'Inputs &amp; Summary'!$B$4</x:f>
        <x:v>0.6</x:v>
      </x:c>
      <x:c r="AH73" s="40" t="n">
        <x:f>U73-O73-S73</x:f>
        <x:v>-345986.6618312602</x:v>
      </x:c>
      <x:c r="AI73" s="40" t="n">
        <x:f>AC73-Y73</x:f>
        <x:v>-347840.78797776037</x:v>
      </x:c>
      <x:c r="AJ73" s="40" t="n">
        <x:f>AH73-AI73</x:f>
        <x:v>1854.1261465001735</x:v>
      </x:c>
    </x:row>
    <x:row r="74">
      <x:c r="A74" t="n">
        <x:f>A73+1</x:f>
        <x:v>70</x:v>
      </x:c>
      <x:c r="B74" t="n">
        <x:f>INT((A74-1)/12)+1</x:f>
        <x:v>6</x:v>
      </x:c>
      <x:c r="C74" t="n">
        <x:f>MOD(A74-1,12)+1</x:f>
        <x:v>10</x:v>
      </x:c>
      <x:c r="D74" s="40" t="n">
        <x:f>O73</x:f>
        <x:v>356935.52039732016</x:v>
      </x:c>
      <x:c r="E74" s="40" t="n">
        <x:f>D74*'Inputs &amp; Summary'!$B$15</x:f>
        <x:v>1326.129525876157</x:v>
      </x:c>
      <x:c r="F74" s="40" t="n">
        <x:f>IF(D74&lt;=0.00000001,0,MIN('Inputs &amp; Summary'!$B$18,D74+E74))</x:f>
        <x:v>2324.586407999052</x:v>
      </x:c>
      <x:c r="G74" s="40" t="n">
        <x:f>IF(ABS(MAX(0,D74+E74-F74))&lt;0.00000001,0,MAX(0,D74+E74-F74))</x:f>
        <x:v>355937.06351519725</x:v>
      </x:c>
      <x:c r="H74" s="40" t="n">
        <x:f>MAX(0,'Inputs &amp; Summary'!$B$18-F74)</x:f>
        <x:v>0</x:v>
      </x:c>
      <x:c r="I74" s="40" t="n">
        <x:f>S73</x:f>
        <x:v>63064.47960267984</x:v>
      </x:c>
      <x:c r="J74" s="40" t="n">
        <x:f>I74*'Inputs &amp; Summary'!$B$16</x:f>
        <x:v>341.5992645145158</x:v>
      </x:c>
      <x:c r="K74" s="40" t="n">
        <x:f>IF(C74=1,J74,K73+J74)</x:f>
        <x:v>3175.8976230797293</x:v>
      </x:c>
      <x:c r="L74" s="40" t="n">
        <x:f>IF(C74=12,K74*'Inputs &amp; Summary'!$B$11*'Inputs &amp; Summary'!$B$12,0)</x:f>
        <x:v>0</x:v>
      </x:c>
      <x:c r="M74" s="40" t="n">
        <x:f>MIN(L74,G74)</x:f>
        <x:v>0</x:v>
      </x:c>
      <x:c r="N74" s="40" t="n">
        <x:f>MAX(0,L74-M74)</x:f>
        <x:v>0</x:v>
      </x:c>
      <x:c r="O74" s="40" t="n">
        <x:f>IF(ABS(MAX(0,G74-M74))&lt;0.00000001,0,MAX(0,G74-M74))</x:f>
        <x:v>355937.06351519725</x:v>
      </x:c>
      <x:c r="P74" s="40" t="n">
        <x:f>MAX(0,D74-O74)</x:f>
        <x:v>998.4568821229041</x:v>
      </x:c>
      <x:c r="Q74" s="40" t="n">
        <x:f>MAX(0,'Inputs &amp; Summary'!$B$19*'Inputs &amp; Summary'!$B$4-O74-I74)</x:f>
        <x:v>35998.456882122904</x:v>
      </x:c>
      <x:c r="R74" s="40" t="n">
        <x:f>MIN(P74,Q74)</x:f>
        <x:v>998.4568821229041</x:v>
      </x:c>
      <x:c r="S74" s="40" t="n">
        <x:f>I74+R74</x:f>
        <x:v>64062.93648480275</x:v>
      </x:c>
      <x:c r="T74" s="40" t="n">
        <x:f>U73</x:f>
        <x:v>74013.33816873978</x:v>
      </x:c>
      <x:c r="U74" s="40" t="n">
        <x:f>T74*(1+'Inputs &amp; Summary'!$B$17)+R74+N74+H74</x:f>
        <x:v>75372.05871690885</x:v>
      </x:c>
      <x:c r="V74" s="40" t="n">
        <x:f>Y73</x:f>
        <x:v>360024.804648298</x:v>
      </x:c>
      <x:c r="W74" s="40" t="n">
        <x:f>V74*'Inputs &amp; Summary'!$B$15</x:f>
        <x:v>1337.6072041259586</x:v>
      </x:c>
      <x:c r="X74" s="40" t="n">
        <x:f>IF(V74&lt;=0.00000001,0,MIN('Inputs &amp; Summary'!$B$18,V74+W74))</x:f>
        <x:v>2324.586407999052</x:v>
      </x:c>
      <x:c r="Y74" s="40" t="n">
        <x:f>IF(ABS(MAX(0,V74+W74-X74))&lt;0.00000001,0,MAX(0,V74+W74-X74))</x:f>
        <x:v>359037.82544442493</x:v>
      </x:c>
      <x:c r="Z74" s="40" t="n">
        <x:f>MAX(0,'Inputs &amp; Summary'!$B$18-X74)</x:f>
        <x:v>0</x:v>
      </x:c>
      <x:c r="AA74" s="40" t="n">
        <x:f>AC73</x:f>
        <x:v>12184.016670537649</x:v>
      </x:c>
      <x:c r="AB74" s="40" t="n">
        <x:f>J74</x:f>
        <x:v>341.5992645145158</x:v>
      </x:c>
      <x:c r="AC74" s="40" t="n">
        <x:f>AA74*(1+'Inputs &amp; Summary'!$B$17)+Z74+AB74</x:f>
        <x:v>12584.922252284989</x:v>
      </x:c>
      <x:c r="AD74" s="40" t="n">
        <x:f>F74+H74+J74</x:f>
        <x:v>2666.1856725135676</x:v>
      </x:c>
      <x:c r="AE74" s="40" t="n">
        <x:f>X74+Z74+AB74</x:f>
        <x:v>2666.1856725135676</x:v>
      </x:c>
      <x:c r="AF74" s="40" t="n">
        <x:f>AD74-AE74</x:f>
        <x:v>0</x:v>
      </x:c>
      <x:c r="AG74" s="42" t="n">
        <x:f>(O74+S74)/'Inputs &amp; Summary'!$B$4</x:f>
        <x:v>0.6</x:v>
      </x:c>
      <x:c r="AH74" s="40" t="n">
        <x:f>U74-O74-S74</x:f>
        <x:v>-344627.94128309115</x:v>
      </x:c>
      <x:c r="AI74" s="40" t="n">
        <x:f>AC74-Y74</x:f>
        <x:v>-346452.90319213993</x:v>
      </x:c>
      <x:c r="AJ74" s="40" t="n">
        <x:f>AH74-AI74</x:f>
        <x:v>1824.9619090487831</x:v>
      </x:c>
    </x:row>
    <x:row r="75">
      <x:c r="A75" t="n">
        <x:f>A74+1</x:f>
        <x:v>71</x:v>
      </x:c>
      <x:c r="B75" t="n">
        <x:f>INT((A75-1)/12)+1</x:f>
        <x:v>6</x:v>
      </x:c>
      <x:c r="C75" t="n">
        <x:f>MOD(A75-1,12)+1</x:f>
        <x:v>11</x:v>
      </x:c>
      <x:c r="D75" s="40" t="n">
        <x:f>O74</x:f>
        <x:v>355937.06351519725</x:v>
      </x:c>
      <x:c r="E75" s="40" t="n">
        <x:f>D75*'Inputs &amp; Summary'!$B$15</x:f>
        <x:v>1322.4199394774048</x:v>
      </x:c>
      <x:c r="F75" s="40" t="n">
        <x:f>IF(D75&lt;=0.00000001,0,MIN('Inputs &amp; Summary'!$B$18,D75+E75))</x:f>
        <x:v>2324.586407999052</x:v>
      </x:c>
      <x:c r="G75" s="40" t="n">
        <x:f>IF(ABS(MAX(0,D75+E75-F75))&lt;0.00000001,0,MAX(0,D75+E75-F75))</x:f>
        <x:v>354934.8970466756</x:v>
      </x:c>
      <x:c r="H75" s="40" t="n">
        <x:f>MAX(0,'Inputs &amp; Summary'!$B$18-F75)</x:f>
        <x:v>0</x:v>
      </x:c>
      <x:c r="I75" s="40" t="n">
        <x:f>S74</x:f>
        <x:v>64062.93648480275</x:v>
      </x:c>
      <x:c r="J75" s="40" t="n">
        <x:f>I75*'Inputs &amp; Summary'!$B$16</x:f>
        <x:v>347.0075726260149</x:v>
      </x:c>
      <x:c r="K75" s="40" t="n">
        <x:f>IF(C75=1,J75,K74+J75)</x:f>
        <x:v>3522.905195705744</x:v>
      </x:c>
      <x:c r="L75" s="40" t="n">
        <x:f>IF(C75=12,K75*'Inputs &amp; Summary'!$B$11*'Inputs &amp; Summary'!$B$12,0)</x:f>
        <x:v>0</x:v>
      </x:c>
      <x:c r="M75" s="40" t="n">
        <x:f>MIN(L75,G75)</x:f>
        <x:v>0</x:v>
      </x:c>
      <x:c r="N75" s="40" t="n">
        <x:f>MAX(0,L75-M75)</x:f>
        <x:v>0</x:v>
      </x:c>
      <x:c r="O75" s="40" t="n">
        <x:f>IF(ABS(MAX(0,G75-M75))&lt;0.00000001,0,MAX(0,G75-M75))</x:f>
        <x:v>354934.8970466756</x:v>
      </x:c>
      <x:c r="P75" s="40" t="n">
        <x:f>MAX(0,D75-O75)</x:f>
        <x:v>1002.1664685216383</x:v>
      </x:c>
      <x:c r="Q75" s="40" t="n">
        <x:f>MAX(0,'Inputs &amp; Summary'!$B$19*'Inputs &amp; Summary'!$B$4-O75-I75)</x:f>
        <x:v>36002.16646852164</x:v>
      </x:c>
      <x:c r="R75" s="40" t="n">
        <x:f>MIN(P75,Q75)</x:f>
        <x:v>1002.1664685216383</x:v>
      </x:c>
      <x:c r="S75" s="40" t="n">
        <x:f>I75+R75</x:f>
        <x:v>65065.102953324385</x:v>
      </x:c>
      <x:c r="T75" s="40" t="n">
        <x:f>U74</x:f>
        <x:v>75372.05871690885</x:v>
      </x:c>
      <x:c r="U75" s="40" t="n">
        <x:f>T75*(1+'Inputs &amp; Summary'!$B$17)+R75+N75+H75</x:f>
        <x:v>76741.10249244905</x:v>
      </x:c>
      <x:c r="V75" s="40" t="n">
        <x:f>Y74</x:f>
        <x:v>359037.82544442493</x:v>
      </x:c>
      <x:c r="W75" s="40" t="n">
        <x:f>V75*'Inputs &amp; Summary'!$B$15</x:f>
        <x:v>1333.9402609698814</x:v>
      </x:c>
      <x:c r="X75" s="40" t="n">
        <x:f>IF(V75&lt;=0.00000001,0,MIN('Inputs &amp; Summary'!$B$18,V75+W75))</x:f>
        <x:v>2324.586407999052</x:v>
      </x:c>
      <x:c r="Y75" s="40" t="n">
        <x:f>IF(ABS(MAX(0,V75+W75-X75))&lt;0.00000001,0,MAX(0,V75+W75-X75))</x:f>
        <x:v>358047.17929739575</x:v>
      </x:c>
      <x:c r="Z75" s="40" t="n">
        <x:f>MAX(0,'Inputs &amp; Summary'!$B$18-X75)</x:f>
        <x:v>0</x:v>
      </x:c>
      <x:c r="AA75" s="40" t="n">
        <x:f>AC74</x:f>
        <x:v>12584.922252284989</x:v>
      </x:c>
      <x:c r="AB75" s="40" t="n">
        <x:f>J75</x:f>
        <x:v>347.0075726260149</x:v>
      </x:c>
      <x:c r="AC75" s="40" t="n">
        <x:f>AA75*(1+'Inputs &amp; Summary'!$B$17)+Z75+AB75</x:f>
        <x:v>12993.187570334912</x:v>
      </x:c>
      <x:c r="AD75" s="40" t="n">
        <x:f>F75+H75+J75</x:f>
        <x:v>2671.5939806250667</x:v>
      </x:c>
      <x:c r="AE75" s="40" t="n">
        <x:f>X75+Z75+AB75</x:f>
        <x:v>2671.5939806250667</x:v>
      </x:c>
      <x:c r="AF75" s="40" t="n">
        <x:f>AD75-AE75</x:f>
        <x:v>0</x:v>
      </x:c>
      <x:c r="AG75" s="42" t="n">
        <x:f>(O75+S75)/'Inputs &amp; Summary'!$B$4</x:f>
        <x:v>0.6</x:v>
      </x:c>
      <x:c r="AH75" s="40" t="n">
        <x:f>U75-O75-S75</x:f>
        <x:v>-343258.89750755095</x:v>
      </x:c>
      <x:c r="AI75" s="40" t="n">
        <x:f>AC75-Y75</x:f>
        <x:v>-345053.9917270608</x:v>
      </x:c>
      <x:c r="AJ75" s="40" t="n">
        <x:f>AH75-AI75</x:f>
        <x:v>1795.0942195098614</x:v>
      </x:c>
    </x:row>
    <x:row r="76">
      <x:c r="A76" t="n">
        <x:f>A75+1</x:f>
        <x:v>72</x:v>
      </x:c>
      <x:c r="B76" t="n">
        <x:f>INT((A76-1)/12)+1</x:f>
        <x:v>6</x:v>
      </x:c>
      <x:c r="C76" t="n">
        <x:f>MOD(A76-1,12)+1</x:f>
        <x:v>12</x:v>
      </x:c>
      <x:c r="D76" s="40" t="n">
        <x:f>O75</x:f>
        <x:v>354934.8970466756</x:v>
      </x:c>
      <x:c r="E76" s="40" t="n">
        <x:f>D76*'Inputs &amp; Summary'!$B$15</x:f>
        <x:v>1318.696570779691</x:v>
      </x:c>
      <x:c r="F76" s="40" t="n">
        <x:f>IF(D76&lt;=0.00000001,0,MIN('Inputs &amp; Summary'!$B$18,D76+E76))</x:f>
        <x:v>2324.586407999052</x:v>
      </x:c>
      <x:c r="G76" s="40" t="n">
        <x:f>IF(ABS(MAX(0,D76+E76-F76))&lt;0.00000001,0,MAX(0,D76+E76-F76))</x:f>
        <x:v>353929.00720945623</x:v>
      </x:c>
      <x:c r="H76" s="40" t="n">
        <x:f>MAX(0,'Inputs &amp; Summary'!$B$18-F76)</x:f>
        <x:v>0</x:v>
      </x:c>
      <x:c r="I76" s="40" t="n">
        <x:f>S75</x:f>
        <x:v>65065.102953324385</x:v>
      </x:c>
      <x:c r="J76" s="40" t="n">
        <x:f>I76*'Inputs &amp; Summary'!$B$16</x:f>
        <x:v>352.4359743305071</x:v>
      </x:c>
      <x:c r="K76" s="40" t="n">
        <x:f>IF(C76=1,J76,K75+J76)</x:f>
        <x:v>3875.3411700362512</x:v>
      </x:c>
      <x:c r="L76" s="40" t="n">
        <x:f>IF(C76=12,K76*'Inputs &amp; Summary'!$B$11*'Inputs &amp; Summary'!$B$12,0)</x:f>
        <x:v>1356.3694095126878</x:v>
      </x:c>
      <x:c r="M76" s="40" t="n">
        <x:f>MIN(L76,G76)</x:f>
        <x:v>1356.3694095126878</x:v>
      </x:c>
      <x:c r="N76" s="40" t="n">
        <x:f>MAX(0,L76-M76)</x:f>
        <x:v>0</x:v>
      </x:c>
      <x:c r="O76" s="40" t="n">
        <x:f>IF(ABS(MAX(0,G76-M76))&lt;0.00000001,0,MAX(0,G76-M76))</x:f>
        <x:v>352572.63779994356</x:v>
      </x:c>
      <x:c r="P76" s="40" t="n">
        <x:f>MAX(0,D76-O76)</x:f>
        <x:v>2362.25924673205</x:v>
      </x:c>
      <x:c r="Q76" s="40" t="n">
        <x:f>MAX(0,'Inputs &amp; Summary'!$B$19*'Inputs &amp; Summary'!$B$4-O76-I76)</x:f>
        <x:v>37362.25924673205</x:v>
      </x:c>
      <x:c r="R76" s="40" t="n">
        <x:f>MIN(P76,Q76)</x:f>
        <x:v>2362.25924673205</x:v>
      </x:c>
      <x:c r="S76" s="40" t="n">
        <x:f>I76+R76</x:f>
        <x:v>67427.36220005644</x:v>
      </x:c>
      <x:c r="T76" s="40" t="n">
        <x:f>U75</x:f>
        <x:v>76741.10249244905</x:v>
      </x:c>
      <x:c r="U76" s="40" t="n">
        <x:f>T76*(1+'Inputs &amp; Summary'!$B$17)+R76+N76+H76</x:f>
        <x:v>79476.90293600327</x:v>
      </x:c>
      <x:c r="V76" s="40" t="n">
        <x:f>Y75</x:f>
        <x:v>358047.17929739575</x:v>
      </x:c>
      <x:c r="W76" s="40" t="n">
        <x:f>V76*'Inputs &amp; Summary'!$B$15</x:f>
        <x:v>1330.2596939481164</x:v>
      </x:c>
      <x:c r="X76" s="40" t="n">
        <x:f>IF(V76&lt;=0.00000001,0,MIN('Inputs &amp; Summary'!$B$18,V76+W76))</x:f>
        <x:v>2324.586407999052</x:v>
      </x:c>
      <x:c r="Y76" s="40" t="n">
        <x:f>IF(ABS(MAX(0,V76+W76-X76))&lt;0.00000001,0,MAX(0,V76+W76-X76))</x:f>
        <x:v>357052.85258334485</x:v>
      </x:c>
      <x:c r="Z76" s="40" t="n">
        <x:f>MAX(0,'Inputs &amp; Summary'!$B$18-X76)</x:f>
        <x:v>0</x:v>
      </x:c>
      <x:c r="AA76" s="40" t="n">
        <x:f>AC75</x:f>
        <x:v>12993.187570334912</x:v>
      </x:c>
      <x:c r="AB76" s="40" t="n">
        <x:f>J76</x:f>
        <x:v>352.4359743305071</x:v>
      </x:c>
      <x:c r="AC76" s="40" t="n">
        <x:f>AA76*(1+'Inputs &amp; Summary'!$B$17)+Z76+AB76</x:f>
        <x:v>13408.868542169012</x:v>
      </x:c>
      <x:c r="AD76" s="40" t="n">
        <x:f>F76+H76+J76</x:f>
        <x:v>2677.022382329559</x:v>
      </x:c>
      <x:c r="AE76" s="40" t="n">
        <x:f>X76+Z76+AB76</x:f>
        <x:v>2677.022382329559</x:v>
      </x:c>
      <x:c r="AF76" s="40" t="n">
        <x:f>AD76-AE76</x:f>
        <x:v>0</x:v>
      </x:c>
      <x:c r="AG76" s="42" t="n">
        <x:f>(O76+S76)/'Inputs &amp; Summary'!$B$4</x:f>
        <x:v>0.6</x:v>
      </x:c>
      <x:c r="AH76" s="40" t="n">
        <x:f>U76-O76-S76</x:f>
        <x:v>-340523.0970639967</x:v>
      </x:c>
      <x:c r="AI76" s="40" t="n">
        <x:f>AC76-Y76</x:f>
        <x:v>-343643.98404117586</x:v>
      </x:c>
      <x:c r="AJ76" s="40" t="n">
        <x:f>AH76-AI76</x:f>
        <x:v>3120.8869771791506</x:v>
      </x:c>
    </x:row>
    <x:row r="77">
      <x:c r="A77" t="n">
        <x:f>A76+1</x:f>
        <x:v>73</x:v>
      </x:c>
      <x:c r="B77" t="n">
        <x:f>INT((A77-1)/12)+1</x:f>
        <x:v>7</x:v>
      </x:c>
      <x:c r="C77" t="n">
        <x:f>MOD(A77-1,12)+1</x:f>
        <x:v>1</x:v>
      </x:c>
      <x:c r="D77" s="40" t="n">
        <x:f>O76</x:f>
        <x:v>352572.63779994356</x:v>
      </x:c>
      <x:c r="E77" s="40" t="n">
        <x:f>D77*'Inputs &amp; Summary'!$B$15</x:f>
        <x:v>1309.9200227595381</x:v>
      </x:c>
      <x:c r="F77" s="40" t="n">
        <x:f>IF(D77&lt;=0.00000001,0,MIN('Inputs &amp; Summary'!$B$18,D77+E77))</x:f>
        <x:v>2324.586407999052</x:v>
      </x:c>
      <x:c r="G77" s="40" t="n">
        <x:f>IF(ABS(MAX(0,D77+E77-F77))&lt;0.00000001,0,MAX(0,D77+E77-F77))</x:f>
        <x:v>351557.97141470405</x:v>
      </x:c>
      <x:c r="H77" s="40" t="n">
        <x:f>MAX(0,'Inputs &amp; Summary'!$B$18-F77)</x:f>
        <x:v>0</x:v>
      </x:c>
      <x:c r="I77" s="40" t="n">
        <x:f>S76</x:f>
        <x:v>67427.36220005644</x:v>
      </x:c>
      <x:c r="J77" s="40" t="n">
        <x:f>I77*'Inputs &amp; Summary'!$B$16</x:f>
        <x:v>365.2315452503057</x:v>
      </x:c>
      <x:c r="K77" s="40" t="n">
        <x:f>IF(C77=1,J77,K76+J77)</x:f>
        <x:v>365.2315452503057</x:v>
      </x:c>
      <x:c r="L77" s="40" t="n">
        <x:f>IF(C77=12,K77*'Inputs &amp; Summary'!$B$11*'Inputs &amp; Summary'!$B$12,0)</x:f>
        <x:v>0</x:v>
      </x:c>
      <x:c r="M77" s="40" t="n">
        <x:f>MIN(L77,G77)</x:f>
        <x:v>0</x:v>
      </x:c>
      <x:c r="N77" s="40" t="n">
        <x:f>MAX(0,L77-M77)</x:f>
        <x:v>0</x:v>
      </x:c>
      <x:c r="O77" s="40" t="n">
        <x:f>IF(ABS(MAX(0,G77-M77))&lt;0.00000001,0,MAX(0,G77-M77))</x:f>
        <x:v>351557.97141470405</x:v>
      </x:c>
      <x:c r="P77" s="40" t="n">
        <x:f>MAX(0,D77-O77)</x:f>
        <x:v>1014.666385239514</x:v>
      </x:c>
      <x:c r="Q77" s="40" t="n">
        <x:f>MAX(0,'Inputs &amp; Summary'!$B$19*'Inputs &amp; Summary'!$B$4-O77-I77)</x:f>
        <x:v>36014.666385239514</x:v>
      </x:c>
      <x:c r="R77" s="40" t="n">
        <x:f>MIN(P77,Q77)</x:f>
        <x:v>1014.666385239514</x:v>
      </x:c>
      <x:c r="S77" s="40" t="n">
        <x:f>I77+R77</x:f>
        <x:v>68442.02858529595</x:v>
      </x:c>
      <x:c r="T77" s="40" t="n">
        <x:f>U76</x:f>
        <x:v>79476.90293600327</x:v>
      </x:c>
      <x:c r="U77" s="40" t="n">
        <x:f>T77*(1+'Inputs &amp; Summary'!$B$17)+R77+N77+H77</x:f>
        <x:v>80878.42716506064</x:v>
      </x:c>
      <x:c r="V77" s="40" t="n">
        <x:f>Y76</x:f>
        <x:v>357052.85258334485</x:v>
      </x:c>
      <x:c r="W77" s="40" t="n">
        <x:f>V77*'Inputs &amp; Summary'!$B$15</x:f>
        <x:v>1326.5654524436495</x:v>
      </x:c>
      <x:c r="X77" s="40" t="n">
        <x:f>IF(V77&lt;=0.00000001,0,MIN('Inputs &amp; Summary'!$B$18,V77+W77))</x:f>
        <x:v>2324.586407999052</x:v>
      </x:c>
      <x:c r="Y77" s="40" t="n">
        <x:f>IF(ABS(MAX(0,V77+W77-X77))&lt;0.00000001,0,MAX(0,V77+W77-X77))</x:f>
        <x:v>356054.8316277895</x:v>
      </x:c>
      <x:c r="Z77" s="40" t="n">
        <x:f>MAX(0,'Inputs &amp; Summary'!$B$18-X77)</x:f>
        <x:v>0</x:v>
      </x:c>
      <x:c r="AA77" s="40" t="n">
        <x:f>AC76</x:f>
        <x:v>13408.868542169012</x:v>
      </x:c>
      <x:c r="AB77" s="40" t="n">
        <x:f>J77</x:f>
        <x:v>365.2315452503057</x:v>
      </x:c>
      <x:c r="AC77" s="40" t="n">
        <x:f>AA77*(1+'Inputs &amp; Summary'!$B$17)+Z77+AB77</x:f>
        <x:v>13839.368433072363</x:v>
      </x:c>
      <x:c r="AD77" s="40" t="n">
        <x:f>F77+H77+J77</x:f>
        <x:v>2689.8179532493577</x:v>
      </x:c>
      <x:c r="AE77" s="40" t="n">
        <x:f>X77+Z77+AB77</x:f>
        <x:v>2689.8179532493577</x:v>
      </x:c>
      <x:c r="AF77" s="40" t="n">
        <x:f>AD77-AE77</x:f>
        <x:v>0</x:v>
      </x:c>
      <x:c r="AG77" s="42" t="n">
        <x:f>(O77+S77)/'Inputs &amp; Summary'!$B$4</x:f>
        <x:v>0.6</x:v>
      </x:c>
      <x:c r="AH77" s="40" t="n">
        <x:f>U77-O77-S77</x:f>
        <x:v>-339121.57283493935</x:v>
      </x:c>
      <x:c r="AI77" s="40" t="n">
        <x:f>AC77-Y77</x:f>
        <x:v>-342215.46319471713</x:v>
      </x:c>
      <x:c r="AJ77" s="40" t="n">
        <x:f>AH77-AI77</x:f>
        <x:v>3093.8903597777826</x:v>
      </x:c>
    </x:row>
    <x:row r="78">
      <x:c r="A78" t="n">
        <x:f>A77+1</x:f>
        <x:v>74</x:v>
      </x:c>
      <x:c r="B78" t="n">
        <x:f>INT((A78-1)/12)+1</x:f>
        <x:v>7</x:v>
      </x:c>
      <x:c r="C78" t="n">
        <x:f>MOD(A78-1,12)+1</x:f>
        <x:v>2</x:v>
      </x:c>
      <x:c r="D78" s="40" t="n">
        <x:f>O77</x:f>
        <x:v>351557.97141470405</x:v>
      </x:c>
      <x:c r="E78" s="40" t="n">
        <x:f>D78*'Inputs &amp; Summary'!$B$15</x:f>
        <x:v>1306.1502128765587</x:v>
      </x:c>
      <x:c r="F78" s="40" t="n">
        <x:f>IF(D78&lt;=0.00000001,0,MIN('Inputs &amp; Summary'!$B$18,D78+E78))</x:f>
        <x:v>2324.586407999052</x:v>
      </x:c>
      <x:c r="G78" s="40" t="n">
        <x:f>IF(ABS(MAX(0,D78+E78-F78))&lt;0.00000001,0,MAX(0,D78+E78-F78))</x:f>
        <x:v>350539.53521958156</x:v>
      </x:c>
      <x:c r="H78" s="40" t="n">
        <x:f>MAX(0,'Inputs &amp; Summary'!$B$18-F78)</x:f>
        <x:v>0</x:v>
      </x:c>
      <x:c r="I78" s="40" t="n">
        <x:f>S77</x:f>
        <x:v>68442.02858529595</x:v>
      </x:c>
      <x:c r="J78" s="40" t="n">
        <x:f>I78*'Inputs &amp; Summary'!$B$16</x:f>
        <x:v>370.7276548370197</x:v>
      </x:c>
      <x:c r="K78" s="40" t="n">
        <x:f>IF(C78=1,J78,K77+J78)</x:f>
        <x:v>735.9592000873254</x:v>
      </x:c>
      <x:c r="L78" s="40" t="n">
        <x:f>IF(C78=12,K78*'Inputs &amp; Summary'!$B$11*'Inputs &amp; Summary'!$B$12,0)</x:f>
        <x:v>0</x:v>
      </x:c>
      <x:c r="M78" s="40" t="n">
        <x:f>MIN(L78,G78)</x:f>
        <x:v>0</x:v>
      </x:c>
      <x:c r="N78" s="40" t="n">
        <x:f>MAX(0,L78-M78)</x:f>
        <x:v>0</x:v>
      </x:c>
      <x:c r="O78" s="40" t="n">
        <x:f>IF(ABS(MAX(0,G78-M78))&lt;0.00000001,0,MAX(0,G78-M78))</x:f>
        <x:v>350539.53521958156</x:v>
      </x:c>
      <x:c r="P78" s="40" t="n">
        <x:f>MAX(0,D78-O78)</x:f>
        <x:v>1018.4361951224855</x:v>
      </x:c>
      <x:c r="Q78" s="40" t="n">
        <x:f>MAX(0,'Inputs &amp; Summary'!$B$19*'Inputs &amp; Summary'!$B$4-O78-I78)</x:f>
        <x:v>36018.436195122486</x:v>
      </x:c>
      <x:c r="R78" s="40" t="n">
        <x:f>MIN(P78,Q78)</x:f>
        <x:v>1018.4361951224855</x:v>
      </x:c>
      <x:c r="S78" s="40" t="n">
        <x:f>I78+R78</x:f>
        <x:v>69460.46478041844</x:v>
      </x:c>
      <x:c r="T78" s="40" t="n">
        <x:f>U77</x:f>
        <x:v>80878.42716506064</x:v>
      </x:c>
      <x:c r="U78" s="40" t="n">
        <x:f>T78*(1+'Inputs &amp; Summary'!$B$17)+R78+N78+H78</x:f>
        <x:v>82290.54319405447</x:v>
      </x:c>
      <x:c r="V78" s="40" t="n">
        <x:f>Y77</x:f>
        <x:v>356054.8316277895</x:v>
      </x:c>
      <x:c r="W78" s="40" t="n">
        <x:f>V78*'Inputs &amp; Summary'!$B$15</x:f>
        <x:v>1322.8574856514067</x:v>
      </x:c>
      <x:c r="X78" s="40" t="n">
        <x:f>IF(V78&lt;=0.00000001,0,MIN('Inputs &amp; Summary'!$B$18,V78+W78))</x:f>
        <x:v>2324.586407999052</x:v>
      </x:c>
      <x:c r="Y78" s="40" t="n">
        <x:f>IF(ABS(MAX(0,V78+W78-X78))&lt;0.00000001,0,MAX(0,V78+W78-X78))</x:f>
        <x:v>355053.1027054418</x:v>
      </x:c>
      <x:c r="Z78" s="40" t="n">
        <x:f>MAX(0,'Inputs &amp; Summary'!$B$18-X78)</x:f>
        <x:v>0</x:v>
      </x:c>
      <x:c r="AA78" s="40" t="n">
        <x:f>AC77</x:f>
        <x:v>13839.368433072363</x:v>
      </x:c>
      <x:c r="AB78" s="40" t="n">
        <x:f>J78</x:f>
        <x:v>370.7276548370197</x:v>
      </x:c>
      <x:c r="AC78" s="40" t="n">
        <x:f>AA78*(1+'Inputs &amp; Summary'!$B$17)+Z78+AB78</x:f>
        <x:v>14277.459913549774</x:v>
      </x:c>
      <x:c r="AD78" s="40" t="n">
        <x:f>F78+H78+J78</x:f>
        <x:v>2695.3140628360716</x:v>
      </x:c>
      <x:c r="AE78" s="40" t="n">
        <x:f>X78+Z78+AB78</x:f>
        <x:v>2695.3140628360716</x:v>
      </x:c>
      <x:c r="AF78" s="40" t="n">
        <x:f>AD78-AE78</x:f>
        <x:v>0</x:v>
      </x:c>
      <x:c r="AG78" s="42" t="n">
        <x:f>(O78+S78)/'Inputs &amp; Summary'!$B$4</x:f>
        <x:v>0.6</x:v>
      </x:c>
      <x:c r="AH78" s="40" t="n">
        <x:f>U78-O78-S78</x:f>
        <x:v>-337709.45680594555</x:v>
      </x:c>
      <x:c r="AI78" s="40" t="n">
        <x:f>AC78-Y78</x:f>
        <x:v>-340775.64279189205</x:v>
      </x:c>
      <x:c r="AJ78" s="40" t="n">
        <x:f>AH78-AI78</x:f>
        <x:v>3066.185985946504</x:v>
      </x:c>
    </x:row>
    <x:row r="79">
      <x:c r="A79" t="n">
        <x:f>A78+1</x:f>
        <x:v>75</x:v>
      </x:c>
      <x:c r="B79" t="n">
        <x:f>INT((A79-1)/12)+1</x:f>
        <x:v>7</x:v>
      </x:c>
      <x:c r="C79" t="n">
        <x:f>MOD(A79-1,12)+1</x:f>
        <x:v>3</x:v>
      </x:c>
      <x:c r="D79" s="40" t="n">
        <x:f>O78</x:f>
        <x:v>350539.53521958156</x:v>
      </x:c>
      <x:c r="E79" s="40" t="n">
        <x:f>D79*'Inputs &amp; Summary'!$B$15</x:f>
        <x:v>1302.3663969451281</x:v>
      </x:c>
      <x:c r="F79" s="40" t="n">
        <x:f>IF(D79&lt;=0.00000001,0,MIN('Inputs &amp; Summary'!$B$18,D79+E79))</x:f>
        <x:v>2324.586407999052</x:v>
      </x:c>
      <x:c r="G79" s="40" t="n">
        <x:f>IF(ABS(MAX(0,D79+E79-F79))&lt;0.00000001,0,MAX(0,D79+E79-F79))</x:f>
        <x:v>349517.31520852767</x:v>
      </x:c>
      <x:c r="H79" s="40" t="n">
        <x:f>MAX(0,'Inputs &amp; Summary'!$B$18-F79)</x:f>
        <x:v>0</x:v>
      </x:c>
      <x:c r="I79" s="40" t="n">
        <x:f>S78</x:f>
        <x:v>69460.46478041844</x:v>
      </x:c>
      <x:c r="J79" s="40" t="n">
        <x:f>I79*'Inputs &amp; Summary'!$B$16</x:f>
        <x:v>376.24418422726654</x:v>
      </x:c>
      <x:c r="K79" s="40" t="n">
        <x:f>IF(C79=1,J79,K78+J79)</x:f>
        <x:v>1112.2033843145919</x:v>
      </x:c>
      <x:c r="L79" s="40" t="n">
        <x:f>IF(C79=12,K79*'Inputs &amp; Summary'!$B$11*'Inputs &amp; Summary'!$B$12,0)</x:f>
        <x:v>0</x:v>
      </x:c>
      <x:c r="M79" s="40" t="n">
        <x:f>MIN(L79,G79)</x:f>
        <x:v>0</x:v>
      </x:c>
      <x:c r="N79" s="40" t="n">
        <x:f>MAX(0,L79-M79)</x:f>
        <x:v>0</x:v>
      </x:c>
      <x:c r="O79" s="40" t="n">
        <x:f>IF(ABS(MAX(0,G79-M79))&lt;0.00000001,0,MAX(0,G79-M79))</x:f>
        <x:v>349517.31520852767</x:v>
      </x:c>
      <x:c r="P79" s="40" t="n">
        <x:f>MAX(0,D79-O79)</x:f>
        <x:v>1022.2200110538979</x:v>
      </x:c>
      <x:c r="Q79" s="40" t="n">
        <x:f>MAX(0,'Inputs &amp; Summary'!$B$19*'Inputs &amp; Summary'!$B$4-O79-I79)</x:f>
        <x:v>36022.2200110539</x:v>
      </x:c>
      <x:c r="R79" s="40" t="n">
        <x:f>MIN(P79,Q79)</x:f>
        <x:v>1022.2200110538979</x:v>
      </x:c>
      <x:c r="S79" s="40" t="n">
        <x:f>I79+R79</x:f>
        <x:v>70482.68479147233</x:v>
      </x:c>
      <x:c r="T79" s="40" t="n">
        <x:f>U78</x:f>
        <x:v>82290.54319405447</x:v>
      </x:c>
      <x:c r="U79" s="40" t="n">
        <x:f>T79*(1+'Inputs &amp; Summary'!$B$17)+R79+N79+H79</x:f>
        <x:v>83713.31658515497</x:v>
      </x:c>
      <x:c r="V79" s="40" t="n">
        <x:f>Y78</x:f>
        <x:v>355053.1027054418</x:v>
      </x:c>
      <x:c r="W79" s="40" t="n">
        <x:f>V79*'Inputs &amp; Summary'!$B$15</x:f>
        <x:v>1319.135742577558</x:v>
      </x:c>
      <x:c r="X79" s="40" t="n">
        <x:f>IF(V79&lt;=0.00000001,0,MIN('Inputs &amp; Summary'!$B$18,V79+W79))</x:f>
        <x:v>2324.586407999052</x:v>
      </x:c>
      <x:c r="Y79" s="40" t="n">
        <x:f>IF(ABS(MAX(0,V79+W79-X79))&lt;0.00000001,0,MAX(0,V79+W79-X79))</x:f>
        <x:v>354047.65204002033</x:v>
      </x:c>
      <x:c r="Z79" s="40" t="n">
        <x:f>MAX(0,'Inputs &amp; Summary'!$B$18-X79)</x:f>
        <x:v>0</x:v>
      </x:c>
      <x:c r="AA79" s="40" t="n">
        <x:f>AC78</x:f>
        <x:v>14277.459913549774</x:v>
      </x:c>
      <x:c r="AB79" s="40" t="n">
        <x:f>J79</x:f>
        <x:v>376.24418422726654</x:v>
      </x:c>
      <x:c r="AC79" s="40" t="n">
        <x:f>AA79*(1+'Inputs &amp; Summary'!$B$17)+Z79+AB79</x:f>
        <x:v>14723.200355850902</x:v>
      </x:c>
      <x:c r="AD79" s="40" t="n">
        <x:f>F79+H79+J79</x:f>
        <x:v>2700.8305922263185</x:v>
      </x:c>
      <x:c r="AE79" s="40" t="n">
        <x:f>X79+Z79+AB79</x:f>
        <x:v>2700.8305922263185</x:v>
      </x:c>
      <x:c r="AF79" s="40" t="n">
        <x:f>AD79-AE79</x:f>
        <x:v>0</x:v>
      </x:c>
      <x:c r="AG79" s="42" t="n">
        <x:f>(O79+S79)/'Inputs &amp; Summary'!$B$4</x:f>
        <x:v>0.6</x:v>
      </x:c>
      <x:c r="AH79" s="40" t="n">
        <x:f>U79-O79-S79</x:f>
        <x:v>-336286.683414845</x:v>
      </x:c>
      <x:c r="AI79" s="40" t="n">
        <x:f>AC79-Y79</x:f>
        <x:v>-339324.4516841694</x:v>
      </x:c>
      <x:c r="AJ79" s="40" t="n">
        <x:f>AH79-AI79</x:f>
        <x:v>3037.768269324384</x:v>
      </x:c>
    </x:row>
    <x:row r="80">
      <x:c r="A80" t="n">
        <x:f>A79+1</x:f>
        <x:v>76</x:v>
      </x:c>
      <x:c r="B80" t="n">
        <x:f>INT((A80-1)/12)+1</x:f>
        <x:v>7</x:v>
      </x:c>
      <x:c r="C80" t="n">
        <x:f>MOD(A80-1,12)+1</x:f>
        <x:v>4</x:v>
      </x:c>
      <x:c r="D80" s="40" t="n">
        <x:f>O79</x:f>
        <x:v>349517.31520852767</x:v>
      </x:c>
      <x:c r="E80" s="40" t="n">
        <x:f>D80*'Inputs &amp; Summary'!$B$15</x:f>
        <x:v>1298.5685229283</x:v>
      </x:c>
      <x:c r="F80" s="40" t="n">
        <x:f>IF(D80&lt;=0.00000001,0,MIN('Inputs &amp; Summary'!$B$18,D80+E80))</x:f>
        <x:v>2324.586407999052</x:v>
      </x:c>
      <x:c r="G80" s="40" t="n">
        <x:f>IF(ABS(MAX(0,D80+E80-F80))&lt;0.00000001,0,MAX(0,D80+E80-F80))</x:f>
        <x:v>348491.2973234569</x:v>
      </x:c>
      <x:c r="H80" s="40" t="n">
        <x:f>MAX(0,'Inputs &amp; Summary'!$B$18-F80)</x:f>
        <x:v>0</x:v>
      </x:c>
      <x:c r="I80" s="40" t="n">
        <x:f>S79</x:f>
        <x:v>70482.68479147233</x:v>
      </x:c>
      <x:c r="J80" s="40" t="n">
        <x:f>I80*'Inputs &amp; Summary'!$B$16</x:f>
        <x:v>381.7812092871418</x:v>
      </x:c>
      <x:c r="K80" s="40" t="n">
        <x:f>IF(C80=1,J80,K79+J80)</x:f>
        <x:v>1493.9845936017336</x:v>
      </x:c>
      <x:c r="L80" s="40" t="n">
        <x:f>IF(C80=12,K80*'Inputs &amp; Summary'!$B$11*'Inputs &amp; Summary'!$B$12,0)</x:f>
        <x:v>0</x:v>
      </x:c>
      <x:c r="M80" s="40" t="n">
        <x:f>MIN(L80,G80)</x:f>
        <x:v>0</x:v>
      </x:c>
      <x:c r="N80" s="40" t="n">
        <x:f>MAX(0,L80-M80)</x:f>
        <x:v>0</x:v>
      </x:c>
      <x:c r="O80" s="40" t="n">
        <x:f>IF(ABS(MAX(0,G80-M80))&lt;0.00000001,0,MAX(0,G80-M80))</x:f>
        <x:v>348491.2973234569</x:v>
      </x:c>
      <x:c r="P80" s="40" t="n">
        <x:f>MAX(0,D80-O80)</x:f>
        <x:v>1026.0178850707598</x:v>
      </x:c>
      <x:c r="Q80" s="40" t="n">
        <x:f>MAX(0,'Inputs &amp; Summary'!$B$19*'Inputs &amp; Summary'!$B$4-O80-I80)</x:f>
        <x:v>36026.01788507076</x:v>
      </x:c>
      <x:c r="R80" s="40" t="n">
        <x:f>MIN(P80,Q80)</x:f>
        <x:v>1026.0178850707598</x:v>
      </x:c>
      <x:c r="S80" s="40" t="n">
        <x:f>I80+R80</x:f>
        <x:v>71508.7026765431</x:v>
      </x:c>
      <x:c r="T80" s="40" t="n">
        <x:f>U79</x:f>
        <x:v>83713.31658515497</x:v>
      </x:c>
      <x:c r="U80" s="40" t="n">
        <x:f>T80*(1+'Inputs &amp; Summary'!$B$17)+R80+N80+H80</x:f>
        <x:v>85146.81327169655</x:v>
      </x:c>
      <x:c r="V80" s="40" t="n">
        <x:f>Y79</x:f>
        <x:v>354047.65204002033</x:v>
      </x:c>
      <x:c r="W80" s="40" t="n">
        <x:f>V80*'Inputs &amp; Summary'!$B$15</x:f>
        <x:v>1315.4001720388146</x:v>
      </x:c>
      <x:c r="X80" s="40" t="n">
        <x:f>IF(V80&lt;=0.00000001,0,MIN('Inputs &amp; Summary'!$B$18,V80+W80))</x:f>
        <x:v>2324.586407999052</x:v>
      </x:c>
      <x:c r="Y80" s="40" t="n">
        <x:f>IF(ABS(MAX(0,V80+W80-X80))&lt;0.00000001,0,MAX(0,V80+W80-X80))</x:f>
        <x:v>353038.4658040601</x:v>
      </x:c>
      <x:c r="Z80" s="40" t="n">
        <x:f>MAX(0,'Inputs &amp; Summary'!$B$18-X80)</x:f>
        <x:v>0</x:v>
      </x:c>
      <x:c r="AA80" s="40" t="n">
        <x:f>AC79</x:f>
        <x:v>14723.200355850902</x:v>
      </x:c>
      <x:c r="AB80" s="40" t="n">
        <x:f>J80</x:f>
        <x:v>381.7812092871418</x:v>
      </x:c>
      <x:c r="AC80" s="40" t="n">
        <x:f>AA80*(1+'Inputs &amp; Summary'!$B$17)+Z80+AB80</x:f>
        <x:v>15176.647487353825</x:v>
      </x:c>
      <x:c r="AD80" s="40" t="n">
        <x:f>F80+H80+J80</x:f>
        <x:v>2706.3676172861938</x:v>
      </x:c>
      <x:c r="AE80" s="40" t="n">
        <x:f>X80+Z80+AB80</x:f>
        <x:v>2706.3676172861938</x:v>
      </x:c>
      <x:c r="AF80" s="40" t="n">
        <x:f>AD80-AE80</x:f>
        <x:v>0</x:v>
      </x:c>
      <x:c r="AG80" s="42" t="n">
        <x:f>(O80+S80)/'Inputs &amp; Summary'!$B$4</x:f>
        <x:v>0.6</x:v>
      </x:c>
      <x:c r="AH80" s="40" t="n">
        <x:f>U80-O80-S80</x:f>
        <x:v>-334853.18672830344</x:v>
      </x:c>
      <x:c r="AI80" s="40" t="n">
        <x:f>AC80-Y80</x:f>
        <x:v>-337861.8183167063</x:v>
      </x:c>
      <x:c r="AJ80" s="40" t="n">
        <x:f>AH80-AI80</x:f>
        <x:v>3008.6315884028445</x:v>
      </x:c>
    </x:row>
    <x:row r="81">
      <x:c r="A81" t="n">
        <x:f>A80+1</x:f>
        <x:v>77</x:v>
      </x:c>
      <x:c r="B81" t="n">
        <x:f>INT((A81-1)/12)+1</x:f>
        <x:v>7</x:v>
      </x:c>
      <x:c r="C81" t="n">
        <x:f>MOD(A81-1,12)+1</x:f>
        <x:v>5</x:v>
      </x:c>
      <x:c r="D81" s="40" t="n">
        <x:f>O80</x:f>
        <x:v>348491.2973234569</x:v>
      </x:c>
      <x:c r="E81" s="40" t="n">
        <x:f>D81*'Inputs &amp; Summary'!$B$15</x:f>
        <x:v>1294.7565385957942</x:v>
      </x:c>
      <x:c r="F81" s="40" t="n">
        <x:f>IF(D81&lt;=0.00000001,0,MIN('Inputs &amp; Summary'!$B$18,D81+E81))</x:f>
        <x:v>2324.586407999052</x:v>
      </x:c>
      <x:c r="G81" s="40" t="n">
        <x:f>IF(ABS(MAX(0,D81+E81-F81))&lt;0.00000001,0,MAX(0,D81+E81-F81))</x:f>
        <x:v>347461.46745405364</x:v>
      </x:c>
      <x:c r="H81" s="40" t="n">
        <x:f>MAX(0,'Inputs &amp; Summary'!$B$18-F81)</x:f>
        <x:v>0</x:v>
      </x:c>
      <x:c r="I81" s="40" t="n">
        <x:f>S80</x:f>
        <x:v>71508.7026765431</x:v>
      </x:c>
      <x:c r="J81" s="40" t="n">
        <x:f>I81*'Inputs &amp; Summary'!$B$16</x:f>
        <x:v>387.33880616460846</x:v>
      </x:c>
      <x:c r="K81" s="40" t="n">
        <x:f>IF(C81=1,J81,K80+J81)</x:f>
        <x:v>1881.3233997663422</x:v>
      </x:c>
      <x:c r="L81" s="40" t="n">
        <x:f>IF(C81=12,K81*'Inputs &amp; Summary'!$B$11*'Inputs &amp; Summary'!$B$12,0)</x:f>
        <x:v>0</x:v>
      </x:c>
      <x:c r="M81" s="40" t="n">
        <x:f>MIN(L81,G81)</x:f>
        <x:v>0</x:v>
      </x:c>
      <x:c r="N81" s="40" t="n">
        <x:f>MAX(0,L81-M81)</x:f>
        <x:v>0</x:v>
      </x:c>
      <x:c r="O81" s="40" t="n">
        <x:f>IF(ABS(MAX(0,G81-M81))&lt;0.00000001,0,MAX(0,G81-M81))</x:f>
        <x:v>347461.46745405364</x:v>
      </x:c>
      <x:c r="P81" s="40" t="n">
        <x:f>MAX(0,D81-O81)</x:f>
        <x:v>1029.829869403271</x:v>
      </x:c>
      <x:c r="Q81" s="40" t="n">
        <x:f>MAX(0,'Inputs &amp; Summary'!$B$19*'Inputs &amp; Summary'!$B$4-O81-I81)</x:f>
        <x:v>36029.82986940327</x:v>
      </x:c>
      <x:c r="R81" s="40" t="n">
        <x:f>MIN(P81,Q81)</x:f>
        <x:v>1029.829869403271</x:v>
      </x:c>
      <x:c r="S81" s="40" t="n">
        <x:f>I81+R81</x:f>
        <x:v>72538.53254594636</x:v>
      </x:c>
      <x:c r="T81" s="40" t="n">
        <x:f>U80</x:f>
        <x:v>85146.81327169655</x:v>
      </x:c>
      <x:c r="U81" s="40" t="n">
        <x:f>T81*(1+'Inputs &amp; Summary'!$B$17)+R81+N81+H81</x:f>
        <x:v>86591.09956017762</x:v>
      </x:c>
      <x:c r="V81" s="40" t="n">
        <x:f>Y80</x:f>
        <x:v>353038.4658040601</x:v>
      </x:c>
      <x:c r="W81" s="40" t="n">
        <x:f>V81*'Inputs &amp; Summary'!$B$15</x:f>
        <x:v>1311.6507226617257</x:v>
      </x:c>
      <x:c r="X81" s="40" t="n">
        <x:f>IF(V81&lt;=0.00000001,0,MIN('Inputs &amp; Summary'!$B$18,V81+W81))</x:f>
        <x:v>2324.586407999052</x:v>
      </x:c>
      <x:c r="Y81" s="40" t="n">
        <x:f>IF(ABS(MAX(0,V81+W81-X81))&lt;0.00000001,0,MAX(0,V81+W81-X81))</x:f>
        <x:v>352025.5301187228</x:v>
      </x:c>
      <x:c r="Z81" s="40" t="n">
        <x:f>MAX(0,'Inputs &amp; Summary'!$B$18-X81)</x:f>
        <x:v>0</x:v>
      </x:c>
      <x:c r="AA81" s="40" t="n">
        <x:f>AC80</x:f>
        <x:v>15176.647487353825</x:v>
      </x:c>
      <x:c r="AB81" s="40" t="n">
        <x:f>J81</x:f>
        <x:v>387.33880616460846</x:v>
      </x:c>
      <x:c r="AC81" s="40" t="n">
        <x:f>AA81*(1+'Inputs &amp; Summary'!$B$17)+Z81+AB81</x:f>
        <x:v>15637.859392575516</x:v>
      </x:c>
      <x:c r="AD81" s="40" t="n">
        <x:f>F81+H81+J81</x:f>
        <x:v>2711.9252141636603</x:v>
      </x:c>
      <x:c r="AE81" s="40" t="n">
        <x:f>X81+Z81+AB81</x:f>
        <x:v>2711.9252141636603</x:v>
      </x:c>
      <x:c r="AF81" s="40" t="n">
        <x:f>AD81-AE81</x:f>
        <x:v>0</x:v>
      </x:c>
      <x:c r="AG81" s="42" t="n">
        <x:f>(O81+S81)/'Inputs &amp; Summary'!$B$4</x:f>
        <x:v>0.6</x:v>
      </x:c>
      <x:c r="AH81" s="40" t="n">
        <x:f>U81-O81-S81</x:f>
        <x:v>-333408.90043982235</x:v>
      </x:c>
      <x:c r="AI81" s="40" t="n">
        <x:f>AC81-Y81</x:f>
        <x:v>-336387.6707261473</x:v>
      </x:c>
      <x:c r="AJ81" s="40" t="n">
        <x:f>AH81-AI81</x:f>
        <x:v>2978.770286324958</x:v>
      </x:c>
    </x:row>
    <x:row r="82">
      <x:c r="A82" t="n">
        <x:f>A81+1</x:f>
        <x:v>78</x:v>
      </x:c>
      <x:c r="B82" t="n">
        <x:f>INT((A82-1)/12)+1</x:f>
        <x:v>7</x:v>
      </x:c>
      <x:c r="C82" t="n">
        <x:f>MOD(A82-1,12)+1</x:f>
        <x:v>6</x:v>
      </x:c>
      <x:c r="D82" s="40" t="n">
        <x:f>O81</x:f>
        <x:v>347461.46745405364</x:v>
      </x:c>
      <x:c r="E82" s="40" t="n">
        <x:f>D82*'Inputs &amp; Summary'!$B$15</x:f>
        <x:v>1290.930391523279</x:v>
      </x:c>
      <x:c r="F82" s="40" t="n">
        <x:f>IF(D82&lt;=0.00000001,0,MIN('Inputs &amp; Summary'!$B$18,D82+E82))</x:f>
        <x:v>2324.586407999052</x:v>
      </x:c>
      <x:c r="G82" s="40" t="n">
        <x:f>IF(ABS(MAX(0,D82+E82-F82))&lt;0.00000001,0,MAX(0,D82+E82-F82))</x:f>
        <x:v>346427.8114375779</x:v>
      </x:c>
      <x:c r="H82" s="40" t="n">
        <x:f>MAX(0,'Inputs &amp; Summary'!$B$18-F82)</x:f>
        <x:v>0</x:v>
      </x:c>
      <x:c r="I82" s="40" t="n">
        <x:f>S81</x:f>
        <x:v>72538.53254594636</x:v>
      </x:c>
      <x:c r="J82" s="40" t="n">
        <x:f>I82*'Inputs &amp; Summary'!$B$16</x:f>
        <x:v>392.9170512905428</x:v>
      </x:c>
      <x:c r="K82" s="40" t="n">
        <x:f>IF(C82=1,J82,K81+J82)</x:f>
        <x:v>2274.240451056885</x:v>
      </x:c>
      <x:c r="L82" s="40" t="n">
        <x:f>IF(C82=12,K82*'Inputs &amp; Summary'!$B$11*'Inputs &amp; Summary'!$B$12,0)</x:f>
        <x:v>0</x:v>
      </x:c>
      <x:c r="M82" s="40" t="n">
        <x:f>MIN(L82,G82)</x:f>
        <x:v>0</x:v>
      </x:c>
      <x:c r="N82" s="40" t="n">
        <x:f>MAX(0,L82-M82)</x:f>
        <x:v>0</x:v>
      </x:c>
      <x:c r="O82" s="40" t="n">
        <x:f>IF(ABS(MAX(0,G82-M82))&lt;0.00000001,0,MAX(0,G82-M82))</x:f>
        <x:v>346427.8114375779</x:v>
      </x:c>
      <x:c r="P82" s="40" t="n">
        <x:f>MAX(0,D82-O82)</x:f>
        <x:v>1033.6560164757539</x:v>
      </x:c>
      <x:c r="Q82" s="40" t="n">
        <x:f>MAX(0,'Inputs &amp; Summary'!$B$19*'Inputs &amp; Summary'!$B$4-O82-I82)</x:f>
        <x:v>36033.656016475754</x:v>
      </x:c>
      <x:c r="R82" s="40" t="n">
        <x:f>MIN(P82,Q82)</x:f>
        <x:v>1033.6560164757539</x:v>
      </x:c>
      <x:c r="S82" s="40" t="n">
        <x:f>I82+R82</x:f>
        <x:v>73572.18856242212</x:v>
      </x:c>
      <x:c r="T82" s="40" t="n">
        <x:f>U81</x:f>
        <x:v>86591.09956017762</x:v>
      </x:c>
      <x:c r="U82" s="40" t="n">
        <x:f>T82*(1+'Inputs &amp; Summary'!$B$17)+R82+N82+H82</x:f>
        <x:v>88046.24213227119</x:v>
      </x:c>
      <x:c r="V82" s="40" t="n">
        <x:f>Y81</x:f>
        <x:v>352025.5301187228</x:v>
      </x:c>
      <x:c r="W82" s="40" t="n">
        <x:f>V82*'Inputs &amp; Summary'!$B$15</x:f>
        <x:v>1307.887342881971</x:v>
      </x:c>
      <x:c r="X82" s="40" t="n">
        <x:f>IF(V82&lt;=0.00000001,0,MIN('Inputs &amp; Summary'!$B$18,V82+W82))</x:f>
        <x:v>2324.586407999052</x:v>
      </x:c>
      <x:c r="Y82" s="40" t="n">
        <x:f>IF(ABS(MAX(0,V82+W82-X82))&lt;0.00000001,0,MAX(0,V82+W82-X82))</x:f>
        <x:v>351008.83105360577</x:v>
      </x:c>
      <x:c r="Z82" s="40" t="n">
        <x:f>MAX(0,'Inputs &amp; Summary'!$B$18-X82)</x:f>
        <x:v>0</x:v>
      </x:c>
      <x:c r="AA82" s="40" t="n">
        <x:f>AC81</x:f>
        <x:v>15637.859392575516</x:v>
      </x:c>
      <x:c r="AB82" s="40" t="n">
        <x:f>J82</x:f>
        <x:v>392.9170512905428</x:v>
      </x:c>
      <x:c r="AC82" s="40" t="n">
        <x:f>AA82*(1+'Inputs &amp; Summary'!$B$17)+Z82+AB82</x:f>
        <x:v>16106.894515193144</x:v>
      </x:c>
      <x:c r="AD82" s="40" t="n">
        <x:f>F82+H82+J82</x:f>
        <x:v>2717.503459289595</x:v>
      </x:c>
      <x:c r="AE82" s="40" t="n">
        <x:f>X82+Z82+AB82</x:f>
        <x:v>2717.503459289595</x:v>
      </x:c>
      <x:c r="AF82" s="40" t="n">
        <x:f>AD82-AE82</x:f>
        <x:v>0</x:v>
      </x:c>
      <x:c r="AG82" s="42" t="n">
        <x:f>(O82+S82)/'Inputs &amp; Summary'!$B$4</x:f>
        <x:v>0.6</x:v>
      </x:c>
      <x:c r="AH82" s="40" t="n">
        <x:f>U82-O82-S82</x:f>
        <x:v>-331953.7578677288</x:v>
      </x:c>
      <x:c r="AI82" s="40" t="n">
        <x:f>AC82-Y82</x:f>
        <x:v>-334901.93653841264</x:v>
      </x:c>
      <x:c r="AJ82" s="40" t="n">
        <x:f>AH82-AI82</x:f>
        <x:v>2948.1786706838175</x:v>
      </x:c>
    </x:row>
    <x:row r="83">
      <x:c r="A83" t="n">
        <x:f>A82+1</x:f>
        <x:v>79</x:v>
      </x:c>
      <x:c r="B83" t="n">
        <x:f>INT((A83-1)/12)+1</x:f>
        <x:v>7</x:v>
      </x:c>
      <x:c r="C83" t="n">
        <x:f>MOD(A83-1,12)+1</x:f>
        <x:v>7</x:v>
      </x:c>
      <x:c r="D83" s="40" t="n">
        <x:f>O82</x:f>
        <x:v>346427.8114375779</x:v>
      </x:c>
      <x:c r="E83" s="40" t="n">
        <x:f>D83*'Inputs &amp; Summary'!$B$15</x:f>
        <x:v>1287.0900290916495</x:v>
      </x:c>
      <x:c r="F83" s="40" t="n">
        <x:f>IF(D83&lt;=0.00000001,0,MIN('Inputs &amp; Summary'!$B$18,D83+E83))</x:f>
        <x:v>2324.586407999052</x:v>
      </x:c>
      <x:c r="G83" s="40" t="n">
        <x:f>IF(ABS(MAX(0,D83+E83-F83))&lt;0.00000001,0,MAX(0,D83+E83-F83))</x:f>
        <x:v>345390.3150586705</x:v>
      </x:c>
      <x:c r="H83" s="40" t="n">
        <x:f>MAX(0,'Inputs &amp; Summary'!$B$18-F83)</x:f>
        <x:v>0</x:v>
      </x:c>
      <x:c r="I83" s="40" t="n">
        <x:f>S82</x:f>
        <x:v>73572.18856242212</x:v>
      </x:c>
      <x:c r="J83" s="40" t="n">
        <x:f>I83*'Inputs &amp; Summary'!$B$16</x:f>
        <x:v>398.5160213797865</x:v>
      </x:c>
      <x:c r="K83" s="40" t="n">
        <x:f>IF(C83=1,J83,K82+J83)</x:f>
        <x:v>2672.756472436671</x:v>
      </x:c>
      <x:c r="L83" s="40" t="n">
        <x:f>IF(C83=12,K83*'Inputs &amp; Summary'!$B$11*'Inputs &amp; Summary'!$B$12,0)</x:f>
        <x:v>0</x:v>
      </x:c>
      <x:c r="M83" s="40" t="n">
        <x:f>MIN(L83,G83)</x:f>
        <x:v>0</x:v>
      </x:c>
      <x:c r="N83" s="40" t="n">
        <x:f>MAX(0,L83-M83)</x:f>
        <x:v>0</x:v>
      </x:c>
      <x:c r="O83" s="40" t="n">
        <x:f>IF(ABS(MAX(0,G83-M83))&lt;0.00000001,0,MAX(0,G83-M83))</x:f>
        <x:v>345390.3150586705</x:v>
      </x:c>
      <x:c r="P83" s="40" t="n">
        <x:f>MAX(0,D83-O83)</x:f>
        <x:v>1037.49637890741</x:v>
      </x:c>
      <x:c r="Q83" s="40" t="n">
        <x:f>MAX(0,'Inputs &amp; Summary'!$B$19*'Inputs &amp; Summary'!$B$4-O83-I83)</x:f>
        <x:v>36037.49637890741</x:v>
      </x:c>
      <x:c r="R83" s="40" t="n">
        <x:f>MIN(P83,Q83)</x:f>
        <x:v>1037.49637890741</x:v>
      </x:c>
      <x:c r="S83" s="40" t="n">
        <x:f>I83+R83</x:f>
        <x:v>74609.68494132953</x:v>
      </x:c>
      <x:c r="T83" s="40" t="n">
        <x:f>U82</x:f>
        <x:v>88046.24213227119</x:v>
      </x:c>
      <x:c r="U83" s="40" t="n">
        <x:f>T83*(1+'Inputs &amp; Summary'!$B$17)+R83+N83+H83</x:f>
        <x:v>89512.30804684586</x:v>
      </x:c>
      <x:c r="V83" s="40" t="n">
        <x:f>Y82</x:f>
        <x:v>351008.83105360577</x:v>
      </x:c>
      <x:c r="W83" s="40" t="n">
        <x:f>V83*'Inputs &amp; Summary'!$B$15</x:f>
        <x:v>1304.1099809436537</x:v>
      </x:c>
      <x:c r="X83" s="40" t="n">
        <x:f>IF(V83&lt;=0.00000001,0,MIN('Inputs &amp; Summary'!$B$18,V83+W83))</x:f>
        <x:v>2324.586407999052</x:v>
      </x:c>
      <x:c r="Y83" s="40" t="n">
        <x:f>IF(ABS(MAX(0,V83+W83-X83))&lt;0.00000001,0,MAX(0,V83+W83-X83))</x:f>
        <x:v>349988.3546265504</x:v>
      </x:c>
      <x:c r="Z83" s="40" t="n">
        <x:f>MAX(0,'Inputs &amp; Summary'!$B$18-X83)</x:f>
        <x:v>0</x:v>
      </x:c>
      <x:c r="AA83" s="40" t="n">
        <x:f>AC82</x:f>
        <x:v>16106.894515193144</x:v>
      </x:c>
      <x:c r="AB83" s="40" t="n">
        <x:f>J83</x:f>
        <x:v>398.5160213797865</x:v>
      </x:c>
      <x:c r="AC83" s="40" t="n">
        <x:f>AA83*(1+'Inputs &amp; Summary'!$B$17)+Z83+AB83</x:f>
        <x:v>16583.81166007628</x:v>
      </x:c>
      <x:c r="AD83" s="40" t="n">
        <x:f>F83+H83+J83</x:f>
        <x:v>2723.1024293788387</x:v>
      </x:c>
      <x:c r="AE83" s="40" t="n">
        <x:f>X83+Z83+AB83</x:f>
        <x:v>2723.1024293788387</x:v>
      </x:c>
      <x:c r="AF83" s="40" t="n">
        <x:f>AD83-AE83</x:f>
        <x:v>0</x:v>
      </x:c>
      <x:c r="AG83" s="42" t="n">
        <x:f>(O83+S83)/'Inputs &amp; Summary'!$B$4</x:f>
        <x:v>0.6</x:v>
      </x:c>
      <x:c r="AH83" s="40" t="n">
        <x:f>U83-O83-S83</x:f>
        <x:v>-330487.69195315416</x:v>
      </x:c>
      <x:c r="AI83" s="40" t="n">
        <x:f>AC83-Y83</x:f>
        <x:v>-333404.54296647414</x:v>
      </x:c>
      <x:c r="AJ83" s="40" t="n">
        <x:f>AH83-AI83</x:f>
        <x:v>2916.8510133199743</x:v>
      </x:c>
    </x:row>
    <x:row r="84">
      <x:c r="A84" t="n">
        <x:f>A83+1</x:f>
        <x:v>80</x:v>
      </x:c>
      <x:c r="B84" t="n">
        <x:f>INT((A84-1)/12)+1</x:f>
        <x:v>7</x:v>
      </x:c>
      <x:c r="C84" t="n">
        <x:f>MOD(A84-1,12)+1</x:f>
        <x:v>8</x:v>
      </x:c>
      <x:c r="D84" s="40" t="n">
        <x:f>O83</x:f>
        <x:v>345390.3150586705</x:v>
      </x:c>
      <x:c r="E84" s="40" t="n">
        <x:f>D84*'Inputs &amp; Summary'!$B$15</x:f>
        <x:v>1283.2353984863032</x:v>
      </x:c>
      <x:c r="F84" s="40" t="n">
        <x:f>IF(D84&lt;=0.00000001,0,MIN('Inputs &amp; Summary'!$B$18,D84+E84))</x:f>
        <x:v>2324.586407999052</x:v>
      </x:c>
      <x:c r="G84" s="40" t="n">
        <x:f>IF(ABS(MAX(0,D84+E84-F84))&lt;0.00000001,0,MAX(0,D84+E84-F84))</x:f>
        <x:v>344348.96404915774</x:v>
      </x:c>
      <x:c r="H84" s="40" t="n">
        <x:f>MAX(0,'Inputs &amp; Summary'!$B$18-F84)</x:f>
        <x:v>0</x:v>
      </x:c>
      <x:c r="I84" s="40" t="n">
        <x:f>S83</x:f>
        <x:v>74609.68494132953</x:v>
      </x:c>
      <x:c r="J84" s="40" t="n">
        <x:f>I84*'Inputs &amp; Summary'!$B$16</x:f>
        <x:v>404.13579343220164</x:v>
      </x:c>
      <x:c r="K84" s="40" t="n">
        <x:f>IF(C84=1,J84,K83+J84)</x:f>
        <x:v>3076.892265868873</x:v>
      </x:c>
      <x:c r="L84" s="40" t="n">
        <x:f>IF(C84=12,K84*'Inputs &amp; Summary'!$B$11*'Inputs &amp; Summary'!$B$12,0)</x:f>
        <x:v>0</x:v>
      </x:c>
      <x:c r="M84" s="40" t="n">
        <x:f>MIN(L84,G84)</x:f>
        <x:v>0</x:v>
      </x:c>
      <x:c r="N84" s="40" t="n">
        <x:f>MAX(0,L84-M84)</x:f>
        <x:v>0</x:v>
      </x:c>
      <x:c r="O84" s="40" t="n">
        <x:f>IF(ABS(MAX(0,G84-M84))&lt;0.00000001,0,MAX(0,G84-M84))</x:f>
        <x:v>344348.96404915774</x:v>
      </x:c>
      <x:c r="P84" s="40" t="n">
        <x:f>MAX(0,D84-O84)</x:f>
        <x:v>1041.3510095127276</x:v>
      </x:c>
      <x:c r="Q84" s="40" t="n">
        <x:f>MAX(0,'Inputs &amp; Summary'!$B$19*'Inputs &amp; Summary'!$B$4-O84-I84)</x:f>
        <x:v>36041.35100951273</x:v>
      </x:c>
      <x:c r="R84" s="40" t="n">
        <x:f>MIN(P84,Q84)</x:f>
        <x:v>1041.3510095127276</x:v>
      </x:c>
      <x:c r="S84" s="40" t="n">
        <x:f>I84+R84</x:f>
        <x:v>75651.03595084226</x:v>
      </x:c>
      <x:c r="T84" s="40" t="n">
        <x:f>U83</x:f>
        <x:v>89512.30804684586</x:v>
      </x:c>
      <x:c r="U84" s="40" t="n">
        <x:f>T84*(1+'Inputs &amp; Summary'!$B$17)+R84+N84+H84</x:f>
        <x:v>90989.36474199718</x:v>
      </x:c>
      <x:c r="V84" s="40" t="n">
        <x:f>Y83</x:f>
        <x:v>349988.3546265504</x:v>
      </x:c>
      <x:c r="W84" s="40" t="n">
        <x:f>V84*'Inputs &amp; Summary'!$B$15</x:f>
        <x:v>1300.3185848985856</x:v>
      </x:c>
      <x:c r="X84" s="40" t="n">
        <x:f>IF(V84&lt;=0.00000001,0,MIN('Inputs &amp; Summary'!$B$18,V84+W84))</x:f>
        <x:v>2324.586407999052</x:v>
      </x:c>
      <x:c r="Y84" s="40" t="n">
        <x:f>IF(ABS(MAX(0,V84+W84-X84))&lt;0.00000001,0,MAX(0,V84+W84-X84))</x:f>
        <x:v>348964.08680344996</x:v>
      </x:c>
      <x:c r="Z84" s="40" t="n">
        <x:f>MAX(0,'Inputs &amp; Summary'!$B$18-X84)</x:f>
        <x:v>0</x:v>
      </x:c>
      <x:c r="AA84" s="40" t="n">
        <x:f>AC83</x:f>
        <x:v>16583.81166007628</x:v>
      </x:c>
      <x:c r="AB84" s="40" t="n">
        <x:f>J84</x:f>
        <x:v>404.13579343220164</x:v>
      </x:c>
      <x:c r="AC84" s="40" t="n">
        <x:f>AA84*(1+'Inputs &amp; Summary'!$B$17)+Z84+AB84</x:f>
        <x:v>17068.669995330027</x:v>
      </x:c>
      <x:c r="AD84" s="40" t="n">
        <x:f>F84+H84+J84</x:f>
        <x:v>2728.722201431254</x:v>
      </x:c>
      <x:c r="AE84" s="40" t="n">
        <x:f>X84+Z84+AB84</x:f>
        <x:v>2728.722201431254</x:v>
      </x:c>
      <x:c r="AF84" s="40" t="n">
        <x:f>AD84-AE84</x:f>
        <x:v>0</x:v>
      </x:c>
      <x:c r="AG84" s="42" t="n">
        <x:f>(O84+S84)/'Inputs &amp; Summary'!$B$4</x:f>
        <x:v>0.6</x:v>
      </x:c>
      <x:c r="AH84" s="40" t="n">
        <x:f>U84-O84-S84</x:f>
        <x:v>-329010.6352580028</x:v>
      </x:c>
      <x:c r="AI84" s="40" t="n">
        <x:f>AC84-Y84</x:f>
        <x:v>-331895.4168081199</x:v>
      </x:c>
      <x:c r="AJ84" s="40" t="n">
        <x:f>AH84-AI84</x:f>
        <x:v>2884.781550117128</x:v>
      </x:c>
    </x:row>
    <x:row r="85">
      <x:c r="A85" t="n">
        <x:f>A84+1</x:f>
        <x:v>81</x:v>
      </x:c>
      <x:c r="B85" t="n">
        <x:f>INT((A85-1)/12)+1</x:f>
        <x:v>7</x:v>
      </x:c>
      <x:c r="C85" t="n">
        <x:f>MOD(A85-1,12)+1</x:f>
        <x:v>9</x:v>
      </x:c>
      <x:c r="D85" s="40" t="n">
        <x:f>O84</x:f>
        <x:v>344348.96404915774</x:v>
      </x:c>
      <x:c r="E85" s="40" t="n">
        <x:f>D85*'Inputs &amp; Summary'!$B$15</x:f>
        <x:v>1279.3664466964153</x:v>
      </x:c>
      <x:c r="F85" s="40" t="n">
        <x:f>IF(D85&lt;=0.00000001,0,MIN('Inputs &amp; Summary'!$B$18,D85+E85))</x:f>
        <x:v>2324.586407999052</x:v>
      </x:c>
      <x:c r="G85" s="40" t="n">
        <x:f>IF(ABS(MAX(0,D85+E85-F85))&lt;0.00000001,0,MAX(0,D85+E85-F85))</x:f>
        <x:v>343303.7440878551</x:v>
      </x:c>
      <x:c r="H85" s="40" t="n">
        <x:f>MAX(0,'Inputs &amp; Summary'!$B$18-F85)</x:f>
        <x:v>0</x:v>
      </x:c>
      <x:c r="I85" s="40" t="n">
        <x:f>S84</x:f>
        <x:v>75651.03595084226</x:v>
      </x:c>
      <x:c r="J85" s="40" t="n">
        <x:f>I85*'Inputs &amp; Summary'!$B$16</x:f>
        <x:v>409.7764447337289</x:v>
      </x:c>
      <x:c r="K85" s="40" t="n">
        <x:f>IF(C85=1,J85,K84+J85)</x:f>
        <x:v>3486.668710602602</x:v>
      </x:c>
      <x:c r="L85" s="40" t="n">
        <x:f>IF(C85=12,K85*'Inputs &amp; Summary'!$B$11*'Inputs &amp; Summary'!$B$12,0)</x:f>
        <x:v>0</x:v>
      </x:c>
      <x:c r="M85" s="40" t="n">
        <x:f>MIN(L85,G85)</x:f>
        <x:v>0</x:v>
      </x:c>
      <x:c r="N85" s="40" t="n">
        <x:f>MAX(0,L85-M85)</x:f>
        <x:v>0</x:v>
      </x:c>
      <x:c r="O85" s="40" t="n">
        <x:f>IF(ABS(MAX(0,G85-M85))&lt;0.00000001,0,MAX(0,G85-M85))</x:f>
        <x:v>343303.7440878551</x:v>
      </x:c>
      <x:c r="P85" s="40" t="n">
        <x:f>MAX(0,D85-O85)</x:f>
        <x:v>1045.219961302646</x:v>
      </x:c>
      <x:c r="Q85" s="40" t="n">
        <x:f>MAX(0,'Inputs &amp; Summary'!$B$19*'Inputs &amp; Summary'!$B$4-O85-I85)</x:f>
        <x:v>36045.219961302646</x:v>
      </x:c>
      <x:c r="R85" s="40" t="n">
        <x:f>MIN(P85,Q85)</x:f>
        <x:v>1045.219961302646</x:v>
      </x:c>
      <x:c r="S85" s="40" t="n">
        <x:f>I85+R85</x:f>
        <x:v>76696.2559121449</x:v>
      </x:c>
      <x:c r="T85" s="40" t="n">
        <x:f>U84</x:f>
        <x:v>90989.36474199718</x:v>
      </x:c>
      <x:c r="U85" s="40" t="n">
        <x:f>T85*(1+'Inputs &amp; Summary'!$B$17)+R85+N85+H85</x:f>
        <x:v>92477.48003708995</x:v>
      </x:c>
      <x:c r="V85" s="40" t="n">
        <x:f>Y84</x:f>
        <x:v>348964.08680344996</x:v>
      </x:c>
      <x:c r="W85" s="40" t="n">
        <x:f>V85*'Inputs &amp; Summary'!$B$15</x:f>
        <x:v>1296.5131026055753</x:v>
      </x:c>
      <x:c r="X85" s="40" t="n">
        <x:f>IF(V85&lt;=0.00000001,0,MIN('Inputs &amp; Summary'!$B$18,V85+W85))</x:f>
        <x:v>2324.586407999052</x:v>
      </x:c>
      <x:c r="Y85" s="40" t="n">
        <x:f>IF(ABS(MAX(0,V85+W85-X85))&lt;0.00000001,0,MAX(0,V85+W85-X85))</x:f>
        <x:v>347936.0134980565</x:v>
      </x:c>
      <x:c r="Z85" s="40" t="n">
        <x:f>MAX(0,'Inputs &amp; Summary'!$B$18-X85)</x:f>
        <x:v>0</x:v>
      </x:c>
      <x:c r="AA85" s="40" t="n">
        <x:f>AC84</x:f>
        <x:v>17068.669995330027</x:v>
      </x:c>
      <x:c r="AB85" s="40" t="n">
        <x:f>J85</x:f>
        <x:v>409.7764447337289</x:v>
      </x:c>
      <x:c r="AC85" s="40" t="n">
        <x:f>AA85*(1+'Inputs &amp; Summary'!$B$17)+Z85+AB85</x:f>
        <x:v>17561.52905434918</x:v>
      </x:c>
      <x:c r="AD85" s="40" t="n">
        <x:f>F85+H85+J85</x:f>
        <x:v>2734.362852732781</x:v>
      </x:c>
      <x:c r="AE85" s="40" t="n">
        <x:f>X85+Z85+AB85</x:f>
        <x:v>2734.362852732781</x:v>
      </x:c>
      <x:c r="AF85" s="40" t="n">
        <x:f>AD85-AE85</x:f>
        <x:v>0</x:v>
      </x:c>
      <x:c r="AG85" s="42" t="n">
        <x:f>(O85+S85)/'Inputs &amp; Summary'!$B$4</x:f>
        <x:v>0.6</x:v>
      </x:c>
      <x:c r="AH85" s="40" t="n">
        <x:f>U85-O85-S85</x:f>
        <x:v>-327522.51996291004</x:v>
      </x:c>
      <x:c r="AI85" s="40" t="n">
        <x:f>AC85-Y85</x:f>
        <x:v>-330374.48444370733</x:v>
      </x:c>
      <x:c r="AJ85" s="40" t="n">
        <x:f>AH85-AI85</x:f>
        <x:v>2851.9644807972945</x:v>
      </x:c>
    </x:row>
    <x:row r="86">
      <x:c r="A86" t="n">
        <x:f>A85+1</x:f>
        <x:v>82</x:v>
      </x:c>
      <x:c r="B86" t="n">
        <x:f>INT((A86-1)/12)+1</x:f>
        <x:v>7</x:v>
      </x:c>
      <x:c r="C86" t="n">
        <x:f>MOD(A86-1,12)+1</x:f>
        <x:v>10</x:v>
      </x:c>
      <x:c r="D86" s="40" t="n">
        <x:f>O85</x:f>
        <x:v>343303.7440878551</x:v>
      </x:c>
      <x:c r="E86" s="40" t="n">
        <x:f>D86*'Inputs &amp; Summary'!$B$15</x:f>
        <x:v>1275.4831205142084</x:v>
      </x:c>
      <x:c r="F86" s="40" t="n">
        <x:f>IF(D86&lt;=0.00000001,0,MIN('Inputs &amp; Summary'!$B$18,D86+E86))</x:f>
        <x:v>2324.586407999052</x:v>
      </x:c>
      <x:c r="G86" s="40" t="n">
        <x:f>IF(ABS(MAX(0,D86+E86-F86))&lt;0.00000001,0,MAX(0,D86+E86-F86))</x:f>
        <x:v>342254.64080037025</x:v>
      </x:c>
      <x:c r="H86" s="40" t="n">
        <x:f>MAX(0,'Inputs &amp; Summary'!$B$18-F86)</x:f>
        <x:v>0</x:v>
      </x:c>
      <x:c r="I86" s="40" t="n">
        <x:f>S85</x:f>
        <x:v>76696.2559121449</x:v>
      </x:c>
      <x:c r="J86" s="40" t="n">
        <x:f>I86*'Inputs &amp; Summary'!$B$16</x:f>
        <x:v>415.43805285745157</x:v>
      </x:c>
      <x:c r="K86" s="40" t="n">
        <x:f>IF(C86=1,J86,K85+J86)</x:f>
        <x:v>3902.1067634600536</x:v>
      </x:c>
      <x:c r="L86" s="40" t="n">
        <x:f>IF(C86=12,K86*'Inputs &amp; Summary'!$B$11*'Inputs &amp; Summary'!$B$12,0)</x:f>
        <x:v>0</x:v>
      </x:c>
      <x:c r="M86" s="40" t="n">
        <x:f>MIN(L86,G86)</x:f>
        <x:v>0</x:v>
      </x:c>
      <x:c r="N86" s="40" t="n">
        <x:f>MAX(0,L86-M86)</x:f>
        <x:v>0</x:v>
      </x:c>
      <x:c r="O86" s="40" t="n">
        <x:f>IF(ABS(MAX(0,G86-M86))&lt;0.00000001,0,MAX(0,G86-M86))</x:f>
        <x:v>342254.64080037025</x:v>
      </x:c>
      <x:c r="P86" s="40" t="n">
        <x:f>MAX(0,D86-O86)</x:f>
        <x:v>1049.103287484846</x:v>
      </x:c>
      <x:c r="Q86" s="40" t="n">
        <x:f>MAX(0,'Inputs &amp; Summary'!$B$19*'Inputs &amp; Summary'!$B$4-O86-I86)</x:f>
        <x:v>36049.103287484846</x:v>
      </x:c>
      <x:c r="R86" s="40" t="n">
        <x:f>MIN(P86,Q86)</x:f>
        <x:v>1049.103287484846</x:v>
      </x:c>
      <x:c r="S86" s="40" t="n">
        <x:f>I86+R86</x:f>
        <x:v>77745.35919962975</x:v>
      </x:c>
      <x:c r="T86" s="40" t="n">
        <x:f>U85</x:f>
        <x:v>92477.48003708995</x:v>
      </x:c>
      <x:c r="U86" s="40" t="n">
        <x:f>T86*(1+'Inputs &amp; Summary'!$B$17)+R86+N86+H86</x:f>
        <x:v>93976.72213481083</x:v>
      </x:c>
      <x:c r="V86" s="40" t="n">
        <x:f>Y85</x:f>
        <x:v>347936.0134980565</x:v>
      </x:c>
      <x:c r="W86" s="40" t="n">
        <x:f>V86*'Inputs &amp; Summary'!$B$15</x:f>
        <x:v>1292.6934817297104</x:v>
      </x:c>
      <x:c r="X86" s="40" t="n">
        <x:f>IF(V86&lt;=0.00000001,0,MIN('Inputs &amp; Summary'!$B$18,V86+W86))</x:f>
        <x:v>2324.586407999052</x:v>
      </x:c>
      <x:c r="Y86" s="40" t="n">
        <x:f>IF(ABS(MAX(0,V86+W86-X86))&lt;0.00000001,0,MAX(0,V86+W86-X86))</x:f>
        <x:v>346904.1205717872</x:v>
      </x:c>
      <x:c r="Z86" s="40" t="n">
        <x:f>MAX(0,'Inputs &amp; Summary'!$B$18-X86)</x:f>
        <x:v>0</x:v>
      </x:c>
      <x:c r="AA86" s="40" t="n">
        <x:f>AC85</x:f>
        <x:v>17561.52905434918</x:v>
      </x:c>
      <x:c r="AB86" s="40" t="n">
        <x:f>J86</x:f>
        <x:v>415.43805285745157</x:v>
      </x:c>
      <x:c r="AC86" s="40" t="n">
        <x:f>AA86*(1+'Inputs &amp; Summary'!$B$17)+Z86+AB86</x:f>
        <x:v>18062.448737883416</x:v>
      </x:c>
      <x:c r="AD86" s="40" t="n">
        <x:f>F86+H86+J86</x:f>
        <x:v>2740.0244608565035</x:v>
      </x:c>
      <x:c r="AE86" s="40" t="n">
        <x:f>X86+Z86+AB86</x:f>
        <x:v>2740.0244608565035</x:v>
      </x:c>
      <x:c r="AF86" s="40" t="n">
        <x:f>AD86-AE86</x:f>
        <x:v>0</x:v>
      </x:c>
      <x:c r="AG86" s="42" t="n">
        <x:f>(O86+S86)/'Inputs &amp; Summary'!$B$4</x:f>
        <x:v>0.6</x:v>
      </x:c>
      <x:c r="AH86" s="40" t="n">
        <x:f>U86-O86-S86</x:f>
        <x:v>-326023.2778651892</x:v>
      </x:c>
      <x:c r="AI86" s="40" t="n">
        <x:f>AC86-Y86</x:f>
        <x:v>-328841.67183390376</x:v>
      </x:c>
      <x:c r="AJ86" s="40" t="n">
        <x:f>AH86-AI86</x:f>
        <x:v>2818.3939687145757</x:v>
      </x:c>
    </x:row>
    <x:row r="87">
      <x:c r="A87" t="n">
        <x:f>A86+1</x:f>
        <x:v>83</x:v>
      </x:c>
      <x:c r="B87" t="n">
        <x:f>INT((A87-1)/12)+1</x:f>
        <x:v>7</x:v>
      </x:c>
      <x:c r="C87" t="n">
        <x:f>MOD(A87-1,12)+1</x:f>
        <x:v>11</x:v>
      </x:c>
      <x:c r="D87" s="40" t="n">
        <x:f>O86</x:f>
        <x:v>342254.64080037025</x:v>
      </x:c>
      <x:c r="E87" s="40" t="n">
        <x:f>D87*'Inputs &amp; Summary'!$B$15</x:f>
        <x:v>1271.5853665342213</x:v>
      </x:c>
      <x:c r="F87" s="40" t="n">
        <x:f>IF(D87&lt;=0.00000001,0,MIN('Inputs &amp; Summary'!$B$18,D87+E87))</x:f>
        <x:v>2324.586407999052</x:v>
      </x:c>
      <x:c r="G87" s="40" t="n">
        <x:f>IF(ABS(MAX(0,D87+E87-F87))&lt;0.00000001,0,MAX(0,D87+E87-F87))</x:f>
        <x:v>341201.63975890545</x:v>
      </x:c>
      <x:c r="H87" s="40" t="n">
        <x:f>MAX(0,'Inputs &amp; Summary'!$B$18-F87)</x:f>
        <x:v>0</x:v>
      </x:c>
      <x:c r="I87" s="40" t="n">
        <x:f>S86</x:f>
        <x:v>77745.35919962975</x:v>
      </x:c>
      <x:c r="J87" s="40" t="n">
        <x:f>I87*'Inputs &amp; Summary'!$B$16</x:f>
        <x:v>421.1206956646611</x:v>
      </x:c>
      <x:c r="K87" s="40" t="n">
        <x:f>IF(C87=1,J87,K86+J87)</x:f>
        <x:v>4323.227459124715</x:v>
      </x:c>
      <x:c r="L87" s="40" t="n">
        <x:f>IF(C87=12,K87*'Inputs &amp; Summary'!$B$11*'Inputs &amp; Summary'!$B$12,0)</x:f>
        <x:v>0</x:v>
      </x:c>
      <x:c r="M87" s="40" t="n">
        <x:f>MIN(L87,G87)</x:f>
        <x:v>0</x:v>
      </x:c>
      <x:c r="N87" s="40" t="n">
        <x:f>MAX(0,L87-M87)</x:f>
        <x:v>0</x:v>
      </x:c>
      <x:c r="O87" s="40" t="n">
        <x:f>IF(ABS(MAX(0,G87-M87))&lt;0.00000001,0,MAX(0,G87-M87))</x:f>
        <x:v>341201.63975890545</x:v>
      </x:c>
      <x:c r="P87" s="40" t="n">
        <x:f>MAX(0,D87-O87)</x:f>
        <x:v>1053.0010414647986</x:v>
      </x:c>
      <x:c r="Q87" s="40" t="n">
        <x:f>MAX(0,'Inputs &amp; Summary'!$B$19*'Inputs &amp; Summary'!$B$4-O87-I87)</x:f>
        <x:v>36053.0010414648</x:v>
      </x:c>
      <x:c r="R87" s="40" t="n">
        <x:f>MIN(P87,Q87)</x:f>
        <x:v>1053.0010414647986</x:v>
      </x:c>
      <x:c r="S87" s="40" t="n">
        <x:f>I87+R87</x:f>
        <x:v>78798.36024109455</x:v>
      </x:c>
      <x:c r="T87" s="40" t="n">
        <x:f>U86</x:f>
        <x:v>93976.72213481083</x:v>
      </x:c>
      <x:c r="U87" s="40" t="n">
        <x:f>T87*(1+'Inputs &amp; Summary'!$B$17)+R87+N87+H87</x:f>
        <x:v>95487.15962323202</x:v>
      </x:c>
      <x:c r="V87" s="40" t="n">
        <x:f>Y86</x:f>
        <x:v>346904.1205717872</x:v>
      </x:c>
      <x:c r="W87" s="40" t="n">
        <x:f>V87*'Inputs &amp; Summary'!$B$15</x:f>
        <x:v>1288.8596697416367</x:v>
      </x:c>
      <x:c r="X87" s="40" t="n">
        <x:f>IF(V87&lt;=0.00000001,0,MIN('Inputs &amp; Summary'!$B$18,V87+W87))</x:f>
        <x:v>2324.586407999052</x:v>
      </x:c>
      <x:c r="Y87" s="40" t="n">
        <x:f>IF(ABS(MAX(0,V87+W87-X87))&lt;0.00000001,0,MAX(0,V87+W87-X87))</x:f>
        <x:v>345868.3938335298</x:v>
      </x:c>
      <x:c r="Z87" s="40" t="n">
        <x:f>MAX(0,'Inputs &amp; Summary'!$B$18-X87)</x:f>
        <x:v>0</x:v>
      </x:c>
      <x:c r="AA87" s="40" t="n">
        <x:f>AC86</x:f>
        <x:v>18062.448737883416</x:v>
      </x:c>
      <x:c r="AB87" s="40" t="n">
        <x:f>J87</x:f>
        <x:v>421.1206956646611</x:v>
      </x:c>
      <x:c r="AC87" s="40" t="n">
        <x:f>AA87*(1+'Inputs &amp; Summary'!$B$17)+Z87+AB87</x:f>
        <x:v>18571.489316113642</x:v>
      </x:c>
      <x:c r="AD87" s="40" t="n">
        <x:f>F87+H87+J87</x:f>
        <x:v>2745.707103663713</x:v>
      </x:c>
      <x:c r="AE87" s="40" t="n">
        <x:f>X87+Z87+AB87</x:f>
        <x:v>2745.707103663713</x:v>
      </x:c>
      <x:c r="AF87" s="40" t="n">
        <x:f>AD87-AE87</x:f>
        <x:v>0</x:v>
      </x:c>
      <x:c r="AG87" s="42" t="n">
        <x:f>(O87+S87)/'Inputs &amp; Summary'!$B$4</x:f>
        <x:v>0.6</x:v>
      </x:c>
      <x:c r="AH87" s="40" t="n">
        <x:f>U87-O87-S87</x:f>
        <x:v>-324512.84037676797</x:v>
      </x:c>
      <x:c r="AI87" s="40" t="n">
        <x:f>AC87-Y87</x:f>
        <x:v>-327296.90451741614</x:v>
      </x:c>
      <x:c r="AJ87" s="40" t="n">
        <x:f>AH87-AI87</x:f>
        <x:v>2784.0641406481736</x:v>
      </x:c>
    </x:row>
    <x:row r="88">
      <x:c r="A88" t="n">
        <x:f>A87+1</x:f>
        <x:v>84</x:v>
      </x:c>
      <x:c r="B88" t="n">
        <x:f>INT((A88-1)/12)+1</x:f>
        <x:v>7</x:v>
      </x:c>
      <x:c r="C88" t="n">
        <x:f>MOD(A88-1,12)+1</x:f>
        <x:v>12</x:v>
      </x:c>
      <x:c r="D88" s="40" t="n">
        <x:f>O87</x:f>
        <x:v>341201.63975890545</x:v>
      </x:c>
      <x:c r="E88" s="40" t="n">
        <x:f>D88*'Inputs &amp; Summary'!$B$15</x:f>
        <x:v>1267.6731311525748</x:v>
      </x:c>
      <x:c r="F88" s="40" t="n">
        <x:f>IF(D88&lt;=0.00000001,0,MIN('Inputs &amp; Summary'!$B$18,D88+E88))</x:f>
        <x:v>2324.586407999052</x:v>
      </x:c>
      <x:c r="G88" s="40" t="n">
        <x:f>IF(ABS(MAX(0,D88+E88-F88))&lt;0.00000001,0,MAX(0,D88+E88-F88))</x:f>
        <x:v>340144.726482059</x:v>
      </x:c>
      <x:c r="H88" s="40" t="n">
        <x:f>MAX(0,'Inputs &amp; Summary'!$B$18-F88)</x:f>
        <x:v>0</x:v>
      </x:c>
      <x:c r="I88" s="40" t="n">
        <x:f>S87</x:f>
        <x:v>78798.36024109455</x:v>
      </x:c>
      <x:c r="J88" s="40" t="n">
        <x:f>I88*'Inputs &amp; Summary'!$B$16</x:f>
        <x:v>426.8244513059288</x:v>
      </x:c>
      <x:c r="K88" s="40" t="n">
        <x:f>IF(C88=1,J88,K87+J88)</x:f>
        <x:v>4750.051910430644</x:v>
      </x:c>
      <x:c r="L88" s="40" t="n">
        <x:f>IF(C88=12,K88*'Inputs &amp; Summary'!$B$11*'Inputs &amp; Summary'!$B$12,0)</x:f>
        <x:v>1662.5181686507253</x:v>
      </x:c>
      <x:c r="M88" s="40" t="n">
        <x:f>MIN(L88,G88)</x:f>
        <x:v>1662.5181686507253</x:v>
      </x:c>
      <x:c r="N88" s="40" t="n">
        <x:f>MAX(0,L88-M88)</x:f>
        <x:v>0</x:v>
      </x:c>
      <x:c r="O88" s="40" t="n">
        <x:f>IF(ABS(MAX(0,G88-M88))&lt;0.00000001,0,MAX(0,G88-M88))</x:f>
        <x:v>338482.20831340825</x:v>
      </x:c>
      <x:c r="P88" s="40" t="n">
        <x:f>MAX(0,D88-O88)</x:f>
        <x:v>2719.4314454972045</x:v>
      </x:c>
      <x:c r="Q88" s="40" t="n">
        <x:f>MAX(0,'Inputs &amp; Summary'!$B$19*'Inputs &amp; Summary'!$B$4-O88-I88)</x:f>
        <x:v>37719.431445497205</x:v>
      </x:c>
      <x:c r="R88" s="40" t="n">
        <x:f>MIN(P88,Q88)</x:f>
        <x:v>2719.4314454972045</x:v>
      </x:c>
      <x:c r="S88" s="40" t="n">
        <x:f>I88+R88</x:f>
        <x:v>81517.79168659175</x:v>
      </x:c>
      <x:c r="T88" s="40" t="n">
        <x:f>U87</x:f>
        <x:v>95487.15962323202</x:v>
      </x:c>
      <x:c r="U88" s="40" t="n">
        <x:f>T88*(1+'Inputs &amp; Summary'!$B$17)+R88+N88+H88</x:f>
        <x:v>98671.37964653628</x:v>
      </x:c>
      <x:c r="V88" s="40" t="n">
        <x:f>Y87</x:f>
        <x:v>345868.3938335298</x:v>
      </x:c>
      <x:c r="W88" s="40" t="n">
        <x:f>V88*'Inputs &amp; Summary'!$B$15</x:f>
        <x:v>1285.0116139168379</x:v>
      </x:c>
      <x:c r="X88" s="40" t="n">
        <x:f>IF(V88&lt;=0.00000001,0,MIN('Inputs &amp; Summary'!$B$18,V88+W88))</x:f>
        <x:v>2324.586407999052</x:v>
      </x:c>
      <x:c r="Y88" s="40" t="n">
        <x:f>IF(ABS(MAX(0,V88+W88-X88))&lt;0.00000001,0,MAX(0,V88+W88-X88))</x:f>
        <x:v>344828.8190394476</x:v>
      </x:c>
      <x:c r="Z88" s="40" t="n">
        <x:f>MAX(0,'Inputs &amp; Summary'!$B$18-X88)</x:f>
        <x:v>0</x:v>
      </x:c>
      <x:c r="AA88" s="40" t="n">
        <x:f>AC87</x:f>
        <x:v>18571.489316113642</x:v>
      </x:c>
      <x:c r="AB88" s="40" t="n">
        <x:f>J88</x:f>
        <x:v>426.8244513059288</x:v>
      </x:c>
      <x:c r="AC88" s="40" t="n">
        <x:f>AA88*(1+'Inputs &amp; Summary'!$B$17)+Z88+AB88</x:f>
        <x:v>19088.711430739484</x:v>
      </x:c>
      <x:c r="AD88" s="40" t="n">
        <x:f>F88+H88+J88</x:f>
        <x:v>2751.410859304981</x:v>
      </x:c>
      <x:c r="AE88" s="40" t="n">
        <x:f>X88+Z88+AB88</x:f>
        <x:v>2751.410859304981</x:v>
      </x:c>
      <x:c r="AF88" s="40" t="n">
        <x:f>AD88-AE88</x:f>
        <x:v>0</x:v>
      </x:c>
      <x:c r="AG88" s="42" t="n">
        <x:f>(O88+S88)/'Inputs &amp; Summary'!$B$4</x:f>
        <x:v>0.6</x:v>
      </x:c>
      <x:c r="AH88" s="40" t="n">
        <x:f>U88-O88-S88</x:f>
        <x:v>-321328.6203534637</x:v>
      </x:c>
      <x:c r="AI88" s="40" t="n">
        <x:f>AC88-Y88</x:f>
        <x:v>-325740.1076087081</x:v>
      </x:c>
      <x:c r="AJ88" s="40" t="n">
        <x:f>AH88-AI88</x:f>
        <x:v>4411.487255244399</x:v>
      </x:c>
    </x:row>
    <x:row r="89">
      <x:c r="A89" t="n">
        <x:f>A88+1</x:f>
        <x:v>85</x:v>
      </x:c>
      <x:c r="B89" t="n">
        <x:f>INT((A89-1)/12)+1</x:f>
        <x:v>8</x:v>
      </x:c>
      <x:c r="C89" t="n">
        <x:f>MOD(A89-1,12)+1</x:f>
        <x:v>1</x:v>
      </x:c>
      <x:c r="D89" s="40" t="n">
        <x:f>O88</x:f>
        <x:v>338482.20831340825</x:v>
      </x:c>
      <x:c r="E89" s="40" t="n">
        <x:f>D89*'Inputs &amp; Summary'!$B$15</x:f>
        <x:v>1257.5695742707728</x:v>
      </x:c>
      <x:c r="F89" s="40" t="n">
        <x:f>IF(D89&lt;=0.00000001,0,MIN('Inputs &amp; Summary'!$B$18,D89+E89))</x:f>
        <x:v>2324.586407999052</x:v>
      </x:c>
      <x:c r="G89" s="40" t="n">
        <x:f>IF(ABS(MAX(0,D89+E89-F89))&lt;0.00000001,0,MAX(0,D89+E89-F89))</x:f>
        <x:v>337415.19147967995</x:v>
      </x:c>
      <x:c r="H89" s="40" t="n">
        <x:f>MAX(0,'Inputs &amp; Summary'!$B$18-F89)</x:f>
        <x:v>0</x:v>
      </x:c>
      <x:c r="I89" s="40" t="n">
        <x:f>S88</x:f>
        <x:v>81517.79168659175</x:v>
      </x:c>
      <x:c r="J89" s="40" t="n">
        <x:f>I89*'Inputs &amp; Summary'!$B$16</x:f>
        <x:v>441.55470496903865</x:v>
      </x:c>
      <x:c r="K89" s="40" t="n">
        <x:f>IF(C89=1,J89,K88+J89)</x:f>
        <x:v>441.55470496903865</x:v>
      </x:c>
      <x:c r="L89" s="40" t="n">
        <x:f>IF(C89=12,K89*'Inputs &amp; Summary'!$B$11*'Inputs &amp; Summary'!$B$12,0)</x:f>
        <x:v>0</x:v>
      </x:c>
      <x:c r="M89" s="40" t="n">
        <x:f>MIN(L89,G89)</x:f>
        <x:v>0</x:v>
      </x:c>
      <x:c r="N89" s="40" t="n">
        <x:f>MAX(0,L89-M89)</x:f>
        <x:v>0</x:v>
      </x:c>
      <x:c r="O89" s="40" t="n">
        <x:f>IF(ABS(MAX(0,G89-M89))&lt;0.00000001,0,MAX(0,G89-M89))</x:f>
        <x:v>337415.19147967995</x:v>
      </x:c>
      <x:c r="P89" s="40" t="n">
        <x:f>MAX(0,D89-O89)</x:f>
        <x:v>1067.0168337282958</x:v>
      </x:c>
      <x:c r="Q89" s="40" t="n">
        <x:f>MAX(0,'Inputs &amp; Summary'!$B$19*'Inputs &amp; Summary'!$B$4-O89-I89)</x:f>
        <x:v>36067.016833728296</x:v>
      </x:c>
      <x:c r="R89" s="40" t="n">
        <x:f>MIN(P89,Q89)</x:f>
        <x:v>1067.0168337282958</x:v>
      </x:c>
      <x:c r="S89" s="40" t="n">
        <x:f>I89+R89</x:f>
        <x:v>82584.80852032005</x:v>
      </x:c>
      <x:c r="T89" s="40" t="n">
        <x:f>U88</x:f>
        <x:v>98671.37964653628</x:v>
      </x:c>
      <x:c r="U89" s="40" t="n">
        <x:f>T89*(1+'Inputs &amp; Summary'!$B$17)+R89+N89+H89</x:f>
        <x:v>100218.68441004626</x:v>
      </x:c>
      <x:c r="V89" s="40" t="n">
        <x:f>Y88</x:f>
        <x:v>344828.8190394476</x:v>
      </x:c>
      <x:c r="W89" s="40" t="n">
        <x:f>V89*'Inputs &amp; Summary'!$B$15</x:f>
        <x:v>1281.149261334908</x:v>
      </x:c>
      <x:c r="X89" s="40" t="n">
        <x:f>IF(V89&lt;=0.00000001,0,MIN('Inputs &amp; Summary'!$B$18,V89+W89))</x:f>
        <x:v>2324.586407999052</x:v>
      </x:c>
      <x:c r="Y89" s="40" t="n">
        <x:f>IF(ABS(MAX(0,V89+W89-X89))&lt;0.00000001,0,MAX(0,V89+W89-X89))</x:f>
        <x:v>343785.38189278345</x:v>
      </x:c>
      <x:c r="Z89" s="40" t="n">
        <x:f>MAX(0,'Inputs &amp; Summary'!$B$18-X89)</x:f>
        <x:v>0</x:v>
      </x:c>
      <x:c r="AA89" s="40" t="n">
        <x:f>AC88</x:f>
        <x:v>19088.711430739484</x:v>
      </x:c>
      <x:c r="AB89" s="40" t="n">
        <x:f>J89</x:f>
        <x:v>441.55470496903865</x:v>
      </x:c>
      <x:c r="AC89" s="40" t="n">
        <x:f>AA89*(1+'Inputs &amp; Summary'!$B$17)+Z89+AB89</x:f>
        <x:v>19623.18140382489</x:v>
      </x:c>
      <x:c r="AD89" s="40" t="n">
        <x:f>F89+H89+J89</x:f>
        <x:v>2766.1411129680905</x:v>
      </x:c>
      <x:c r="AE89" s="40" t="n">
        <x:f>X89+Z89+AB89</x:f>
        <x:v>2766.1411129680905</x:v>
      </x:c>
      <x:c r="AF89" s="40" t="n">
        <x:f>AD89-AE89</x:f>
        <x:v>0</x:v>
      </x:c>
      <x:c r="AG89" s="42" t="n">
        <x:f>(O89+S89)/'Inputs &amp; Summary'!$B$4</x:f>
        <x:v>0.6</x:v>
      </x:c>
      <x:c r="AH89" s="40" t="n">
        <x:f>U89-O89-S89</x:f>
        <x:v>-319781.31558995374</x:v>
      </x:c>
      <x:c r="AI89" s="40" t="n">
        <x:f>AC89-Y89</x:f>
        <x:v>-324162.20048895857</x:v>
      </x:c>
      <x:c r="AJ89" s="40" t="n">
        <x:f>AH89-AI89</x:f>
        <x:v>4380.884899004828</x:v>
      </x:c>
    </x:row>
    <x:row r="90">
      <x:c r="A90" t="n">
        <x:f>A89+1</x:f>
        <x:v>86</x:v>
      </x:c>
      <x:c r="B90" t="n">
        <x:f>INT((A90-1)/12)+1</x:f>
        <x:v>8</x:v>
      </x:c>
      <x:c r="C90" t="n">
        <x:f>MOD(A90-1,12)+1</x:f>
        <x:v>2</x:v>
      </x:c>
      <x:c r="D90" s="40" t="n">
        <x:f>O89</x:f>
        <x:v>337415.19147967995</x:v>
      </x:c>
      <x:c r="E90" s="40" t="n">
        <x:f>D90*'Inputs &amp; Summary'!$B$15</x:f>
        <x:v>1253.6052657417733</x:v>
      </x:c>
      <x:c r="F90" s="40" t="n">
        <x:f>IF(D90&lt;=0.00000001,0,MIN('Inputs &amp; Summary'!$B$18,D90+E90))</x:f>
        <x:v>2324.586407999052</x:v>
      </x:c>
      <x:c r="G90" s="40" t="n">
        <x:f>IF(ABS(MAX(0,D90+E90-F90))&lt;0.00000001,0,MAX(0,D90+E90-F90))</x:f>
        <x:v>336344.2103374227</x:v>
      </x:c>
      <x:c r="H90" s="40" t="n">
        <x:f>MAX(0,'Inputs &amp; Summary'!$B$18-F90)</x:f>
        <x:v>0</x:v>
      </x:c>
      <x:c r="I90" s="40" t="n">
        <x:f>S89</x:f>
        <x:v>82584.80852032005</x:v>
      </x:c>
      <x:c r="J90" s="40" t="n">
        <x:f>I90*'Inputs &amp; Summary'!$B$16</x:f>
        <x:v>447.3343794850669</x:v>
      </x:c>
      <x:c r="K90" s="40" t="n">
        <x:f>IF(C90=1,J90,K89+J90)</x:f>
        <x:v>888.8890844541056</x:v>
      </x:c>
      <x:c r="L90" s="40" t="n">
        <x:f>IF(C90=12,K90*'Inputs &amp; Summary'!$B$11*'Inputs &amp; Summary'!$B$12,0)</x:f>
        <x:v>0</x:v>
      </x:c>
      <x:c r="M90" s="40" t="n">
        <x:f>MIN(L90,G90)</x:f>
        <x:v>0</x:v>
      </x:c>
      <x:c r="N90" s="40" t="n">
        <x:f>MAX(0,L90-M90)</x:f>
        <x:v>0</x:v>
      </x:c>
      <x:c r="O90" s="40" t="n">
        <x:f>IF(ABS(MAX(0,G90-M90))&lt;0.00000001,0,MAX(0,G90-M90))</x:f>
        <x:v>336344.2103374227</x:v>
      </x:c>
      <x:c r="P90" s="40" t="n">
        <x:f>MAX(0,D90-O90)</x:f>
        <x:v>1070.981142257282</x:v>
      </x:c>
      <x:c r="Q90" s="40" t="n">
        <x:f>MAX(0,'Inputs &amp; Summary'!$B$19*'Inputs &amp; Summary'!$B$4-O90-I90)</x:f>
        <x:v>36070.98114225728</x:v>
      </x:c>
      <x:c r="R90" s="40" t="n">
        <x:f>MIN(P90,Q90)</x:f>
        <x:v>1070.981142257282</x:v>
      </x:c>
      <x:c r="S90" s="40" t="n">
        <x:f>I90+R90</x:f>
        <x:v>83655.78966257733</x:v>
      </x:c>
      <x:c r="T90" s="40" t="n">
        <x:f>U89</x:f>
        <x:v>100218.68441004626</x:v>
      </x:c>
      <x:c r="U90" s="40" t="n">
        <x:f>T90*(1+'Inputs &amp; Summary'!$B$17)+R90+N90+H90</x:f>
        <x:v>101777.48506626161</x:v>
      </x:c>
      <x:c r="V90" s="40" t="n">
        <x:f>Y89</x:f>
        <x:v>343785.38189278345</x:v>
      </x:c>
      <x:c r="W90" s="40" t="n">
        <x:f>V90*'Inputs &amp; Summary'!$B$15</x:f>
        <x:v>1277.272558878826</x:v>
      </x:c>
      <x:c r="X90" s="40" t="n">
        <x:f>IF(V90&lt;=0.00000001,0,MIN('Inputs &amp; Summary'!$B$18,V90+W90))</x:f>
        <x:v>2324.586407999052</x:v>
      </x:c>
      <x:c r="Y90" s="40" t="n">
        <x:f>IF(ABS(MAX(0,V90+W90-X90))&lt;0.00000001,0,MAX(0,V90+W90-X90))</x:f>
        <x:v>342738.0680436632</x:v>
      </x:c>
      <x:c r="Z90" s="40" t="n">
        <x:f>MAX(0,'Inputs &amp; Summary'!$B$18-X90)</x:f>
        <x:v>0</x:v>
      </x:c>
      <x:c r="AA90" s="40" t="n">
        <x:f>AC89</x:f>
        <x:v>19623.18140382489</x:v>
      </x:c>
      <x:c r="AB90" s="40" t="n">
        <x:f>J90</x:f>
        <x:v>447.3343794850669</x:v>
      </x:c>
      <x:c r="AC90" s="40" t="n">
        <x:f>AA90*(1+'Inputs &amp; Summary'!$B$17)+Z90+AB90</x:f>
        <x:v>20166.032611045972</x:v>
      </x:c>
      <x:c r="AD90" s="40" t="n">
        <x:f>F90+H90+J90</x:f>
        <x:v>2771.920787484119</x:v>
      </x:c>
      <x:c r="AE90" s="40" t="n">
        <x:f>X90+Z90+AB90</x:f>
        <x:v>2771.920787484119</x:v>
      </x:c>
      <x:c r="AF90" s="40" t="n">
        <x:f>AD90-AE90</x:f>
        <x:v>0</x:v>
      </x:c>
      <x:c r="AG90" s="42" t="n">
        <x:f>(O90+S90)/'Inputs &amp; Summary'!$B$4</x:f>
        <x:v>0.6</x:v>
      </x:c>
      <x:c r="AH90" s="40" t="n">
        <x:f>U90-O90-S90</x:f>
        <x:v>-318222.5149337384</x:v>
      </x:c>
      <x:c r="AI90" s="40" t="n">
        <x:f>AC90-Y90</x:f>
        <x:v>-322572.03543261724</x:v>
      </x:c>
      <x:c r="AJ90" s="40" t="n">
        <x:f>AH90-AI90</x:f>
        <x:v>4349.520498878846</x:v>
      </x:c>
    </x:row>
    <x:row r="91">
      <x:c r="A91" t="n">
        <x:f>A90+1</x:f>
        <x:v>87</x:v>
      </x:c>
      <x:c r="B91" t="n">
        <x:f>INT((A91-1)/12)+1</x:f>
        <x:v>8</x:v>
      </x:c>
      <x:c r="C91" t="n">
        <x:f>MOD(A91-1,12)+1</x:f>
        <x:v>3</x:v>
      </x:c>
      <x:c r="D91" s="40" t="n">
        <x:f>O90</x:f>
        <x:v>336344.2103374227</x:v>
      </x:c>
      <x:c r="E91" s="40" t="n">
        <x:f>D91*'Inputs &amp; Summary'!$B$15</x:f>
        <x:v>1249.6262285396954</x:v>
      </x:c>
      <x:c r="F91" s="40" t="n">
        <x:f>IF(D91&lt;=0.00000001,0,MIN('Inputs &amp; Summary'!$B$18,D91+E91))</x:f>
        <x:v>2324.586407999052</x:v>
      </x:c>
      <x:c r="G91" s="40" t="n">
        <x:f>IF(ABS(MAX(0,D91+E91-F91))&lt;0.00000001,0,MAX(0,D91+E91-F91))</x:f>
        <x:v>335269.2501579633</x:v>
      </x:c>
      <x:c r="H91" s="40" t="n">
        <x:f>MAX(0,'Inputs &amp; Summary'!$B$18-F91)</x:f>
        <x:v>0</x:v>
      </x:c>
      <x:c r="I91" s="40" t="n">
        <x:f>S90</x:f>
        <x:v>83655.78966257733</x:v>
      </x:c>
      <x:c r="J91" s="40" t="n">
        <x:f>I91*'Inputs &amp; Summary'!$B$16</x:f>
        <x:v>453.13552733896057</x:v>
      </x:c>
      <x:c r="K91" s="40" t="n">
        <x:f>IF(C91=1,J91,K90+J91)</x:f>
        <x:v>1342.0246117930662</x:v>
      </x:c>
      <x:c r="L91" s="40" t="n">
        <x:f>IF(C91=12,K91*'Inputs &amp; Summary'!$B$11*'Inputs &amp; Summary'!$B$12,0)</x:f>
        <x:v>0</x:v>
      </x:c>
      <x:c r="M91" s="40" t="n">
        <x:f>MIN(L91,G91)</x:f>
        <x:v>0</x:v>
      </x:c>
      <x:c r="N91" s="40" t="n">
        <x:f>MAX(0,L91-M91)</x:f>
        <x:v>0</x:v>
      </x:c>
      <x:c r="O91" s="40" t="n">
        <x:f>IF(ABS(MAX(0,G91-M91))&lt;0.00000001,0,MAX(0,G91-M91))</x:f>
        <x:v>335269.2501579633</x:v>
      </x:c>
      <x:c r="P91" s="40" t="n">
        <x:f>MAX(0,D91-O91)</x:f>
        <x:v>1074.9601794593618</x:v>
      </x:c>
      <x:c r="Q91" s="40" t="n">
        <x:f>MAX(0,'Inputs &amp; Summary'!$B$19*'Inputs &amp; Summary'!$B$4-O91-I91)</x:f>
        <x:v>36074.96017945936</x:v>
      </x:c>
      <x:c r="R91" s="40" t="n">
        <x:f>MIN(P91,Q91)</x:f>
        <x:v>1074.9601794593618</x:v>
      </x:c>
      <x:c r="S91" s="40" t="n">
        <x:f>I91+R91</x:f>
        <x:v>84730.74984203669</x:v>
      </x:c>
      <x:c r="T91" s="40" t="n">
        <x:f>U90</x:f>
        <x:v>101777.48506626161</x:v>
      </x:c>
      <x:c r="U91" s="40" t="n">
        <x:f>T91*(1+'Inputs &amp; Summary'!$B$17)+R91+N91+H91</x:f>
        <x:v>103347.85230069445</x:v>
      </x:c>
      <x:c r="V91" s="40" t="n">
        <x:f>Y90</x:f>
        <x:v>342738.0680436632</x:v>
      </x:c>
      <x:c r="W91" s="40" t="n">
        <x:f>V91*'Inputs &amp; Summary'!$B$15</x:f>
        <x:v>1273.3814532342228</x:v>
      </x:c>
      <x:c r="X91" s="40" t="n">
        <x:f>IF(V91&lt;=0.00000001,0,MIN('Inputs &amp; Summary'!$B$18,V91+W91))</x:f>
        <x:v>2324.586407999052</x:v>
      </x:c>
      <x:c r="Y91" s="40" t="n">
        <x:f>IF(ABS(MAX(0,V91+W91-X91))&lt;0.00000001,0,MAX(0,V91+W91-X91))</x:f>
        <x:v>341686.8630888984</x:v>
      </x:c>
      <x:c r="Z91" s="40" t="n">
        <x:f>MAX(0,'Inputs &amp; Summary'!$B$18-X91)</x:f>
        <x:v>0</x:v>
      </x:c>
      <x:c r="AA91" s="40" t="n">
        <x:f>AC90</x:f>
        <x:v>20166.032611045972</x:v>
      </x:c>
      <x:c r="AB91" s="40" t="n">
        <x:f>J91</x:f>
        <x:v>453.13552733896057</x:v>
      </x:c>
      <x:c r="AC91" s="40" t="n">
        <x:f>AA91*(1+'Inputs &amp; Summary'!$B$17)+Z91+AB91</x:f>
        <x:v>20717.327321821555</x:v>
      </x:c>
      <x:c r="AD91" s="40" t="n">
        <x:f>F91+H91+J91</x:f>
        <x:v>2777.7219353380124</x:v>
      </x:c>
      <x:c r="AE91" s="40" t="n">
        <x:f>X91+Z91+AB91</x:f>
        <x:v>2777.7219353380124</x:v>
      </x:c>
      <x:c r="AF91" s="40" t="n">
        <x:f>AD91-AE91</x:f>
        <x:v>0</x:v>
      </x:c>
      <x:c r="AG91" s="42" t="n">
        <x:f>(O91+S91)/'Inputs &amp; Summary'!$B$4</x:f>
        <x:v>0.6</x:v>
      </x:c>
      <x:c r="AH91" s="40" t="n">
        <x:f>U91-O91-S91</x:f>
        <x:v>-316652.14769930555</x:v>
      </x:c>
      <x:c r="AI91" s="40" t="n">
        <x:f>AC91-Y91</x:f>
        <x:v>-320969.5357670769</x:v>
      </x:c>
      <x:c r="AJ91" s="40" t="n">
        <x:f>AH91-AI91</x:f>
        <x:v>4317.388067771331</x:v>
      </x:c>
    </x:row>
    <x:row r="92">
      <x:c r="A92" t="n">
        <x:f>A91+1</x:f>
        <x:v>88</x:v>
      </x:c>
      <x:c r="B92" t="n">
        <x:f>INT((A92-1)/12)+1</x:f>
        <x:v>8</x:v>
      </x:c>
      <x:c r="C92" t="n">
        <x:f>MOD(A92-1,12)+1</x:f>
        <x:v>4</x:v>
      </x:c>
      <x:c r="D92" s="40" t="n">
        <x:f>O91</x:f>
        <x:v>335269.2501579633</x:v>
      </x:c>
      <x:c r="E92" s="40" t="n">
        <x:f>D92*'Inputs &amp; Summary'!$B$15</x:f>
        <x:v>1245.6324079428118</x:v>
      </x:c>
      <x:c r="F92" s="40" t="n">
        <x:f>IF(D92&lt;=0.00000001,0,MIN('Inputs &amp; Summary'!$B$18,D92+E92))</x:f>
        <x:v>2324.586407999052</x:v>
      </x:c>
      <x:c r="G92" s="40" t="n">
        <x:f>IF(ABS(MAX(0,D92+E92-F92))&lt;0.00000001,0,MAX(0,D92+E92-F92))</x:f>
        <x:v>334190.29615790705</x:v>
      </x:c>
      <x:c r="H92" s="40" t="n">
        <x:f>MAX(0,'Inputs &amp; Summary'!$B$18-F92)</x:f>
        <x:v>0</x:v>
      </x:c>
      <x:c r="I92" s="40" t="n">
        <x:f>S91</x:f>
        <x:v>84730.74984203669</x:v>
      </x:c>
      <x:c r="J92" s="40" t="n">
        <x:f>I92*'Inputs &amp; Summary'!$B$16</x:f>
        <x:v>458.9582283110321</x:v>
      </x:c>
      <x:c r="K92" s="40" t="n">
        <x:f>IF(C92=1,J92,K91+J92)</x:f>
        <x:v>1800.9828401040984</x:v>
      </x:c>
      <x:c r="L92" s="40" t="n">
        <x:f>IF(C92=12,K92*'Inputs &amp; Summary'!$B$11*'Inputs &amp; Summary'!$B$12,0)</x:f>
        <x:v>0</x:v>
      </x:c>
      <x:c r="M92" s="40" t="n">
        <x:f>MIN(L92,G92)</x:f>
        <x:v>0</x:v>
      </x:c>
      <x:c r="N92" s="40" t="n">
        <x:f>MAX(0,L92-M92)</x:f>
        <x:v>0</x:v>
      </x:c>
      <x:c r="O92" s="40" t="n">
        <x:f>IF(ABS(MAX(0,G92-M92))&lt;0.00000001,0,MAX(0,G92-M92))</x:f>
        <x:v>334190.29615790705</x:v>
      </x:c>
      <x:c r="P92" s="40" t="n">
        <x:f>MAX(0,D92-O92)</x:f>
        <x:v>1078.9540000562556</x:v>
      </x:c>
      <x:c r="Q92" s="40" t="n">
        <x:f>MAX(0,'Inputs &amp; Summary'!$B$19*'Inputs &amp; Summary'!$B$4-O92-I92)</x:f>
        <x:v>36078.954000056256</x:v>
      </x:c>
      <x:c r="R92" s="40" t="n">
        <x:f>MIN(P92,Q92)</x:f>
        <x:v>1078.9540000562556</x:v>
      </x:c>
      <x:c r="S92" s="40" t="n">
        <x:f>I92+R92</x:f>
        <x:v>85809.70384209295</x:v>
      </x:c>
      <x:c r="T92" s="40" t="n">
        <x:f>U91</x:f>
        <x:v>103347.85230069445</x:v>
      </x:c>
      <x:c r="U92" s="40" t="n">
        <x:f>T92*(1+'Inputs &amp; Summary'!$B$17)+R92+N92+H92</x:f>
        <x:v>104929.85719764394</x:v>
      </x:c>
      <x:c r="V92" s="40" t="n">
        <x:f>Y91</x:f>
        <x:v>341686.8630888984</x:v>
      </x:c>
      <x:c r="W92" s="40" t="n">
        <x:f>V92*'Inputs &amp; Summary'!$B$15</x:f>
        <x:v>1269.4758908886508</x:v>
      </x:c>
      <x:c r="X92" s="40" t="n">
        <x:f>IF(V92&lt;=0.00000001,0,MIN('Inputs &amp; Summary'!$B$18,V92+W92))</x:f>
        <x:v>2324.586407999052</x:v>
      </x:c>
      <x:c r="Y92" s="40" t="n">
        <x:f>IF(ABS(MAX(0,V92+W92-X92))&lt;0.00000001,0,MAX(0,V92+W92-X92))</x:f>
        <x:v>340631.75257178803</x:v>
      </x:c>
      <x:c r="Z92" s="40" t="n">
        <x:f>MAX(0,'Inputs &amp; Summary'!$B$18-X92)</x:f>
        <x:v>0</x:v>
      </x:c>
      <x:c r="AA92" s="40" t="n">
        <x:f>AC91</x:f>
        <x:v>20717.327321821555</x:v>
      </x:c>
      <x:c r="AB92" s="40" t="n">
        <x:f>J92</x:f>
        <x:v>458.9582283110321</x:v>
      </x:c>
      <x:c r="AC92" s="40" t="n">
        <x:f>AA92*(1+'Inputs &amp; Summary'!$B$17)+Z92+AB92</x:f>
        <x:v>21277.128188450315</x:v>
      </x:c>
      <x:c r="AD92" s="40" t="n">
        <x:f>F92+H92+J92</x:f>
        <x:v>2783.544636310084</x:v>
      </x:c>
      <x:c r="AE92" s="40" t="n">
        <x:f>X92+Z92+AB92</x:f>
        <x:v>2783.544636310084</x:v>
      </x:c>
      <x:c r="AF92" s="40" t="n">
        <x:f>AD92-AE92</x:f>
        <x:v>0</x:v>
      </x:c>
      <x:c r="AG92" s="42" t="n">
        <x:f>(O92+S92)/'Inputs &amp; Summary'!$B$4</x:f>
        <x:v>0.6</x:v>
      </x:c>
      <x:c r="AH92" s="40" t="n">
        <x:f>U92-O92-S92</x:f>
        <x:v>-315070.14280235604</x:v>
      </x:c>
      <x:c r="AI92" s="40" t="n">
        <x:f>AC92-Y92</x:f>
        <x:v>-319354.62438333774</x:v>
      </x:c>
      <x:c r="AJ92" s="40" t="n">
        <x:f>AH92-AI92</x:f>
        <x:v>4284.481580981694</x:v>
      </x:c>
    </x:row>
    <x:row r="93">
      <x:c r="A93" t="n">
        <x:f>A92+1</x:f>
        <x:v>89</x:v>
      </x:c>
      <x:c r="B93" t="n">
        <x:f>INT((A93-1)/12)+1</x:f>
        <x:v>8</x:v>
      </x:c>
      <x:c r="C93" t="n">
        <x:f>MOD(A93-1,12)+1</x:f>
        <x:v>5</x:v>
      </x:c>
      <x:c r="D93" s="40" t="n">
        <x:f>O92</x:f>
        <x:v>334190.29615790705</x:v>
      </x:c>
      <x:c r="E93" s="40" t="n">
        <x:f>D93*'Inputs &amp; Summary'!$B$15</x:f>
        <x:v>1241.6237490260862</x:v>
      </x:c>
      <x:c r="F93" s="40" t="n">
        <x:f>IF(D93&lt;=0.00000001,0,MIN('Inputs &amp; Summary'!$B$18,D93+E93))</x:f>
        <x:v>2324.586407999052</x:v>
      </x:c>
      <x:c r="G93" s="40" t="n">
        <x:f>IF(ABS(MAX(0,D93+E93-F93))&lt;0.00000001,0,MAX(0,D93+E93-F93))</x:f>
        <x:v>333107.3334989341</x:v>
      </x:c>
      <x:c r="H93" s="40" t="n">
        <x:f>MAX(0,'Inputs &amp; Summary'!$B$18-F93)</x:f>
        <x:v>0</x:v>
      </x:c>
      <x:c r="I93" s="40" t="n">
        <x:f>S92</x:f>
        <x:v>85809.70384209295</x:v>
      </x:c>
      <x:c r="J93" s="40" t="n">
        <x:f>I93*'Inputs &amp; Summary'!$B$16</x:f>
        <x:v>464.8025624780035</x:v>
      </x:c>
      <x:c r="K93" s="40" t="n">
        <x:f>IF(C93=1,J93,K92+J93)</x:f>
        <x:v>2265.785402582102</x:v>
      </x:c>
      <x:c r="L93" s="40" t="n">
        <x:f>IF(C93=12,K93*'Inputs &amp; Summary'!$B$11*'Inputs &amp; Summary'!$B$12,0)</x:f>
        <x:v>0</x:v>
      </x:c>
      <x:c r="M93" s="40" t="n">
        <x:f>MIN(L93,G93)</x:f>
        <x:v>0</x:v>
      </x:c>
      <x:c r="N93" s="40" t="n">
        <x:f>MAX(0,L93-M93)</x:f>
        <x:v>0</x:v>
      </x:c>
      <x:c r="O93" s="40" t="n">
        <x:f>IF(ABS(MAX(0,G93-M93))&lt;0.00000001,0,MAX(0,G93-M93))</x:f>
        <x:v>333107.3334989341</x:v>
      </x:c>
      <x:c r="P93" s="40" t="n">
        <x:f>MAX(0,D93-O93)</x:f>
        <x:v>1082.962658972945</x:v>
      </x:c>
      <x:c r="Q93" s="40" t="n">
        <x:f>MAX(0,'Inputs &amp; Summary'!$B$19*'Inputs &amp; Summary'!$B$4-O93-I93)</x:f>
        <x:v>36082.962658972945</x:v>
      </x:c>
      <x:c r="R93" s="40" t="n">
        <x:f>MIN(P93,Q93)</x:f>
        <x:v>1082.962658972945</x:v>
      </x:c>
      <x:c r="S93" s="40" t="n">
        <x:f>I93+R93</x:f>
        <x:v>86892.66650106589</x:v>
      </x:c>
      <x:c r="T93" s="40" t="n">
        <x:f>U92</x:f>
        <x:v>104929.85719764394</x:v>
      </x:c>
      <x:c r="U93" s="40" t="n">
        <x:f>T93*(1+'Inputs &amp; Summary'!$B$17)+R93+N93+H93</x:f>
        <x:v>106523.57124234064</x:v>
      </x:c>
      <x:c r="V93" s="40" t="n">
        <x:f>Y92</x:f>
        <x:v>340631.75257178803</x:v>
      </x:c>
      <x:c r="W93" s="40" t="n">
        <x:f>V93*'Inputs &amp; Summary'!$B$15</x:f>
        <x:v>1265.5558181308456</x:v>
      </x:c>
      <x:c r="X93" s="40" t="n">
        <x:f>IF(V93&lt;=0.00000001,0,MIN('Inputs &amp; Summary'!$B$18,V93+W93))</x:f>
        <x:v>2324.586407999052</x:v>
      </x:c>
      <x:c r="Y93" s="40" t="n">
        <x:f>IF(ABS(MAX(0,V93+W93-X93))&lt;0.00000001,0,MAX(0,V93+W93-X93))</x:f>
        <x:v>339572.72198191984</x:v>
      </x:c>
      <x:c r="Z93" s="40" t="n">
        <x:f>MAX(0,'Inputs &amp; Summary'!$B$18-X93)</x:f>
        <x:v>0</x:v>
      </x:c>
      <x:c r="AA93" s="40" t="n">
        <x:f>AC92</x:f>
        <x:v>21277.128188450315</x:v>
      </x:c>
      <x:c r="AB93" s="40" t="n">
        <x:f>J93</x:f>
        <x:v>464.8025624780035</x:v>
      </x:c>
      <x:c r="AC93" s="40" t="n">
        <x:f>AA93*(1+'Inputs &amp; Summary'!$B$17)+Z93+AB93</x:f>
        <x:v>21845.498248270884</x:v>
      </x:c>
      <x:c r="AD93" s="40" t="n">
        <x:f>F93+H93+J93</x:f>
        <x:v>2789.3889704770554</x:v>
      </x:c>
      <x:c r="AE93" s="40" t="n">
        <x:f>X93+Z93+AB93</x:f>
        <x:v>2789.3889704770554</x:v>
      </x:c>
      <x:c r="AF93" s="40" t="n">
        <x:f>AD93-AE93</x:f>
        <x:v>0</x:v>
      </x:c>
      <x:c r="AG93" s="42" t="n">
        <x:f>(O93+S93)/'Inputs &amp; Summary'!$B$4</x:f>
        <x:v>0.6</x:v>
      </x:c>
      <x:c r="AH93" s="40" t="n">
        <x:f>U93-O93-S93</x:f>
        <x:v>-313476.4287576594</x:v>
      </x:c>
      <x:c r="AI93" s="40" t="n">
        <x:f>AC93-Y93</x:f>
        <x:v>-317727.22373364895</x:v>
      </x:c>
      <x:c r="AJ93" s="40" t="n">
        <x:f>AH93-AI93</x:f>
        <x:v>4250.794975989556</x:v>
      </x:c>
    </x:row>
    <x:row r="94">
      <x:c r="A94" t="n">
        <x:f>A93+1</x:f>
        <x:v>90</x:v>
      </x:c>
      <x:c r="B94" t="n">
        <x:f>INT((A94-1)/12)+1</x:f>
        <x:v>8</x:v>
      </x:c>
      <x:c r="C94" t="n">
        <x:f>MOD(A94-1,12)+1</x:f>
        <x:v>6</x:v>
      </x:c>
      <x:c r="D94" s="40" t="n">
        <x:f>O93</x:f>
        <x:v>333107.3334989341</x:v>
      </x:c>
      <x:c r="E94" s="40" t="n">
        <x:f>D94*'Inputs &amp; Summary'!$B$15</x:f>
        <x:v>1237.600196660419</x:v>
      </x:c>
      <x:c r="F94" s="40" t="n">
        <x:f>IF(D94&lt;=0.00000001,0,MIN('Inputs &amp; Summary'!$B$18,D94+E94))</x:f>
        <x:v>2324.586407999052</x:v>
      </x:c>
      <x:c r="G94" s="40" t="n">
        <x:f>IF(ABS(MAX(0,D94+E94-F94))&lt;0.00000001,0,MAX(0,D94+E94-F94))</x:f>
        <x:v>332020.3472875955</x:v>
      </x:c>
      <x:c r="H94" s="40" t="n">
        <x:f>MAX(0,'Inputs &amp; Summary'!$B$18-F94)</x:f>
        <x:v>0</x:v>
      </x:c>
      <x:c r="I94" s="40" t="n">
        <x:f>S93</x:f>
        <x:v>86892.66650106589</x:v>
      </x:c>
      <x:c r="J94" s="40" t="n">
        <x:f>I94*'Inputs &amp; Summary'!$B$16</x:f>
        <x:v>470.66861021410693</x:v>
      </x:c>
      <x:c r="K94" s="40" t="n">
        <x:f>IF(C94=1,J94,K93+J94)</x:f>
        <x:v>2736.454012796209</x:v>
      </x:c>
      <x:c r="L94" s="40" t="n">
        <x:f>IF(C94=12,K94*'Inputs &amp; Summary'!$B$11*'Inputs &amp; Summary'!$B$12,0)</x:f>
        <x:v>0</x:v>
      </x:c>
      <x:c r="M94" s="40" t="n">
        <x:f>MIN(L94,G94)</x:f>
        <x:v>0</x:v>
      </x:c>
      <x:c r="N94" s="40" t="n">
        <x:f>MAX(0,L94-M94)</x:f>
        <x:v>0</x:v>
      </x:c>
      <x:c r="O94" s="40" t="n">
        <x:f>IF(ABS(MAX(0,G94-M94))&lt;0.00000001,0,MAX(0,G94-M94))</x:f>
        <x:v>332020.3472875955</x:v>
      </x:c>
      <x:c r="P94" s="40" t="n">
        <x:f>MAX(0,D94-O94)</x:f>
        <x:v>1086.9862113386043</x:v>
      </x:c>
      <x:c r="Q94" s="40" t="n">
        <x:f>MAX(0,'Inputs &amp; Summary'!$B$19*'Inputs &amp; Summary'!$B$4-O94-I94)</x:f>
        <x:v>36086.986211338604</x:v>
      </x:c>
      <x:c r="R94" s="40" t="n">
        <x:f>MIN(P94,Q94)</x:f>
        <x:v>1086.9862113386043</x:v>
      </x:c>
      <x:c r="S94" s="40" t="n">
        <x:f>I94+R94</x:f>
        <x:v>87979.6527124045</x:v>
      </x:c>
      <x:c r="T94" s="40" t="n">
        <x:f>U93</x:f>
        <x:v>106523.57124234064</x:v>
      </x:c>
      <x:c r="U94" s="40" t="n">
        <x:f>T94*(1+'Inputs &amp; Summary'!$B$17)+R94+N94+H94</x:f>
        <x:v>108129.06632310226</x:v>
      </x:c>
      <x:c r="V94" s="40" t="n">
        <x:f>Y93</x:f>
        <x:v>339572.72198191984</x:v>
      </x:c>
      <x:c r="W94" s="40" t="n">
        <x:f>V94*'Inputs &amp; Summary'!$B$15</x:f>
        <x:v>1261.6211810499888</x:v>
      </x:c>
      <x:c r="X94" s="40" t="n">
        <x:f>IF(V94&lt;=0.00000001,0,MIN('Inputs &amp; Summary'!$B$18,V94+W94))</x:f>
        <x:v>2324.586407999052</x:v>
      </x:c>
      <x:c r="Y94" s="40" t="n">
        <x:f>IF(ABS(MAX(0,V94+W94-X94))&lt;0.00000001,0,MAX(0,V94+W94-X94))</x:f>
        <x:v>338509.75675497076</x:v>
      </x:c>
      <x:c r="Z94" s="40" t="n">
        <x:f>MAX(0,'Inputs &amp; Summary'!$B$18-X94)</x:f>
        <x:v>0</x:v>
      </x:c>
      <x:c r="AA94" s="40" t="n">
        <x:f>AC93</x:f>
        <x:v>21845.498248270884</x:v>
      </x:c>
      <x:c r="AB94" s="40" t="n">
        <x:f>J94</x:f>
        <x:v>470.66861021410693</x:v>
      </x:c>
      <x:c r="AC94" s="40" t="n">
        <x:f>AA94*(1+'Inputs &amp; Summary'!$B$17)+Z94+AB94</x:f>
        <x:v>22422.500925833563</x:v>
      </x:c>
      <x:c r="AD94" s="40" t="n">
        <x:f>F94+H94+J94</x:f>
        <x:v>2795.255018213159</x:v>
      </x:c>
      <x:c r="AE94" s="40" t="n">
        <x:f>X94+Z94+AB94</x:f>
        <x:v>2795.255018213159</x:v>
      </x:c>
      <x:c r="AF94" s="40" t="n">
        <x:f>AD94-AE94</x:f>
        <x:v>0</x:v>
      </x:c>
      <x:c r="AG94" s="42" t="n">
        <x:f>(O94+S94)/'Inputs &amp; Summary'!$B$4</x:f>
        <x:v>0.6</x:v>
      </x:c>
      <x:c r="AH94" s="40" t="n">
        <x:f>U94-O94-S94</x:f>
        <x:v>-311870.9336768977</x:v>
      </x:c>
      <x:c r="AI94" s="40" t="n">
        <x:f>AC94-Y94</x:f>
        <x:v>-316087.25582913717</x:v>
      </x:c>
      <x:c r="AJ94" s="40" t="n">
        <x:f>AH94-AI94</x:f>
        <x:v>4216.322152239445</x:v>
      </x:c>
    </x:row>
    <x:row r="95">
      <x:c r="A95" t="n">
        <x:f>A94+1</x:f>
        <x:v>91</x:v>
      </x:c>
      <x:c r="B95" t="n">
        <x:f>INT((A95-1)/12)+1</x:f>
        <x:v>8</x:v>
      </x:c>
      <x:c r="C95" t="n">
        <x:f>MOD(A95-1,12)+1</x:f>
        <x:v>7</x:v>
      </x:c>
      <x:c r="D95" s="40" t="n">
        <x:f>O94</x:f>
        <x:v>332020.3472875955</x:v>
      </x:c>
      <x:c r="E95" s="40" t="n">
        <x:f>D95*'Inputs &amp; Summary'!$B$15</x:f>
        <x:v>1233.5616955118871</x:v>
      </x:c>
      <x:c r="F95" s="40" t="n">
        <x:f>IF(D95&lt;=0.00000001,0,MIN('Inputs &amp; Summary'!$B$18,D95+E95))</x:f>
        <x:v>2324.586407999052</x:v>
      </x:c>
      <x:c r="G95" s="40" t="n">
        <x:f>IF(ABS(MAX(0,D95+E95-F95))&lt;0.00000001,0,MAX(0,D95+E95-F95))</x:f>
        <x:v>330929.3225751083</x:v>
      </x:c>
      <x:c r="H95" s="40" t="n">
        <x:f>MAX(0,'Inputs &amp; Summary'!$B$18-F95)</x:f>
        <x:v>0</x:v>
      </x:c>
      <x:c r="I95" s="40" t="n">
        <x:f>S94</x:f>
        <x:v>87979.6527124045</x:v>
      </x:c>
      <x:c r="J95" s="40" t="n">
        <x:f>I95*'Inputs &amp; Summary'!$B$16</x:f>
        <x:v>476.55645219219105</x:v>
      </x:c>
      <x:c r="K95" s="40" t="n">
        <x:f>IF(C95=1,J95,K94+J95)</x:f>
        <x:v>3213.0104649884</x:v>
      </x:c>
      <x:c r="L95" s="40" t="n">
        <x:f>IF(C95=12,K95*'Inputs &amp; Summary'!$B$11*'Inputs &amp; Summary'!$B$12,0)</x:f>
        <x:v>0</x:v>
      </x:c>
      <x:c r="M95" s="40" t="n">
        <x:f>MIN(L95,G95)</x:f>
        <x:v>0</x:v>
      </x:c>
      <x:c r="N95" s="40" t="n">
        <x:f>MAX(0,L95-M95)</x:f>
        <x:v>0</x:v>
      </x:c>
      <x:c r="O95" s="40" t="n">
        <x:f>IF(ABS(MAX(0,G95-M95))&lt;0.00000001,0,MAX(0,G95-M95))</x:f>
        <x:v>330929.3225751083</x:v>
      </x:c>
      <x:c r="P95" s="40" t="n">
        <x:f>MAX(0,D95-O95)</x:f>
        <x:v>1091.0247124871821</x:v>
      </x:c>
      <x:c r="Q95" s="40" t="n">
        <x:f>MAX(0,'Inputs &amp; Summary'!$B$19*'Inputs &amp; Summary'!$B$4-O95-I95)</x:f>
        <x:v>36091.02471248718</x:v>
      </x:c>
      <x:c r="R95" s="40" t="n">
        <x:f>MIN(P95,Q95)</x:f>
        <x:v>1091.0247124871821</x:v>
      </x:c>
      <x:c r="S95" s="40" t="n">
        <x:f>I95+R95</x:f>
        <x:v>89070.67742489168</x:v>
      </x:c>
      <x:c r="T95" s="40" t="n">
        <x:f>U94</x:f>
        <x:v>108129.06632310226</x:v>
      </x:c>
      <x:c r="U95" s="40" t="n">
        <x:f>T95*(1+'Inputs &amp; Summary'!$B$17)+R95+N95+H95</x:f>
        <x:v>109746.41473350048</x:v>
      </x:c>
      <x:c r="V95" s="40" t="n">
        <x:f>Y94</x:f>
        <x:v>338509.75675497076</x:v>
      </x:c>
      <x:c r="W95" s="40" t="n">
        <x:f>V95*'Inputs &amp; Summary'!$B$15</x:f>
        <x:v>1257.6719255349656</x:v>
      </x:c>
      <x:c r="X95" s="40" t="n">
        <x:f>IF(V95&lt;=0.00000001,0,MIN('Inputs &amp; Summary'!$B$18,V95+W95))</x:f>
        <x:v>2324.586407999052</x:v>
      </x:c>
      <x:c r="Y95" s="40" t="n">
        <x:f>IF(ABS(MAX(0,V95+W95-X95))&lt;0.00000001,0,MAX(0,V95+W95-X95))</x:f>
        <x:v>337442.8422725067</x:v>
      </x:c>
      <x:c r="Z95" s="40" t="n">
        <x:f>MAX(0,'Inputs &amp; Summary'!$B$18-X95)</x:f>
        <x:v>0</x:v>
      </x:c>
      <x:c r="AA95" s="40" t="n">
        <x:f>AC94</x:f>
        <x:v>22422.500925833563</x:v>
      </x:c>
      <x:c r="AB95" s="40" t="n">
        <x:f>J95</x:f>
        <x:v>476.55645219219105</x:v>
      </x:c>
      <x:c r="AC95" s="40" t="n">
        <x:f>AA95*(1+'Inputs &amp; Summary'!$B$17)+Z95+AB95</x:f>
        <x:v>23008.2000350837</x:v>
      </x:c>
      <x:c r="AD95" s="40" t="n">
        <x:f>F95+H95+J95</x:f>
        <x:v>2801.142860191243</x:v>
      </x:c>
      <x:c r="AE95" s="40" t="n">
        <x:f>X95+Z95+AB95</x:f>
        <x:v>2801.142860191243</x:v>
      </x:c>
      <x:c r="AF95" s="40" t="n">
        <x:f>AD95-AE95</x:f>
        <x:v>0</x:v>
      </x:c>
      <x:c r="AG95" s="42" t="n">
        <x:f>(O95+S95)/'Inputs &amp; Summary'!$B$4</x:f>
        <x:v>0.6</x:v>
      </x:c>
      <x:c r="AH95" s="40" t="n">
        <x:f>U95-O95-S95</x:f>
        <x:v>-310253.58526649955</x:v>
      </x:c>
      <x:c r="AI95" s="40" t="n">
        <x:f>AC95-Y95</x:f>
        <x:v>-314434.642237423</x:v>
      </x:c>
      <x:c r="AJ95" s="40" t="n">
        <x:f>AH95-AI95</x:f>
        <x:v>4181.0569709234405</x:v>
      </x:c>
    </x:row>
    <x:row r="96">
      <x:c r="A96" t="n">
        <x:f>A95+1</x:f>
        <x:v>92</x:v>
      </x:c>
      <x:c r="B96" t="n">
        <x:f>INT((A96-1)/12)+1</x:f>
        <x:v>8</x:v>
      </x:c>
      <x:c r="C96" t="n">
        <x:f>MOD(A96-1,12)+1</x:f>
        <x:v>8</x:v>
      </x:c>
      <x:c r="D96" s="40" t="n">
        <x:f>O95</x:f>
        <x:v>330929.3225751083</x:v>
      </x:c>
      <x:c r="E96" s="40" t="n">
        <x:f>D96*'Inputs &amp; Summary'!$B$15</x:f>
        <x:v>1229.508190040985</x:v>
      </x:c>
      <x:c r="F96" s="40" t="n">
        <x:f>IF(D96&lt;=0.00000001,0,MIN('Inputs &amp; Summary'!$B$18,D96+E96))</x:f>
        <x:v>2324.586407999052</x:v>
      </x:c>
      <x:c r="G96" s="40" t="n">
        <x:f>IF(ABS(MAX(0,D96+E96-F96))&lt;0.00000001,0,MAX(0,D96+E96-F96))</x:f>
        <x:v>329834.2443571503</x:v>
      </x:c>
      <x:c r="H96" s="40" t="n">
        <x:f>MAX(0,'Inputs &amp; Summary'!$B$18-F96)</x:f>
        <x:v>0</x:v>
      </x:c>
      <x:c r="I96" s="40" t="n">
        <x:f>S95</x:f>
        <x:v>89070.67742489168</x:v>
      </x:c>
      <x:c r="J96" s="40" t="n">
        <x:f>I96*'Inputs &amp; Summary'!$B$16</x:f>
        <x:v>482.4661693848299</x:v>
      </x:c>
      <x:c r="K96" s="40" t="n">
        <x:f>IF(C96=1,J96,K95+J96)</x:f>
        <x:v>3695.47663437323</x:v>
      </x:c>
      <x:c r="L96" s="40" t="n">
        <x:f>IF(C96=12,K96*'Inputs &amp; Summary'!$B$11*'Inputs &amp; Summary'!$B$12,0)</x:f>
        <x:v>0</x:v>
      </x:c>
      <x:c r="M96" s="40" t="n">
        <x:f>MIN(L96,G96)</x:f>
        <x:v>0</x:v>
      </x:c>
      <x:c r="N96" s="40" t="n">
        <x:f>MAX(0,L96-M96)</x:f>
        <x:v>0</x:v>
      </x:c>
      <x:c r="O96" s="40" t="n">
        <x:f>IF(ABS(MAX(0,G96-M96))&lt;0.00000001,0,MAX(0,G96-M96))</x:f>
        <x:v>329834.2443571503</x:v>
      </x:c>
      <x:c r="P96" s="40" t="n">
        <x:f>MAX(0,D96-O96)</x:f>
        <x:v>1095.078217958042</x:v>
      </x:c>
      <x:c r="Q96" s="40" t="n">
        <x:f>MAX(0,'Inputs &amp; Summary'!$B$19*'Inputs &amp; Summary'!$B$4-O96-I96)</x:f>
        <x:v>36095.07821795804</x:v>
      </x:c>
      <x:c r="R96" s="40" t="n">
        <x:f>MIN(P96,Q96)</x:f>
        <x:v>1095.078217958042</x:v>
      </x:c>
      <x:c r="S96" s="40" t="n">
        <x:f>I96+R96</x:f>
        <x:v>90165.75564284972</x:v>
      </x:c>
      <x:c r="T96" s="40" t="n">
        <x:f>U95</x:f>
        <x:v>109746.41473350048</x:v>
      </x:c>
      <x:c r="U96" s="40" t="n">
        <x:f>T96*(1+'Inputs &amp; Summary'!$B$17)+R96+N96+H96</x:f>
        <x:v>111375.68917453894</x:v>
      </x:c>
      <x:c r="V96" s="40" t="n">
        <x:f>Y95</x:f>
        <x:v>337442.8422725067</x:v>
      </x:c>
      <x:c r="W96" s="40" t="n">
        <x:f>V96*'Inputs &amp; Summary'!$B$15</x:f>
        <x:v>1253.7079972736215</x:v>
      </x:c>
      <x:c r="X96" s="40" t="n">
        <x:f>IF(V96&lt;=0.00000001,0,MIN('Inputs &amp; Summary'!$B$18,V96+W96))</x:f>
        <x:v>2324.586407999052</x:v>
      </x:c>
      <x:c r="Y96" s="40" t="n">
        <x:f>IF(ABS(MAX(0,V96+W96-X96))&lt;0.00000001,0,MAX(0,V96+W96-X96))</x:f>
        <x:v>336371.96386178123</x:v>
      </x:c>
      <x:c r="Z96" s="40" t="n">
        <x:f>MAX(0,'Inputs &amp; Summary'!$B$18-X96)</x:f>
        <x:v>0</x:v>
      </x:c>
      <x:c r="AA96" s="40" t="n">
        <x:f>AC95</x:f>
        <x:v>23008.2000350837</x:v>
      </x:c>
      <x:c r="AB96" s="40" t="n">
        <x:f>J96</x:f>
        <x:v>482.4661693848299</x:v>
      </x:c>
      <x:c r="AC96" s="40" t="n">
        <x:f>AA96*(1+'Inputs &amp; Summary'!$B$17)+Z96+AB96</x:f>
        <x:v>23602.659781556828</x:v>
      </x:c>
      <x:c r="AD96" s="40" t="n">
        <x:f>F96+H96+J96</x:f>
        <x:v>2807.0525773838817</x:v>
      </x:c>
      <x:c r="AE96" s="40" t="n">
        <x:f>X96+Z96+AB96</x:f>
        <x:v>2807.0525773838817</x:v>
      </x:c>
      <x:c r="AF96" s="40" t="n">
        <x:f>AD96-AE96</x:f>
        <x:v>0</x:v>
      </x:c>
      <x:c r="AG96" s="42" t="n">
        <x:f>(O96+S96)/'Inputs &amp; Summary'!$B$4</x:f>
        <x:v>0.6</x:v>
      </x:c>
      <x:c r="AH96" s="40" t="n">
        <x:f>U96-O96-S96</x:f>
        <x:v>-308624.31082546106</x:v>
      </x:c>
      <x:c r="AI96" s="40" t="n">
        <x:f>AC96-Y96</x:f>
        <x:v>-312769.3040802244</x:v>
      </x:c>
      <x:c r="AJ96" s="40" t="n">
        <x:f>AH96-AI96</x:f>
        <x:v>4144.993254763365</x:v>
      </x:c>
    </x:row>
    <x:row r="97">
      <x:c r="A97" t="n">
        <x:f>A96+1</x:f>
        <x:v>93</x:v>
      </x:c>
      <x:c r="B97" t="n">
        <x:f>INT((A97-1)/12)+1</x:f>
        <x:v>8</x:v>
      </x:c>
      <x:c r="C97" t="n">
        <x:f>MOD(A97-1,12)+1</x:f>
        <x:v>9</x:v>
      </x:c>
      <x:c r="D97" s="40" t="n">
        <x:f>O96</x:f>
        <x:v>329834.2443571503</x:v>
      </x:c>
      <x:c r="E97" s="40" t="n">
        <x:f>D97*'Inputs &amp; Summary'!$B$15</x:f>
        <x:v>1225.4396245018606</x:v>
      </x:c>
      <x:c r="F97" s="40" t="n">
        <x:f>IF(D97&lt;=0.00000001,0,MIN('Inputs &amp; Summary'!$B$18,D97+E97))</x:f>
        <x:v>2324.586407999052</x:v>
      </x:c>
      <x:c r="G97" s="40" t="n">
        <x:f>IF(ABS(MAX(0,D97+E97-F97))&lt;0.00000001,0,MAX(0,D97+E97-F97))</x:f>
        <x:v>328735.0975736531</x:v>
      </x:c>
      <x:c r="H97" s="40" t="n">
        <x:f>MAX(0,'Inputs &amp; Summary'!$B$18-F97)</x:f>
        <x:v>0</x:v>
      </x:c>
      <x:c r="I97" s="40" t="n">
        <x:f>S96</x:f>
        <x:v>90165.75564284972</x:v>
      </x:c>
      <x:c r="J97" s="40" t="n">
        <x:f>I97*'Inputs &amp; Summary'!$B$16</x:f>
        <x:v>488.397843065436</x:v>
      </x:c>
      <x:c r="K97" s="40" t="n">
        <x:f>IF(C97=1,J97,K96+J97)</x:f>
        <x:v>4183.874477438666</x:v>
      </x:c>
      <x:c r="L97" s="40" t="n">
        <x:f>IF(C97=12,K97*'Inputs &amp; Summary'!$B$11*'Inputs &amp; Summary'!$B$12,0)</x:f>
        <x:v>0</x:v>
      </x:c>
      <x:c r="M97" s="40" t="n">
        <x:f>MIN(L97,G97)</x:f>
        <x:v>0</x:v>
      </x:c>
      <x:c r="N97" s="40" t="n">
        <x:f>MAX(0,L97-M97)</x:f>
        <x:v>0</x:v>
      </x:c>
      <x:c r="O97" s="40" t="n">
        <x:f>IF(ABS(MAX(0,G97-M97))&lt;0.00000001,0,MAX(0,G97-M97))</x:f>
        <x:v>328735.0975736531</x:v>
      </x:c>
      <x:c r="P97" s="40" t="n">
        <x:f>MAX(0,D97-O97)</x:f>
        <x:v>1099.1467834971845</x:v>
      </x:c>
      <x:c r="Q97" s="40" t="n">
        <x:f>MAX(0,'Inputs &amp; Summary'!$B$19*'Inputs &amp; Summary'!$B$4-O97-I97)</x:f>
        <x:v>36099.146783497185</x:v>
      </x:c>
      <x:c r="R97" s="40" t="n">
        <x:f>MIN(P97,Q97)</x:f>
        <x:v>1099.1467834971845</x:v>
      </x:c>
      <x:c r="S97" s="40" t="n">
        <x:f>I97+R97</x:f>
        <x:v>91264.9024263469</x:v>
      </x:c>
      <x:c r="T97" s="40" t="n">
        <x:f>U96</x:f>
        <x:v>111375.68917453894</x:v>
      </x:c>
      <x:c r="U97" s="40" t="n">
        <x:f>T97*(1+'Inputs &amp; Summary'!$B$17)+R97+N97+H97</x:f>
        <x:v>113016.96275684313</x:v>
      </x:c>
      <x:c r="V97" s="40" t="n">
        <x:f>Y96</x:f>
        <x:v>336371.96386178123</x:v>
      </x:c>
      <x:c r="W97" s="40" t="n">
        <x:f>V97*'Inputs &amp; Summary'!$B$15</x:f>
        <x:v>1249.7293417520148</x:v>
      </x:c>
      <x:c r="X97" s="40" t="n">
        <x:f>IF(V97&lt;=0.00000001,0,MIN('Inputs &amp; Summary'!$B$18,V97+W97))</x:f>
        <x:v>2324.586407999052</x:v>
      </x:c>
      <x:c r="Y97" s="40" t="n">
        <x:f>IF(ABS(MAX(0,V97+W97-X97))&lt;0.00000001,0,MAX(0,V97+W97-X97))</x:f>
        <x:v>335297.1067955342</x:v>
      </x:c>
      <x:c r="Z97" s="40" t="n">
        <x:f>MAX(0,'Inputs &amp; Summary'!$B$18-X97)</x:f>
        <x:v>0</x:v>
      </x:c>
      <x:c r="AA97" s="40" t="n">
        <x:f>AC96</x:f>
        <x:v>23602.659781556828</x:v>
      </x:c>
      <x:c r="AB97" s="40" t="n">
        <x:f>J97</x:f>
        <x:v>488.397843065436</x:v>
      </x:c>
      <x:c r="AC97" s="40" t="n">
        <x:f>AA97*(1+'Inputs &amp; Summary'!$B$17)+Z97+AB97</x:f>
        <x:v>24205.94476458558</x:v>
      </x:c>
      <x:c r="AD97" s="40" t="n">
        <x:f>F97+H97+J97</x:f>
        <x:v>2812.984251064488</x:v>
      </x:c>
      <x:c r="AE97" s="40" t="n">
        <x:f>X97+Z97+AB97</x:f>
        <x:v>2812.984251064488</x:v>
      </x:c>
      <x:c r="AF97" s="40" t="n">
        <x:f>AD97-AE97</x:f>
        <x:v>0</x:v>
      </x:c>
      <x:c r="AG97" s="42" t="n">
        <x:f>(O97+S97)/'Inputs &amp; Summary'!$B$4</x:f>
        <x:v>0.6</x:v>
      </x:c>
      <x:c r="AH97" s="40" t="n">
        <x:f>U97-O97-S97</x:f>
        <x:v>-306983.03724315687</x:v>
      </x:c>
      <x:c r="AI97" s="40" t="n">
        <x:f>AC97-Y97</x:f>
        <x:v>-311091.1620309486</x:v>
      </x:c>
      <x:c r="AJ97" s="40" t="n">
        <x:f>AH97-AI97</x:f>
        <x:v>4108.1247877917485</x:v>
      </x:c>
    </x:row>
    <x:row r="98">
      <x:c r="A98" t="n">
        <x:f>A97+1</x:f>
        <x:v>94</x:v>
      </x:c>
      <x:c r="B98" t="n">
        <x:f>INT((A98-1)/12)+1</x:f>
        <x:v>8</x:v>
      </x:c>
      <x:c r="C98" t="n">
        <x:f>MOD(A98-1,12)+1</x:f>
        <x:v>10</x:v>
      </x:c>
      <x:c r="D98" s="40" t="n">
        <x:f>O97</x:f>
        <x:v>328735.0975736531</x:v>
      </x:c>
      <x:c r="E98" s="40" t="n">
        <x:f>D98*'Inputs &amp; Summary'!$B$15</x:f>
        <x:v>1221.355942941547</x:v>
      </x:c>
      <x:c r="F98" s="40" t="n">
        <x:f>IF(D98&lt;=0.00000001,0,MIN('Inputs &amp; Summary'!$B$18,D98+E98))</x:f>
        <x:v>2324.586407999052</x:v>
      </x:c>
      <x:c r="G98" s="40" t="n">
        <x:f>IF(ABS(MAX(0,D98+E98-F98))&lt;0.00000001,0,MAX(0,D98+E98-F98))</x:f>
        <x:v>327631.8671085956</x:v>
      </x:c>
      <x:c r="H98" s="40" t="n">
        <x:f>MAX(0,'Inputs &amp; Summary'!$B$18-F98)</x:f>
        <x:v>0</x:v>
      </x:c>
      <x:c r="I98" s="40" t="n">
        <x:f>S97</x:f>
        <x:v>91264.9024263469</x:v>
      </x:c>
      <x:c r="J98" s="40" t="n">
        <x:f>I98*'Inputs &amp; Summary'!$B$16</x:f>
        <x:v>494.3515548093791</x:v>
      </x:c>
      <x:c r="K98" s="40" t="n">
        <x:f>IF(C98=1,J98,K97+J98)</x:f>
        <x:v>4678.226032248045</x:v>
      </x:c>
      <x:c r="L98" s="40" t="n">
        <x:f>IF(C98=12,K98*'Inputs &amp; Summary'!$B$11*'Inputs &amp; Summary'!$B$12,0)</x:f>
        <x:v>0</x:v>
      </x:c>
      <x:c r="M98" s="40" t="n">
        <x:f>MIN(L98,G98)</x:f>
        <x:v>0</x:v>
      </x:c>
      <x:c r="N98" s="40" t="n">
        <x:f>MAX(0,L98-M98)</x:f>
        <x:v>0</x:v>
      </x:c>
      <x:c r="O98" s="40" t="n">
        <x:f>IF(ABS(MAX(0,G98-M98))&lt;0.00000001,0,MAX(0,G98-M98))</x:f>
        <x:v>327631.8671085956</x:v>
      </x:c>
      <x:c r="P98" s="40" t="n">
        <x:f>MAX(0,D98-O98)</x:f>
        <x:v>1103.2304650574806</x:v>
      </x:c>
      <x:c r="Q98" s="40" t="n">
        <x:f>MAX(0,'Inputs &amp; Summary'!$B$19*'Inputs &amp; Summary'!$B$4-O98-I98)</x:f>
        <x:v>36103.23046505748</x:v>
      </x:c>
      <x:c r="R98" s="40" t="n">
        <x:f>MIN(P98,Q98)</x:f>
        <x:v>1103.2304650574806</x:v>
      </x:c>
      <x:c r="S98" s="40" t="n">
        <x:f>I98+R98</x:f>
        <x:v>92368.13289140438</x:v>
      </x:c>
      <x:c r="T98" s="40" t="n">
        <x:f>U97</x:f>
        <x:v>113016.96275684313</x:v>
      </x:c>
      <x:c r="U98" s="40" t="n">
        <x:f>T98*(1+'Inputs &amp; Summary'!$B$17)+R98+N98+H98</x:f>
        <x:v>114670.30900286103</x:v>
      </x:c>
      <x:c r="V98" s="40" t="n">
        <x:f>Y97</x:f>
        <x:v>335297.1067955342</x:v>
      </x:c>
      <x:c r="W98" s="40" t="n">
        <x:f>V98*'Inputs &amp; Summary'!$B$15</x:f>
        <x:v>1245.7359042536673</x:v>
      </x:c>
      <x:c r="X98" s="40" t="n">
        <x:f>IF(V98&lt;=0.00000001,0,MIN('Inputs &amp; Summary'!$B$18,V98+W98))</x:f>
        <x:v>2324.586407999052</x:v>
      </x:c>
      <x:c r="Y98" s="40" t="n">
        <x:f>IF(ABS(MAX(0,V98+W98-X98))&lt;0.00000001,0,MAX(0,V98+W98-X98))</x:f>
        <x:v>334218.2562917888</x:v>
      </x:c>
      <x:c r="Z98" s="40" t="n">
        <x:f>MAX(0,'Inputs &amp; Summary'!$B$18-X98)</x:f>
        <x:v>0</x:v>
      </x:c>
      <x:c r="AA98" s="40" t="n">
        <x:f>AC97</x:f>
        <x:v>24205.94476458558</x:v>
      </x:c>
      <x:c r="AB98" s="40" t="n">
        <x:f>J98</x:f>
        <x:v>494.3515548093791</x:v>
      </x:c>
      <x:c r="AC98" s="40" t="n">
        <x:f>AA98*(1+'Inputs &amp; Summary'!$B$17)+Z98+AB98</x:f>
        <x:v>24818.11997951848</x:v>
      </x:c>
      <x:c r="AD98" s="40" t="n">
        <x:f>F98+H98+J98</x:f>
        <x:v>2818.937962808431</x:v>
      </x:c>
      <x:c r="AE98" s="40" t="n">
        <x:f>X98+Z98+AB98</x:f>
        <x:v>2818.937962808431</x:v>
      </x:c>
      <x:c r="AF98" s="40" t="n">
        <x:f>AD98-AE98</x:f>
        <x:v>0</x:v>
      </x:c>
      <x:c r="AG98" s="42" t="n">
        <x:f>(O98+S98)/'Inputs &amp; Summary'!$B$4</x:f>
        <x:v>0.6</x:v>
      </x:c>
      <x:c r="AH98" s="40" t="n">
        <x:f>U98-O98-S98</x:f>
        <x:v>-305329.69099713897</x:v>
      </x:c>
      <x:c r="AI98" s="40" t="n">
        <x:f>AC98-Y98</x:f>
        <x:v>-309400.13631227036</x:v>
      </x:c>
      <x:c r="AJ98" s="40" t="n">
        <x:f>AH98-AI98</x:f>
        <x:v>4070.4453151313937</x:v>
      </x:c>
    </x:row>
    <x:row r="99">
      <x:c r="A99" t="n">
        <x:f>A98+1</x:f>
        <x:v>95</x:v>
      </x:c>
      <x:c r="B99" t="n">
        <x:f>INT((A99-1)/12)+1</x:f>
        <x:v>8</x:v>
      </x:c>
      <x:c r="C99" t="n">
        <x:f>MOD(A99-1,12)+1</x:f>
        <x:v>11</x:v>
      </x:c>
      <x:c r="D99" s="40" t="n">
        <x:f>O98</x:f>
        <x:v>327631.8671085956</x:v>
      </x:c>
      <x:c r="E99" s="40" t="n">
        <x:f>D99*'Inputs &amp; Summary'!$B$15</x:f>
        <x:v>1217.2570891991954</x:v>
      </x:c>
      <x:c r="F99" s="40" t="n">
        <x:f>IF(D99&lt;=0.00000001,0,MIN('Inputs &amp; Summary'!$B$18,D99+E99))</x:f>
        <x:v>2324.586407999052</x:v>
      </x:c>
      <x:c r="G99" s="40" t="n">
        <x:f>IF(ABS(MAX(0,D99+E99-F99))&lt;0.00000001,0,MAX(0,D99+E99-F99))</x:f>
        <x:v>326524.5377897958</x:v>
      </x:c>
      <x:c r="H99" s="40" t="n">
        <x:f>MAX(0,'Inputs &amp; Summary'!$B$18-F99)</x:f>
        <x:v>0</x:v>
      </x:c>
      <x:c r="I99" s="40" t="n">
        <x:f>S98</x:f>
        <x:v>92368.13289140438</x:v>
      </x:c>
      <x:c r="J99" s="40" t="n">
        <x:f>I99*'Inputs &amp; Summary'!$B$16</x:f>
        <x:v>500.3273864951071</x:v>
      </x:c>
      <x:c r="K99" s="40" t="n">
        <x:f>IF(C99=1,J99,K98+J99)</x:f>
        <x:v>5178.553418743152</x:v>
      </x:c>
      <x:c r="L99" s="40" t="n">
        <x:f>IF(C99=12,K99*'Inputs &amp; Summary'!$B$11*'Inputs &amp; Summary'!$B$12,0)</x:f>
        <x:v>0</x:v>
      </x:c>
      <x:c r="M99" s="40" t="n">
        <x:f>MIN(L99,G99)</x:f>
        <x:v>0</x:v>
      </x:c>
      <x:c r="N99" s="40" t="n">
        <x:f>MAX(0,L99-M99)</x:f>
        <x:v>0</x:v>
      </x:c>
      <x:c r="O99" s="40" t="n">
        <x:f>IF(ABS(MAX(0,G99-M99))&lt;0.00000001,0,MAX(0,G99-M99))</x:f>
        <x:v>326524.5377897958</x:v>
      </x:c>
      <x:c r="P99" s="40" t="n">
        <x:f>MAX(0,D99-O99)</x:f>
        <x:v>1107.3293187998352</x:v>
      </x:c>
      <x:c r="Q99" s="40" t="n">
        <x:f>MAX(0,'Inputs &amp; Summary'!$B$19*'Inputs &amp; Summary'!$B$4-O99-I99)</x:f>
        <x:v>36107.329318799835</x:v>
      </x:c>
      <x:c r="R99" s="40" t="n">
        <x:f>MIN(P99,Q99)</x:f>
        <x:v>1107.3293187998352</x:v>
      </x:c>
      <x:c r="S99" s="40" t="n">
        <x:f>I99+R99</x:f>
        <x:v>93475.46221020422</x:v>
      </x:c>
      <x:c r="T99" s="40" t="n">
        <x:f>U98</x:f>
        <x:v>114670.30900286103</x:v>
      </x:c>
      <x:c r="U99" s="40" t="n">
        <x:f>T99*(1+'Inputs &amp; Summary'!$B$17)+R99+N99+H99</x:f>
        <x:v>116335.80184907581</x:v>
      </x:c>
      <x:c r="V99" s="40" t="n">
        <x:f>Y98</x:f>
        <x:v>334218.2562917888</x:v>
      </x:c>
      <x:c r="W99" s="40" t="n">
        <x:f>V99*'Inputs &amp; Summary'!$B$15</x:f>
        <x:v>1241.7276298588115</x:v>
      </x:c>
      <x:c r="X99" s="40" t="n">
        <x:f>IF(V99&lt;=0.00000001,0,MIN('Inputs &amp; Summary'!$B$18,V99+W99))</x:f>
        <x:v>2324.586407999052</x:v>
      </x:c>
      <x:c r="Y99" s="40" t="n">
        <x:f>IF(ABS(MAX(0,V99+W99-X99))&lt;0.00000001,0,MAX(0,V99+W99-X99))</x:f>
        <x:v>333135.3975136486</x:v>
      </x:c>
      <x:c r="Z99" s="40" t="n">
        <x:f>MAX(0,'Inputs &amp; Summary'!$B$18-X99)</x:f>
        <x:v>0</x:v>
      </x:c>
      <x:c r="AA99" s="40" t="n">
        <x:f>AC98</x:f>
        <x:v>24818.11997951848</x:v>
      </x:c>
      <x:c r="AB99" s="40" t="n">
        <x:f>J99</x:f>
        <x:v>500.3273864951071</x:v>
      </x:c>
      <x:c r="AC99" s="40" t="n">
        <x:f>AA99*(1+'Inputs &amp; Summary'!$B$17)+Z99+AB99</x:f>
        <x:v>25439.250819950645</x:v>
      </x:c>
      <x:c r="AD99" s="40" t="n">
        <x:f>F99+H99+J99</x:f>
        <x:v>2824.913794494159</x:v>
      </x:c>
      <x:c r="AE99" s="40" t="n">
        <x:f>X99+Z99+AB99</x:f>
        <x:v>2824.913794494159</x:v>
      </x:c>
      <x:c r="AF99" s="40" t="n">
        <x:f>AD99-AE99</x:f>
        <x:v>0</x:v>
      </x:c>
      <x:c r="AG99" s="42" t="n">
        <x:f>(O99+S99)/'Inputs &amp; Summary'!$B$4</x:f>
        <x:v>0.6</x:v>
      </x:c>
      <x:c r="AH99" s="40" t="n">
        <x:f>U99-O99-S99</x:f>
        <x:v>-303664.1981509242</x:v>
      </x:c>
      <x:c r="AI99" s="40" t="n">
        <x:f>AC99-Y99</x:f>
        <x:v>-307696.14669369796</x:v>
      </x:c>
      <x:c r="AJ99" s="40" t="n">
        <x:f>AH99-AI99</x:f>
        <x:v>4031.948542773782</x:v>
      </x:c>
    </x:row>
    <x:row r="100">
      <x:c r="A100" t="n">
        <x:f>A99+1</x:f>
        <x:v>96</x:v>
      </x:c>
      <x:c r="B100" t="n">
        <x:f>INT((A100-1)/12)+1</x:f>
        <x:v>8</x:v>
      </x:c>
      <x:c r="C100" t="n">
        <x:f>MOD(A100-1,12)+1</x:f>
        <x:v>12</x:v>
      </x:c>
      <x:c r="D100" s="40" t="n">
        <x:f>O99</x:f>
        <x:v>326524.5377897958</x:v>
      </x:c>
      <x:c r="E100" s="40" t="n">
        <x:f>D100*'Inputs &amp; Summary'!$B$15</x:f>
        <x:v>1213.1430069053004</x:v>
      </x:c>
      <x:c r="F100" s="40" t="n">
        <x:f>IF(D100&lt;=0.00000001,0,MIN('Inputs &amp; Summary'!$B$18,D100+E100))</x:f>
        <x:v>2324.586407999052</x:v>
      </x:c>
      <x:c r="G100" s="40" t="n">
        <x:f>IF(ABS(MAX(0,D100+E100-F100))&lt;0.00000001,0,MAX(0,D100+E100-F100))</x:f>
        <x:v>325413.094388702</x:v>
      </x:c>
      <x:c r="H100" s="40" t="n">
        <x:f>MAX(0,'Inputs &amp; Summary'!$B$18-F100)</x:f>
        <x:v>0</x:v>
      </x:c>
      <x:c r="I100" s="40" t="n">
        <x:f>S99</x:f>
        <x:v>93475.46221020422</x:v>
      </x:c>
      <x:c r="J100" s="40" t="n">
        <x:f>I100*'Inputs &amp; Summary'!$B$16</x:f>
        <x:v>506.32542030527287</x:v>
      </x:c>
      <x:c r="K100" s="40" t="n">
        <x:f>IF(C100=1,J100,K99+J100)</x:f>
        <x:v>5684.878839048425</x:v>
      </x:c>
      <x:c r="L100" s="40" t="n">
        <x:f>IF(C100=12,K100*'Inputs &amp; Summary'!$B$11*'Inputs &amp; Summary'!$B$12,0)</x:f>
        <x:v>1989.7075936669487</x:v>
      </x:c>
      <x:c r="M100" s="40" t="n">
        <x:f>MIN(L100,G100)</x:f>
        <x:v>1989.7075936669487</x:v>
      </x:c>
      <x:c r="N100" s="40" t="n">
        <x:f>MAX(0,L100-M100)</x:f>
        <x:v>0</x:v>
      </x:c>
      <x:c r="O100" s="40" t="n">
        <x:f>IF(ABS(MAX(0,G100-M100))&lt;0.00000001,0,MAX(0,G100-M100))</x:f>
        <x:v>323423.38679503504</x:v>
      </x:c>
      <x:c r="P100" s="40" t="n">
        <x:f>MAX(0,D100-O100)</x:f>
        <x:v>3101.150994760741</x:v>
      </x:c>
      <x:c r="Q100" s="40" t="n">
        <x:f>MAX(0,'Inputs &amp; Summary'!$B$19*'Inputs &amp; Summary'!$B$4-O100-I100)</x:f>
        <x:v>38101.15099476074</x:v>
      </x:c>
      <x:c r="R100" s="40" t="n">
        <x:f>MIN(P100,Q100)</x:f>
        <x:v>3101.150994760741</x:v>
      </x:c>
      <x:c r="S100" s="40" t="n">
        <x:f>I100+R100</x:f>
        <x:v>96576.61320496496</x:v>
      </x:c>
      <x:c r="T100" s="40" t="n">
        <x:f>U99</x:f>
        <x:v>116335.80184907581</x:v>
      </x:c>
      <x:c r="U100" s="40" t="n">
        <x:f>T100*(1+'Inputs &amp; Summary'!$B$17)+R100+N100+H100</x:f>
        <x:v>120003.22324189666</x:v>
      </x:c>
      <x:c r="V100" s="40" t="n">
        <x:f>Y99</x:f>
        <x:v>333135.3975136486</x:v>
      </x:c>
      <x:c r="W100" s="40" t="n">
        <x:f>V100*'Inputs &amp; Summary'!$B$15</x:f>
        <x:v>1237.7044634436354</x:v>
      </x:c>
      <x:c r="X100" s="40" t="n">
        <x:f>IF(V100&lt;=0.00000001,0,MIN('Inputs &amp; Summary'!$B$18,V100+W100))</x:f>
        <x:v>2324.586407999052</x:v>
      </x:c>
      <x:c r="Y100" s="40" t="n">
        <x:f>IF(ABS(MAX(0,V100+W100-X100))&lt;0.00000001,0,MAX(0,V100+W100-X100))</x:f>
        <x:v>332048.51556909323</x:v>
      </x:c>
      <x:c r="Z100" s="40" t="n">
        <x:f>MAX(0,'Inputs &amp; Summary'!$B$18-X100)</x:f>
        <x:v>0</x:v>
      </x:c>
      <x:c r="AA100" s="40" t="n">
        <x:f>AC99</x:f>
        <x:v>25439.250819950645</x:v>
      </x:c>
      <x:c r="AB100" s="40" t="n">
        <x:f>J100</x:f>
        <x:v>506.32542030527287</x:v>
      </x:c>
      <x:c r="AC100" s="40" t="n">
        <x:f>AA100*(1+'Inputs &amp; Summary'!$B$17)+Z100+AB100</x:f>
        <x:v>26069.40307996647</x:v>
      </x:c>
      <x:c r="AD100" s="40" t="n">
        <x:f>F100+H100+J100</x:f>
        <x:v>2830.911828304325</x:v>
      </x:c>
      <x:c r="AE100" s="40" t="n">
        <x:f>X100+Z100+AB100</x:f>
        <x:v>2830.911828304325</x:v>
      </x:c>
      <x:c r="AF100" s="40" t="n">
        <x:f>AD100-AE100</x:f>
        <x:v>0</x:v>
      </x:c>
      <x:c r="AG100" s="42" t="n">
        <x:f>(O100+S100)/'Inputs &amp; Summary'!$B$4</x:f>
        <x:v>0.6</x:v>
      </x:c>
      <x:c r="AH100" s="40" t="n">
        <x:f>U100-O100-S100</x:f>
        <x:v>-299996.77675810334</x:v>
      </x:c>
      <x:c r="AI100" s="40" t="n">
        <x:f>AC100-Y100</x:f>
        <x:v>-305979.11248912674</x:v>
      </x:c>
      <x:c r="AJ100" s="40" t="n">
        <x:f>AH100-AI100</x:f>
        <x:v>5982.335731023399</x:v>
      </x:c>
    </x:row>
    <x:row r="101">
      <x:c r="A101" t="n">
        <x:f>A100+1</x:f>
        <x:v>97</x:v>
      </x:c>
      <x:c r="B101" t="n">
        <x:f>INT((A101-1)/12)+1</x:f>
        <x:v>9</x:v>
      </x:c>
      <x:c r="C101" t="n">
        <x:f>MOD(A101-1,12)+1</x:f>
        <x:v>1</x:v>
      </x:c>
      <x:c r="D101" s="40" t="n">
        <x:f>O100</x:f>
        <x:v>323423.38679503504</x:v>
      </x:c>
      <x:c r="E101" s="40" t="n">
        <x:f>D101*'Inputs &amp; Summary'!$B$15</x:f>
        <x:v>1201.621239910033</x:v>
      </x:c>
      <x:c r="F101" s="40" t="n">
        <x:f>IF(D101&lt;=0.00000001,0,MIN('Inputs &amp; Summary'!$B$18,D101+E101))</x:f>
        <x:v>2324.586407999052</x:v>
      </x:c>
      <x:c r="G101" s="40" t="n">
        <x:f>IF(ABS(MAX(0,D101+E101-F101))&lt;0.00000001,0,MAX(0,D101+E101-F101))</x:f>
        <x:v>322300.421626946</x:v>
      </x:c>
      <x:c r="H101" s="40" t="n">
        <x:f>MAX(0,'Inputs &amp; Summary'!$B$18-F101)</x:f>
        <x:v>0</x:v>
      </x:c>
      <x:c r="I101" s="40" t="n">
        <x:f>S100</x:f>
        <x:v>96576.61320496496</x:v>
      </x:c>
      <x:c r="J101" s="40" t="n">
        <x:f>I101*'Inputs &amp; Summary'!$B$16</x:f>
        <x:v>523.1233215268935</x:v>
      </x:c>
      <x:c r="K101" s="40" t="n">
        <x:f>IF(C101=1,J101,K100+J101)</x:f>
        <x:v>523.1233215268935</x:v>
      </x:c>
      <x:c r="L101" s="40" t="n">
        <x:f>IF(C101=12,K101*'Inputs &amp; Summary'!$B$11*'Inputs &amp; Summary'!$B$12,0)</x:f>
        <x:v>0</x:v>
      </x:c>
      <x:c r="M101" s="40" t="n">
        <x:f>MIN(L101,G101)</x:f>
        <x:v>0</x:v>
      </x:c>
      <x:c r="N101" s="40" t="n">
        <x:f>MAX(0,L101-M101)</x:f>
        <x:v>0</x:v>
      </x:c>
      <x:c r="O101" s="40" t="n">
        <x:f>IF(ABS(MAX(0,G101-M101))&lt;0.00000001,0,MAX(0,G101-M101))</x:f>
        <x:v>322300.421626946</x:v>
      </x:c>
      <x:c r="P101" s="40" t="n">
        <x:f>MAX(0,D101-O101)</x:f>
        <x:v>1122.9651680890238</x:v>
      </x:c>
      <x:c r="Q101" s="40" t="n">
        <x:f>MAX(0,'Inputs &amp; Summary'!$B$19*'Inputs &amp; Summary'!$B$4-O101-I101)</x:f>
        <x:v>36122.965168089024</x:v>
      </x:c>
      <x:c r="R101" s="40" t="n">
        <x:f>MIN(P101,Q101)</x:f>
        <x:v>1122.9651680890238</x:v>
      </x:c>
      <x:c r="S101" s="40" t="n">
        <x:f>I101+R101</x:f>
        <x:v>97699.57837305398</x:v>
      </x:c>
      <x:c r="T101" s="40" t="n">
        <x:f>U100</x:f>
        <x:v>120003.22324189666</x:v>
      </x:c>
      <x:c r="U101" s="40" t="n">
        <x:f>T101*(1+'Inputs &amp; Summary'!$B$17)+R101+N101+H101</x:f>
        <x:v>121710.31016711977</x:v>
      </x:c>
      <x:c r="V101" s="40" t="n">
        <x:f>Y100</x:f>
        <x:v>332048.51556909323</x:v>
      </x:c>
      <x:c r="W101" s="40" t="n">
        <x:f>V101*'Inputs &amp; Summary'!$B$15</x:f>
        <x:v>1233.6663496795243</x:v>
      </x:c>
      <x:c r="X101" s="40" t="n">
        <x:f>IF(V101&lt;=0.00000001,0,MIN('Inputs &amp; Summary'!$B$18,V101+W101))</x:f>
        <x:v>2324.586407999052</x:v>
      </x:c>
      <x:c r="Y101" s="40" t="n">
        <x:f>IF(ABS(MAX(0,V101+W101-X101))&lt;0.00000001,0,MAX(0,V101+W101-X101))</x:f>
        <x:v>330957.5955107737</x:v>
      </x:c>
      <x:c r="Z101" s="40" t="n">
        <x:f>MAX(0,'Inputs &amp; Summary'!$B$18-X101)</x:f>
        <x:v>0</x:v>
      </x:c>
      <x:c r="AA101" s="40" t="n">
        <x:f>AC100</x:f>
        <x:v>26069.40307996647</x:v>
      </x:c>
      <x:c r="AB101" s="40" t="n">
        <x:f>J101</x:f>
        <x:v>523.1233215268935</x:v>
      </x:c>
      <x:c r="AC101" s="40" t="n">
        <x:f>AA101*(1+'Inputs &amp; Summary'!$B$17)+Z101+AB101</x:f>
        <x:v>26719.420539193412</x:v>
      </x:c>
      <x:c r="AD101" s="40" t="n">
        <x:f>F101+H101+J101</x:f>
        <x:v>2847.7097295259455</x:v>
      </x:c>
      <x:c r="AE101" s="40" t="n">
        <x:f>X101+Z101+AB101</x:f>
        <x:v>2847.7097295259455</x:v>
      </x:c>
      <x:c r="AF101" s="40" t="n">
        <x:f>AD101-AE101</x:f>
        <x:v>0</x:v>
      </x:c>
      <x:c r="AG101" s="42" t="n">
        <x:f>(O101+S101)/'Inputs &amp; Summary'!$B$4</x:f>
        <x:v>0.6</x:v>
      </x:c>
      <x:c r="AH101" s="40" t="n">
        <x:f>U101-O101-S101</x:f>
        <x:v>-298289.6898328802</x:v>
      </x:c>
      <x:c r="AI101" s="40" t="n">
        <x:f>AC101-Y101</x:f>
        <x:v>-304238.1749715803</x:v>
      </x:c>
      <x:c r="AJ101" s="40" t="n">
        <x:f>AH101-AI101</x:f>
        <x:v>5948.485138700053</x:v>
      </x:c>
    </x:row>
    <x:row r="102">
      <x:c r="A102" t="n">
        <x:f>A101+1</x:f>
        <x:v>98</x:v>
      </x:c>
      <x:c r="B102" t="n">
        <x:f>INT((A102-1)/12)+1</x:f>
        <x:v>9</x:v>
      </x:c>
      <x:c r="C102" t="n">
        <x:f>MOD(A102-1,12)+1</x:f>
        <x:v>2</x:v>
      </x:c>
      <x:c r="D102" s="40" t="n">
        <x:f>O101</x:f>
        <x:v>322300.421626946</x:v>
      </x:c>
      <x:c r="E102" s="40" t="n">
        <x:f>D102*'Inputs &amp; Summary'!$B$15</x:f>
        <x:v>1197.4490654392052</x:v>
      </x:c>
      <x:c r="F102" s="40" t="n">
        <x:f>IF(D102&lt;=0.00000001,0,MIN('Inputs &amp; Summary'!$B$18,D102+E102))</x:f>
        <x:v>2324.586407999052</x:v>
      </x:c>
      <x:c r="G102" s="40" t="n">
        <x:f>IF(ABS(MAX(0,D102+E102-F102))&lt;0.00000001,0,MAX(0,D102+E102-F102))</x:f>
        <x:v>321173.2842843862</x:v>
      </x:c>
      <x:c r="H102" s="40" t="n">
        <x:f>MAX(0,'Inputs &amp; Summary'!$B$18-F102)</x:f>
        <x:v>0</x:v>
      </x:c>
      <x:c r="I102" s="40" t="n">
        <x:f>S101</x:f>
        <x:v>97699.57837305398</x:v>
      </x:c>
      <x:c r="J102" s="40" t="n">
        <x:f>I102*'Inputs &amp; Summary'!$B$16</x:f>
        <x:v>529.2060495207091</x:v>
      </x:c>
      <x:c r="K102" s="40" t="n">
        <x:f>IF(C102=1,J102,K101+J102)</x:f>
        <x:v>1052.3293710476028</x:v>
      </x:c>
      <x:c r="L102" s="40" t="n">
        <x:f>IF(C102=12,K102*'Inputs &amp; Summary'!$B$11*'Inputs &amp; Summary'!$B$12,0)</x:f>
        <x:v>0</x:v>
      </x:c>
      <x:c r="M102" s="40" t="n">
        <x:f>MIN(L102,G102)</x:f>
        <x:v>0</x:v>
      </x:c>
      <x:c r="N102" s="40" t="n">
        <x:f>MAX(0,L102-M102)</x:f>
        <x:v>0</x:v>
      </x:c>
      <x:c r="O102" s="40" t="n">
        <x:f>IF(ABS(MAX(0,G102-M102))&lt;0.00000001,0,MAX(0,G102-M102))</x:f>
        <x:v>321173.2842843862</x:v>
      </x:c>
      <x:c r="P102" s="40" t="n">
        <x:f>MAX(0,D102-O102)</x:f>
        <x:v>1127.137342559814</x:v>
      </x:c>
      <x:c r="Q102" s="40" t="n">
        <x:f>MAX(0,'Inputs &amp; Summary'!$B$19*'Inputs &amp; Summary'!$B$4-O102-I102)</x:f>
        <x:v>36127.137342559814</x:v>
      </x:c>
      <x:c r="R102" s="40" t="n">
        <x:f>MIN(P102,Q102)</x:f>
        <x:v>1127.137342559814</x:v>
      </x:c>
      <x:c r="S102" s="40" t="n">
        <x:f>I102+R102</x:f>
        <x:v>98826.7157156138</x:v>
      </x:c>
      <x:c r="T102" s="40" t="n">
        <x:f>U101</x:f>
        <x:v>121710.31016711977</x:v>
      </x:c>
      <x:c r="U102" s="40" t="n">
        <x:f>T102*(1+'Inputs &amp; Summary'!$B$17)+R102+N102+H102</x:f>
        <x:v>123429.87859874162</x:v>
      </x:c>
      <x:c r="V102" s="40" t="n">
        <x:f>Y101</x:f>
        <x:v>330957.5955107737</x:v>
      </x:c>
      <x:c r="W102" s="40" t="n">
        <x:f>V102*'Inputs &amp; Summary'!$B$15</x:f>
        <x:v>1229.6132330322998</x:v>
      </x:c>
      <x:c r="X102" s="40" t="n">
        <x:f>IF(V102&lt;=0.00000001,0,MIN('Inputs &amp; Summary'!$B$18,V102+W102))</x:f>
        <x:v>2324.586407999052</x:v>
      </x:c>
      <x:c r="Y102" s="40" t="n">
        <x:f>IF(ABS(MAX(0,V102+W102-X102))&lt;0.00000001,0,MAX(0,V102+W102-X102))</x:f>
        <x:v>329862.62233580695</x:v>
      </x:c>
      <x:c r="Z102" s="40" t="n">
        <x:f>MAX(0,'Inputs &amp; Summary'!$B$18-X102)</x:f>
        <x:v>0</x:v>
      </x:c>
      <x:c r="AA102" s="40" t="n">
        <x:f>AC101</x:f>
        <x:v>26719.420539193412</x:v>
      </x:c>
      <x:c r="AB102" s="40" t="n">
        <x:f>J102</x:f>
        <x:v>529.2060495207091</x:v>
      </x:c>
      <x:c r="AC102" s="40" t="n">
        <x:f>AA102*(1+'Inputs &amp; Summary'!$B$17)+Z102+AB102</x:f>
        <x:v>27378.684719265308</x:v>
      </x:c>
      <x:c r="AD102" s="40" t="n">
        <x:f>F102+H102+J102</x:f>
        <x:v>2853.7924575197612</x:v>
      </x:c>
      <x:c r="AE102" s="40" t="n">
        <x:f>X102+Z102+AB102</x:f>
        <x:v>2853.7924575197612</x:v>
      </x:c>
      <x:c r="AF102" s="40" t="n">
        <x:f>AD102-AE102</x:f>
        <x:v>0</x:v>
      </x:c>
      <x:c r="AG102" s="42" t="n">
        <x:f>(O102+S102)/'Inputs &amp; Summary'!$B$4</x:f>
        <x:v>0.6</x:v>
      </x:c>
      <x:c r="AH102" s="40" t="n">
        <x:f>U102-O102-S102</x:f>
        <x:v>-296570.1214012584</x:v>
      </x:c>
      <x:c r="AI102" s="40" t="n">
        <x:f>AC102-Y102</x:f>
        <x:v>-302483.93761654163</x:v>
      </x:c>
      <x:c r="AJ102" s="40" t="n">
        <x:f>AH102-AI102</x:f>
        <x:v>5913.816215283237</x:v>
      </x:c>
    </x:row>
    <x:row r="103">
      <x:c r="A103" t="n">
        <x:f>A102+1</x:f>
        <x:v>99</x:v>
      </x:c>
      <x:c r="B103" t="n">
        <x:f>INT((A103-1)/12)+1</x:f>
        <x:v>9</x:v>
      </x:c>
      <x:c r="C103" t="n">
        <x:f>MOD(A103-1,12)+1</x:f>
        <x:v>3</x:v>
      </x:c>
      <x:c r="D103" s="40" t="n">
        <x:f>O102</x:f>
        <x:v>321173.2842843862</x:v>
      </x:c>
      <x:c r="E103" s="40" t="n">
        <x:f>D103*'Inputs &amp; Summary'!$B$15</x:f>
        <x:v>1193.2613900068966</x:v>
      </x:c>
      <x:c r="F103" s="40" t="n">
        <x:f>IF(D103&lt;=0.00000001,0,MIN('Inputs &amp; Summary'!$B$18,D103+E103))</x:f>
        <x:v>2324.586407999052</x:v>
      </x:c>
      <x:c r="G103" s="40" t="n">
        <x:f>IF(ABS(MAX(0,D103+E103-F103))&lt;0.00000001,0,MAX(0,D103+E103-F103))</x:f>
        <x:v>320041.959266394</x:v>
      </x:c>
      <x:c r="H103" s="40" t="n">
        <x:f>MAX(0,'Inputs &amp; Summary'!$B$18-F103)</x:f>
        <x:v>0</x:v>
      </x:c>
      <x:c r="I103" s="40" t="n">
        <x:f>S102</x:f>
        <x:v>98826.7157156138</x:v>
      </x:c>
      <x:c r="J103" s="40" t="n">
        <x:f>I103*'Inputs &amp; Summary'!$B$16</x:f>
        <x:v>535.311376792908</x:v>
      </x:c>
      <x:c r="K103" s="40" t="n">
        <x:f>IF(C103=1,J103,K102+J103)</x:f>
        <x:v>1587.6407478405108</x:v>
      </x:c>
      <x:c r="L103" s="40" t="n">
        <x:f>IF(C103=12,K103*'Inputs &amp; Summary'!$B$11*'Inputs &amp; Summary'!$B$12,0)</x:f>
        <x:v>0</x:v>
      </x:c>
      <x:c r="M103" s="40" t="n">
        <x:f>MIN(L103,G103)</x:f>
        <x:v>0</x:v>
      </x:c>
      <x:c r="N103" s="40" t="n">
        <x:f>MAX(0,L103-M103)</x:f>
        <x:v>0</x:v>
      </x:c>
      <x:c r="O103" s="40" t="n">
        <x:f>IF(ABS(MAX(0,G103-M103))&lt;0.00000001,0,MAX(0,G103-M103))</x:f>
        <x:v>320041.959266394</x:v>
      </x:c>
      <x:c r="P103" s="40" t="n">
        <x:f>MAX(0,D103-O103)</x:f>
        <x:v>1131.3250179921743</x:v>
      </x:c>
      <x:c r="Q103" s="40" t="n">
        <x:f>MAX(0,'Inputs &amp; Summary'!$B$19*'Inputs &amp; Summary'!$B$4-O103-I103)</x:f>
        <x:v>36131.325017992174</x:v>
      </x:c>
      <x:c r="R103" s="40" t="n">
        <x:f>MIN(P103,Q103)</x:f>
        <x:v>1131.3250179921743</x:v>
      </x:c>
      <x:c r="S103" s="40" t="n">
        <x:f>I103+R103</x:f>
        <x:v>99958.04073360597</x:v>
      </x:c>
      <x:c r="T103" s="40" t="n">
        <x:f>U102</x:f>
        <x:v>123429.87859874162</x:v>
      </x:c>
      <x:c r="U103" s="40" t="n">
        <x:f>T103*(1+'Inputs &amp; Summary'!$B$17)+R103+N103+H103</x:f>
        <x:v>125162.00479208732</x:v>
      </x:c>
      <x:c r="V103" s="40" t="n">
        <x:f>Y102</x:f>
        <x:v>329862.62233580695</x:v>
      </x:c>
      <x:c r="W103" s="40" t="n">
        <x:f>V103*'Inputs &amp; Summary'!$B$15</x:f>
        <x:v>1225.5450577614572</x:v>
      </x:c>
      <x:c r="X103" s="40" t="n">
        <x:f>IF(V103&lt;=0.00000001,0,MIN('Inputs &amp; Summary'!$B$18,V103+W103))</x:f>
        <x:v>2324.586407999052</x:v>
      </x:c>
      <x:c r="Y103" s="40" t="n">
        <x:f>IF(ABS(MAX(0,V103+W103-X103))&lt;0.00000001,0,MAX(0,V103+W103-X103))</x:f>
        <x:v>328763.5809855694</x:v>
      </x:c>
      <x:c r="Z103" s="40" t="n">
        <x:f>MAX(0,'Inputs &amp; Summary'!$B$18-X103)</x:f>
        <x:v>0</x:v>
      </x:c>
      <x:c r="AA103" s="40" t="n">
        <x:f>AC102</x:f>
        <x:v>27378.684719265308</x:v>
      </x:c>
      <x:c r="AB103" s="40" t="n">
        <x:f>J103</x:f>
        <x:v>535.311376792908</x:v>
      </x:c>
      <x:c r="AC103" s="40" t="n">
        <x:f>AA103*(1+'Inputs &amp; Summary'!$B$17)+Z103+AB103</x:f>
        <x:v>28047.263228341828</x:v>
      </x:c>
      <x:c r="AD103" s="40" t="n">
        <x:f>F103+H103+J103</x:f>
        <x:v>2859.89778479196</x:v>
      </x:c>
      <x:c r="AE103" s="40" t="n">
        <x:f>X103+Z103+AB103</x:f>
        <x:v>2859.89778479196</x:v>
      </x:c>
      <x:c r="AF103" s="40" t="n">
        <x:f>AD103-AE103</x:f>
        <x:v>0</x:v>
      </x:c>
      <x:c r="AG103" s="42" t="n">
        <x:f>(O103+S103)/'Inputs &amp; Summary'!$B$4</x:f>
        <x:v>0.6</x:v>
      </x:c>
      <x:c r="AH103" s="40" t="n">
        <x:f>U103-O103-S103</x:f>
        <x:v>-294837.9952079127</x:v>
      </x:c>
      <x:c r="AI103" s="40" t="n">
        <x:f>AC103-Y103</x:f>
        <x:v>-300716.3177572276</x:v>
      </x:c>
      <x:c r="AJ103" s="40" t="n">
        <x:f>AH103-AI103</x:f>
        <x:v>5878.322549314878</x:v>
      </x:c>
    </x:row>
    <x:row r="104">
      <x:c r="A104" t="n">
        <x:f>A103+1</x:f>
        <x:v>100</x:v>
      </x:c>
      <x:c r="B104" t="n">
        <x:f>INT((A104-1)/12)+1</x:f>
        <x:v>9</x:v>
      </x:c>
      <x:c r="C104" t="n">
        <x:f>MOD(A104-1,12)+1</x:f>
        <x:v>4</x:v>
      </x:c>
      <x:c r="D104" s="40" t="n">
        <x:f>O103</x:f>
        <x:v>320041.959266394</x:v>
      </x:c>
      <x:c r="E104" s="40" t="n">
        <x:f>D104*'Inputs &amp; Summary'!$B$15</x:f>
        <x:v>1189.0581560220812</x:v>
      </x:c>
      <x:c r="F104" s="40" t="n">
        <x:f>IF(D104&lt;=0.00000001,0,MIN('Inputs &amp; Summary'!$B$18,D104+E104))</x:f>
        <x:v>2324.586407999052</x:v>
      </x:c>
      <x:c r="G104" s="40" t="n">
        <x:f>IF(ABS(MAX(0,D104+E104-F104))&lt;0.00000001,0,MAX(0,D104+E104-F104))</x:f>
        <x:v>318906.4310144171</x:v>
      </x:c>
      <x:c r="H104" s="40" t="n">
        <x:f>MAX(0,'Inputs &amp; Summary'!$B$18-F104)</x:f>
        <x:v>0</x:v>
      </x:c>
      <x:c r="I104" s="40" t="n">
        <x:f>S103</x:f>
        <x:v>99958.04073360597</x:v>
      </x:c>
      <x:c r="J104" s="40" t="n">
        <x:f>I104*'Inputs &amp; Summary'!$B$16</x:f>
        <x:v>541.4393873070323</x:v>
      </x:c>
      <x:c r="K104" s="40" t="n">
        <x:f>IF(C104=1,J104,K103+J104)</x:f>
        <x:v>2129.080135147543</x:v>
      </x:c>
      <x:c r="L104" s="40" t="n">
        <x:f>IF(C104=12,K104*'Inputs &amp; Summary'!$B$11*'Inputs &amp; Summary'!$B$12,0)</x:f>
        <x:v>0</x:v>
      </x:c>
      <x:c r="M104" s="40" t="n">
        <x:f>MIN(L104,G104)</x:f>
        <x:v>0</x:v>
      </x:c>
      <x:c r="N104" s="40" t="n">
        <x:f>MAX(0,L104-M104)</x:f>
        <x:v>0</x:v>
      </x:c>
      <x:c r="O104" s="40" t="n">
        <x:f>IF(ABS(MAX(0,G104-M104))&lt;0.00000001,0,MAX(0,G104-M104))</x:f>
        <x:v>318906.4310144171</x:v>
      </x:c>
      <x:c r="P104" s="40" t="n">
        <x:f>MAX(0,D104-O104)</x:f>
        <x:v>1135.528251976939</x:v>
      </x:c>
      <x:c r="Q104" s="40" t="n">
        <x:f>MAX(0,'Inputs &amp; Summary'!$B$19*'Inputs &amp; Summary'!$B$4-O104-I104)</x:f>
        <x:v>36135.52825197694</x:v>
      </x:c>
      <x:c r="R104" s="40" t="n">
        <x:f>MIN(P104,Q104)</x:f>
        <x:v>1135.528251976939</x:v>
      </x:c>
      <x:c r="S104" s="40" t="n">
        <x:f>I104+R104</x:f>
        <x:v>101093.56898558291</x:v>
      </x:c>
      <x:c r="T104" s="40" t="n">
        <x:f>U103</x:f>
        <x:v>125162.00479208732</x:v>
      </x:c>
      <x:c r="U104" s="40" t="n">
        <x:f>T104*(1+'Inputs &amp; Summary'!$B$17)+R104+N104+H104</x:f>
        <x:v>126906.76543124946</x:v>
      </x:c>
      <x:c r="V104" s="40" t="n">
        <x:f>Y103</x:f>
        <x:v>328763.5809855694</x:v>
      </x:c>
      <x:c r="W104" s="40" t="n">
        <x:f>V104*'Inputs &amp; Summary'!$B$15</x:f>
        <x:v>1221.461767919397</x:v>
      </x:c>
      <x:c r="X104" s="40" t="n">
        <x:f>IF(V104&lt;=0.00000001,0,MIN('Inputs &amp; Summary'!$B$18,V104+W104))</x:f>
        <x:v>2324.586407999052</x:v>
      </x:c>
      <x:c r="Y104" s="40" t="n">
        <x:f>IF(ABS(MAX(0,V104+W104-X104))&lt;0.00000001,0,MAX(0,V104+W104-X104))</x:f>
        <x:v>327660.4563454898</x:v>
      </x:c>
      <x:c r="Z104" s="40" t="n">
        <x:f>MAX(0,'Inputs &amp; Summary'!$B$18-X104)</x:f>
        <x:v>0</x:v>
      </x:c>
      <x:c r="AA104" s="40" t="n">
        <x:f>AC103</x:f>
        <x:v>28047.263228341828</x:v>
      </x:c>
      <x:c r="AB104" s="40" t="n">
        <x:f>J104</x:f>
        <x:v>541.4393873070323</x:v>
      </x:c>
      <x:c r="AC104" s="40" t="n">
        <x:f>AA104*(1+'Inputs &amp; Summary'!$B$17)+Z104+AB104</x:f>
        <x:v>28725.2240876323</x:v>
      </x:c>
      <x:c r="AD104" s="40" t="n">
        <x:f>F104+H104+J104</x:f>
        <x:v>2866.0257953060845</x:v>
      </x:c>
      <x:c r="AE104" s="40" t="n">
        <x:f>X104+Z104+AB104</x:f>
        <x:v>2866.0257953060845</x:v>
      </x:c>
      <x:c r="AF104" s="40" t="n">
        <x:f>AD104-AE104</x:f>
        <x:v>0</x:v>
      </x:c>
      <x:c r="AG104" s="42" t="n">
        <x:f>(O104+S104)/'Inputs &amp; Summary'!$B$4</x:f>
        <x:v>0.6</x:v>
      </x:c>
      <x:c r="AH104" s="40" t="n">
        <x:f>U104-O104-S104</x:f>
        <x:v>-293093.23456875054</x:v>
      </x:c>
      <x:c r="AI104" s="40" t="n">
        <x:f>AC104-Y104</x:f>
        <x:v>-298935.23225785745</x:v>
      </x:c>
      <x:c r="AJ104" s="40" t="n">
        <x:f>AH104-AI104</x:f>
        <x:v>5841.997689106909</x:v>
      </x:c>
    </x:row>
    <x:row r="105">
      <x:c r="A105" t="n">
        <x:f>A104+1</x:f>
        <x:v>101</x:v>
      </x:c>
      <x:c r="B105" t="n">
        <x:f>INT((A105-1)/12)+1</x:f>
        <x:v>9</x:v>
      </x:c>
      <x:c r="C105" t="n">
        <x:f>MOD(A105-1,12)+1</x:f>
        <x:v>5</x:v>
      </x:c>
      <x:c r="D105" s="40" t="n">
        <x:f>O104</x:f>
        <x:v>318906.4310144171</x:v>
      </x:c>
      <x:c r="E105" s="40" t="n">
        <x:f>D105*'Inputs &amp; Summary'!$B$15</x:f>
        <x:v>1184.8393056797647</x:v>
      </x:c>
      <x:c r="F105" s="40" t="n">
        <x:f>IF(D105&lt;=0.00000001,0,MIN('Inputs &amp; Summary'!$B$18,D105+E105))</x:f>
        <x:v>2324.586407999052</x:v>
      </x:c>
      <x:c r="G105" s="40" t="n">
        <x:f>IF(ABS(MAX(0,D105+E105-F105))&lt;0.00000001,0,MAX(0,D105+E105-F105))</x:f>
        <x:v>317766.6839120978</x:v>
      </x:c>
      <x:c r="H105" s="40" t="n">
        <x:f>MAX(0,'Inputs &amp; Summary'!$B$18-F105)</x:f>
        <x:v>0</x:v>
      </x:c>
      <x:c r="I105" s="40" t="n">
        <x:f>S104</x:f>
        <x:v>101093.56898558291</x:v>
      </x:c>
      <x:c r="J105" s="40" t="n">
        <x:f>I105*'Inputs &amp; Summary'!$B$16</x:f>
        <x:v>547.5901653385741</x:v>
      </x:c>
      <x:c r="K105" s="40" t="n">
        <x:f>IF(C105=1,J105,K104+J105)</x:f>
        <x:v>2676.670300486117</x:v>
      </x:c>
      <x:c r="L105" s="40" t="n">
        <x:f>IF(C105=12,K105*'Inputs &amp; Summary'!$B$11*'Inputs &amp; Summary'!$B$12,0)</x:f>
        <x:v>0</x:v>
      </x:c>
      <x:c r="M105" s="40" t="n">
        <x:f>MIN(L105,G105)</x:f>
        <x:v>0</x:v>
      </x:c>
      <x:c r="N105" s="40" t="n">
        <x:f>MAX(0,L105-M105)</x:f>
        <x:v>0</x:v>
      </x:c>
      <x:c r="O105" s="40" t="n">
        <x:f>IF(ABS(MAX(0,G105-M105))&lt;0.00000001,0,MAX(0,G105-M105))</x:f>
        <x:v>317766.6839120978</x:v>
      </x:c>
      <x:c r="P105" s="40" t="n">
        <x:f>MAX(0,D105-O105)</x:f>
        <x:v>1139.747102319263</x:v>
      </x:c>
      <x:c r="Q105" s="40" t="n">
        <x:f>MAX(0,'Inputs &amp; Summary'!$B$19*'Inputs &amp; Summary'!$B$4-O105-I105)</x:f>
        <x:v>36139.74710231926</x:v>
      </x:c>
      <x:c r="R105" s="40" t="n">
        <x:f>MIN(P105,Q105)</x:f>
        <x:v>1139.747102319263</x:v>
      </x:c>
      <x:c r="S105" s="40" t="n">
        <x:f>I105+R105</x:f>
        <x:v>102233.31608790217</x:v>
      </x:c>
      <x:c r="T105" s="40" t="n">
        <x:f>U104</x:f>
        <x:v>126906.76543124946</x:v>
      </x:c>
      <x:c r="U105" s="40" t="n">
        <x:f>T105*(1+'Inputs &amp; Summary'!$B$17)+R105+N105+H105</x:f>
        <x:v>128664.23763138945</x:v>
      </x:c>
      <x:c r="V105" s="40" t="n">
        <x:f>Y104</x:f>
        <x:v>327660.4563454898</x:v>
      </x:c>
      <x:c r="W105" s="40" t="n">
        <x:f>V105*'Inputs &amp; Summary'!$B$15</x:f>
        <x:v>1217.3633073506571</x:v>
      </x:c>
      <x:c r="X105" s="40" t="n">
        <x:f>IF(V105&lt;=0.00000001,0,MIN('Inputs &amp; Summary'!$B$18,V105+W105))</x:f>
        <x:v>2324.586407999052</x:v>
      </x:c>
      <x:c r="Y105" s="40" t="n">
        <x:f>IF(ABS(MAX(0,V105+W105-X105))&lt;0.00000001,0,MAX(0,V105+W105-X105))</x:f>
        <x:v>326553.2332448414</x:v>
      </x:c>
      <x:c r="Z105" s="40" t="n">
        <x:f>MAX(0,'Inputs &amp; Summary'!$B$18-X105)</x:f>
        <x:v>0</x:v>
      </x:c>
      <x:c r="AA105" s="40" t="n">
        <x:f>AC104</x:f>
        <x:v>28725.2240876323</x:v>
      </x:c>
      <x:c r="AB105" s="40" t="n">
        <x:f>J105</x:f>
        <x:v>547.5901653385741</x:v>
      </x:c>
      <x:c r="AC105" s="40" t="n">
        <x:f>AA105*(1+'Inputs &amp; Summary'!$B$17)+Z105+AB105</x:f>
        <x:v>29412.635733718234</x:v>
      </x:c>
      <x:c r="AD105" s="40" t="n">
        <x:f>F105+H105+J105</x:f>
        <x:v>2872.176573337626</x:v>
      </x:c>
      <x:c r="AE105" s="40" t="n">
        <x:f>X105+Z105+AB105</x:f>
        <x:v>2872.176573337626</x:v>
      </x:c>
      <x:c r="AF105" s="40" t="n">
        <x:f>AD105-AE105</x:f>
        <x:v>0</x:v>
      </x:c>
      <x:c r="AG105" s="42" t="n">
        <x:f>(O105+S105)/'Inputs &amp; Summary'!$B$4</x:f>
        <x:v>0.6</x:v>
      </x:c>
      <x:c r="AH105" s="40" t="n">
        <x:f>U105-O105-S105</x:f>
        <x:v>-291335.76236861054</x:v>
      </x:c>
      <x:c r="AI105" s="40" t="n">
        <x:f>AC105-Y105</x:f>
        <x:v>-297140.59751112317</x:v>
      </x:c>
      <x:c r="AJ105" s="40" t="n">
        <x:f>AH105-AI105</x:f>
        <x:v>5804.835142512631</x:v>
      </x:c>
    </x:row>
    <x:row r="106">
      <x:c r="A106" t="n">
        <x:f>A105+1</x:f>
        <x:v>102</x:v>
      </x:c>
      <x:c r="B106" t="n">
        <x:f>INT((A106-1)/12)+1</x:f>
        <x:v>9</x:v>
      </x:c>
      <x:c r="C106" t="n">
        <x:f>MOD(A106-1,12)+1</x:f>
        <x:v>6</x:v>
      </x:c>
      <x:c r="D106" s="40" t="n">
        <x:f>O105</x:f>
        <x:v>317766.6839120978</x:v>
      </x:c>
      <x:c r="E106" s="40" t="n">
        <x:f>D106*'Inputs &amp; Summary'!$B$15</x:f>
        <x:v>1180.604780960188</x:v>
      </x:c>
      <x:c r="F106" s="40" t="n">
        <x:f>IF(D106&lt;=0.00000001,0,MIN('Inputs &amp; Summary'!$B$18,D106+E106))</x:f>
        <x:v>2324.586407999052</x:v>
      </x:c>
      <x:c r="G106" s="40" t="n">
        <x:f>IF(ABS(MAX(0,D106+E106-F106))&lt;0.00000001,0,MAX(0,D106+E106-F106))</x:f>
        <x:v>316622.702285059</x:v>
      </x:c>
      <x:c r="H106" s="40" t="n">
        <x:f>MAX(0,'Inputs &amp; Summary'!$B$18-F106)</x:f>
        <x:v>0</x:v>
      </x:c>
      <x:c r="I106" s="40" t="n">
        <x:f>S105</x:f>
        <x:v>102233.31608790217</x:v>
      </x:c>
      <x:c r="J106" s="40" t="n">
        <x:f>I106*'Inputs &amp; Summary'!$B$16</x:f>
        <x:v>553.7637954761368</x:v>
      </x:c>
      <x:c r="K106" s="40" t="n">
        <x:f>IF(C106=1,J106,K105+J106)</x:f>
        <x:v>3230.4340959622537</x:v>
      </x:c>
      <x:c r="L106" s="40" t="n">
        <x:f>IF(C106=12,K106*'Inputs &amp; Summary'!$B$11*'Inputs &amp; Summary'!$B$12,0)</x:f>
        <x:v>0</x:v>
      </x:c>
      <x:c r="M106" s="40" t="n">
        <x:f>MIN(L106,G106)</x:f>
        <x:v>0</x:v>
      </x:c>
      <x:c r="N106" s="40" t="n">
        <x:f>MAX(0,L106-M106)</x:f>
        <x:v>0</x:v>
      </x:c>
      <x:c r="O106" s="40" t="n">
        <x:f>IF(ABS(MAX(0,G106-M106))&lt;0.00000001,0,MAX(0,G106-M106))</x:f>
        <x:v>316622.702285059</x:v>
      </x:c>
      <x:c r="P106" s="40" t="n">
        <x:f>MAX(0,D106-O106)</x:f>
        <x:v>1143.9816270388546</x:v>
      </x:c>
      <x:c r="Q106" s="40" t="n">
        <x:f>MAX(0,'Inputs &amp; Summary'!$B$19*'Inputs &amp; Summary'!$B$4-O106-I106)</x:f>
        <x:v>36143.981627038855</x:v>
      </x:c>
      <x:c r="R106" s="40" t="n">
        <x:f>MIN(P106,Q106)</x:f>
        <x:v>1143.9816270388546</x:v>
      </x:c>
      <x:c r="S106" s="40" t="n">
        <x:f>I106+R106</x:f>
        <x:v>103377.29771494103</x:v>
      </x:c>
      <x:c r="T106" s="40" t="n">
        <x:f>U105</x:f>
        <x:v>128664.23763138945</x:v>
      </x:c>
      <x:c r="U106" s="40" t="n">
        <x:f>T106*(1+'Inputs &amp; Summary'!$B$17)+R106+N106+H106</x:f>
        <x:v>130434.4989410504</x:v>
      </x:c>
      <x:c r="V106" s="40" t="n">
        <x:f>Y105</x:f>
        <x:v>326553.2332448414</x:v>
      </x:c>
      <x:c r="W106" s="40" t="n">
        <x:f>V106*'Inputs &amp; Summary'!$B$15</x:f>
        <x:v>1213.2496196911395</x:v>
      </x:c>
      <x:c r="X106" s="40" t="n">
        <x:f>IF(V106&lt;=0.00000001,0,MIN('Inputs &amp; Summary'!$B$18,V106+W106))</x:f>
        <x:v>2324.586407999052</x:v>
      </x:c>
      <x:c r="Y106" s="40" t="n">
        <x:f>IF(ABS(MAX(0,V106+W106-X106))&lt;0.00000001,0,MAX(0,V106+W106-X106))</x:f>
        <x:v>325441.8964565335</x:v>
      </x:c>
      <x:c r="Z106" s="40" t="n">
        <x:f>MAX(0,'Inputs &amp; Summary'!$B$18-X106)</x:f>
        <x:v>0</x:v>
      </x:c>
      <x:c r="AA106" s="40" t="n">
        <x:f>AC105</x:f>
        <x:v>29412.635733718234</x:v>
      </x:c>
      <x:c r="AB106" s="40" t="n">
        <x:f>J106</x:f>
        <x:v>553.7637954761368</x:v>
      </x:c>
      <x:c r="AC106" s="40" t="n">
        <x:f>AA106*(1+'Inputs &amp; Summary'!$B$17)+Z106+AB106</x:f>
        <x:v>30109.567020888262</x:v>
      </x:c>
      <x:c r="AD106" s="40" t="n">
        <x:f>F106+H106+J106</x:f>
        <x:v>2878.3502034751887</x:v>
      </x:c>
      <x:c r="AE106" s="40" t="n">
        <x:f>X106+Z106+AB106</x:f>
        <x:v>2878.3502034751887</x:v>
      </x:c>
      <x:c r="AF106" s="40" t="n">
        <x:f>AD106-AE106</x:f>
        <x:v>0</x:v>
      </x:c>
      <x:c r="AG106" s="42" t="n">
        <x:f>(O106+S106)/'Inputs &amp; Summary'!$B$4</x:f>
        <x:v>0.6</x:v>
      </x:c>
      <x:c r="AH106" s="40" t="n">
        <x:f>U106-O106-S106</x:f>
        <x:v>-289565.5010589496</x:v>
      </x:c>
      <x:c r="AI106" s="40" t="n">
        <x:f>AC106-Y106</x:f>
        <x:v>-295332.32943564525</x:v>
      </x:c>
      <x:c r="AJ106" s="40" t="n">
        <x:f>AH106-AI106</x:f>
        <x:v>5766.82837669563</x:v>
      </x:c>
    </x:row>
    <x:row r="107">
      <x:c r="A107" t="n">
        <x:f>A106+1</x:f>
        <x:v>103</x:v>
      </x:c>
      <x:c r="B107" t="n">
        <x:f>INT((A107-1)/12)+1</x:f>
        <x:v>9</x:v>
      </x:c>
      <x:c r="C107" t="n">
        <x:f>MOD(A107-1,12)+1</x:f>
        <x:v>7</x:v>
      </x:c>
      <x:c r="D107" s="40" t="n">
        <x:f>O106</x:f>
        <x:v>316622.702285059</x:v>
      </x:c>
      <x:c r="E107" s="40" t="n">
        <x:f>D107*'Inputs &amp; Summary'!$B$15</x:f>
        <x:v>1176.3545236280308</x:v>
      </x:c>
      <x:c r="F107" s="40" t="n">
        <x:f>IF(D107&lt;=0.00000001,0,MIN('Inputs &amp; Summary'!$B$18,D107+E107))</x:f>
        <x:v>2324.586407999052</x:v>
      </x:c>
      <x:c r="G107" s="40" t="n">
        <x:f>IF(ABS(MAX(0,D107+E107-F107))&lt;0.00000001,0,MAX(0,D107+E107-F107))</x:f>
        <x:v>315474.47040068795</x:v>
      </x:c>
      <x:c r="H107" s="40" t="n">
        <x:f>MAX(0,'Inputs &amp; Summary'!$B$18-F107)</x:f>
        <x:v>0</x:v>
      </x:c>
      <x:c r="I107" s="40" t="n">
        <x:f>S106</x:f>
        <x:v>103377.29771494103</x:v>
      </x:c>
      <x:c r="J107" s="40" t="n">
        <x:f>I107*'Inputs &amp; Summary'!$B$16</x:f>
        <x:v>559.9603626225972</x:v>
      </x:c>
      <x:c r="K107" s="40" t="n">
        <x:f>IF(C107=1,J107,K106+J107)</x:f>
        <x:v>3790.394458584851</x:v>
      </x:c>
      <x:c r="L107" s="40" t="n">
        <x:f>IF(C107=12,K107*'Inputs &amp; Summary'!$B$11*'Inputs &amp; Summary'!$B$12,0)</x:f>
        <x:v>0</x:v>
      </x:c>
      <x:c r="M107" s="40" t="n">
        <x:f>MIN(L107,G107)</x:f>
        <x:v>0</x:v>
      </x:c>
      <x:c r="N107" s="40" t="n">
        <x:f>MAX(0,L107-M107)</x:f>
        <x:v>0</x:v>
      </x:c>
      <x:c r="O107" s="40" t="n">
        <x:f>IF(ABS(MAX(0,G107-M107))&lt;0.00000001,0,MAX(0,G107-M107))</x:f>
        <x:v>315474.47040068795</x:v>
      </x:c>
      <x:c r="P107" s="40" t="n">
        <x:f>MAX(0,D107-O107)</x:f>
        <x:v>1148.2318843710236</x:v>
      </x:c>
      <x:c r="Q107" s="40" t="n">
        <x:f>MAX(0,'Inputs &amp; Summary'!$B$19*'Inputs &amp; Summary'!$B$4-O107-I107)</x:f>
        <x:v>36148.23188437102</x:v>
      </x:c>
      <x:c r="R107" s="40" t="n">
        <x:f>MIN(P107,Q107)</x:f>
        <x:v>1148.2318843710236</x:v>
      </x:c>
      <x:c r="S107" s="40" t="n">
        <x:f>I107+R107</x:f>
        <x:v>104525.52959931205</x:v>
      </x:c>
      <x:c r="T107" s="40" t="n">
        <x:f>U106</x:f>
        <x:v>130434.4989410504</x:v>
      </x:c>
      <x:c r="U107" s="40" t="n">
        <x:f>T107*(1+'Inputs &amp; Summary'!$B$17)+R107+N107+H107</x:f>
        <x:v>132217.62734448217</x:v>
      </x:c>
      <x:c r="V107" s="40" t="n">
        <x:f>Y106</x:f>
        <x:v>325441.8964565335</x:v>
      </x:c>
      <x:c r="W107" s="40" t="n">
        <x:f>V107*'Inputs &amp; Summary'!$B$15</x:f>
        <x:v>1209.120648367336</x:v>
      </x:c>
      <x:c r="X107" s="40" t="n">
        <x:f>IF(V107&lt;=0.00000001,0,MIN('Inputs &amp; Summary'!$B$18,V107+W107))</x:f>
        <x:v>2324.586407999052</x:v>
      </x:c>
      <x:c r="Y107" s="40" t="n">
        <x:f>IF(ABS(MAX(0,V107+W107-X107))&lt;0.00000001,0,MAX(0,V107+W107-X107))</x:f>
        <x:v>324326.4306969018</x:v>
      </x:c>
      <x:c r="Z107" s="40" t="n">
        <x:f>MAX(0,'Inputs &amp; Summary'!$B$18-X107)</x:f>
        <x:v>0</x:v>
      </x:c>
      <x:c r="AA107" s="40" t="n">
        <x:f>AC106</x:f>
        <x:v>30109.567020888262</x:v>
      </x:c>
      <x:c r="AB107" s="40" t="n">
        <x:f>J107</x:f>
        <x:v>559.9603626225972</x:v>
      </x:c>
      <x:c r="AC107" s="40" t="n">
        <x:f>AA107*(1+'Inputs &amp; Summary'!$B$17)+Z107+AB107</x:f>
        <x:v>30816.087223485618</x:v>
      </x:c>
      <x:c r="AD107" s="40" t="n">
        <x:f>F107+H107+J107</x:f>
        <x:v>2884.546770621649</x:v>
      </x:c>
      <x:c r="AE107" s="40" t="n">
        <x:f>X107+Z107+AB107</x:f>
        <x:v>2884.546770621649</x:v>
      </x:c>
      <x:c r="AF107" s="40" t="n">
        <x:f>AD107-AE107</x:f>
        <x:v>0</x:v>
      </x:c>
      <x:c r="AG107" s="42" t="n">
        <x:f>(O107+S107)/'Inputs &amp; Summary'!$B$4</x:f>
        <x:v>0.6</x:v>
      </x:c>
      <x:c r="AH107" s="40" t="n">
        <x:f>U107-O107-S107</x:f>
        <x:v>-287782.37265551783</x:v>
      </x:c>
      <x:c r="AI107" s="40" t="n">
        <x:f>AC107-Y107</x:f>
        <x:v>-293510.3434734162</x:v>
      </x:c>
      <x:c r="AJ107" s="40" t="n">
        <x:f>AH107-AI107</x:f>
        <x:v>5727.970817898342</x:v>
      </x:c>
    </x:row>
    <x:row r="108">
      <x:c r="A108" t="n">
        <x:f>A107+1</x:f>
        <x:v>104</x:v>
      </x:c>
      <x:c r="B108" t="n">
        <x:f>INT((A108-1)/12)+1</x:f>
        <x:v>9</x:v>
      </x:c>
      <x:c r="C108" t="n">
        <x:f>MOD(A108-1,12)+1</x:f>
        <x:v>8</x:v>
      </x:c>
      <x:c r="D108" s="40" t="n">
        <x:f>O107</x:f>
        <x:v>315474.47040068795</x:v>
      </x:c>
      <x:c r="E108" s="40" t="n">
        <x:f>D108*'Inputs &amp; Summary'!$B$15</x:f>
        <x:v>1172.0884752316094</x:v>
      </x:c>
      <x:c r="F108" s="40" t="n">
        <x:f>IF(D108&lt;=0.00000001,0,MIN('Inputs &amp; Summary'!$B$18,D108+E108))</x:f>
        <x:v>2324.586407999052</x:v>
      </x:c>
      <x:c r="G108" s="40" t="n">
        <x:f>IF(ABS(MAX(0,D108+E108-F108))&lt;0.00000001,0,MAX(0,D108+E108-F108))</x:f>
        <x:v>314321.9724679205</x:v>
      </x:c>
      <x:c r="H108" s="40" t="n">
        <x:f>MAX(0,'Inputs &amp; Summary'!$B$18-F108)</x:f>
        <x:v>0</x:v>
      </x:c>
      <x:c r="I108" s="40" t="n">
        <x:f>S107</x:f>
        <x:v>104525.52959931205</x:v>
      </x:c>
      <x:c r="J108" s="40" t="n">
        <x:f>I108*'Inputs &amp; Summary'!$B$16</x:f>
        <x:v>566.1799519962736</x:v>
      </x:c>
      <x:c r="K108" s="40" t="n">
        <x:f>IF(C108=1,J108,K107+J108)</x:f>
        <x:v>4356.5744105811245</x:v>
      </x:c>
      <x:c r="L108" s="40" t="n">
        <x:f>IF(C108=12,K108*'Inputs &amp; Summary'!$B$11*'Inputs &amp; Summary'!$B$12,0)</x:f>
        <x:v>0</x:v>
      </x:c>
      <x:c r="M108" s="40" t="n">
        <x:f>MIN(L108,G108)</x:f>
        <x:v>0</x:v>
      </x:c>
      <x:c r="N108" s="40" t="n">
        <x:f>MAX(0,L108-M108)</x:f>
        <x:v>0</x:v>
      </x:c>
      <x:c r="O108" s="40" t="n">
        <x:f>IF(ABS(MAX(0,G108-M108))&lt;0.00000001,0,MAX(0,G108-M108))</x:f>
        <x:v>314321.9724679205</x:v>
      </x:c>
      <x:c r="P108" s="40" t="n">
        <x:f>MAX(0,D108-O108)</x:f>
        <x:v>1152.4979327674373</x:v>
      </x:c>
      <x:c r="Q108" s="40" t="n">
        <x:f>MAX(0,'Inputs &amp; Summary'!$B$19*'Inputs &amp; Summary'!$B$4-O108-I108)</x:f>
        <x:v>36152.49793276744</x:v>
      </x:c>
      <x:c r="R108" s="40" t="n">
        <x:f>MIN(P108,Q108)</x:f>
        <x:v>1152.4979327674373</x:v>
      </x:c>
      <x:c r="S108" s="40" t="n">
        <x:f>I108+R108</x:f>
        <x:v>105678.02753207949</x:v>
      </x:c>
      <x:c r="T108" s="40" t="n">
        <x:f>U107</x:f>
        <x:v>132217.62734448217</x:v>
      </x:c>
      <x:c r="U108" s="40" t="n">
        <x:f>T108*(1+'Inputs &amp; Summary'!$B$17)+R108+N108+H108</x:f>
        <x:v>134013.70126397855</x:v>
      </x:c>
      <x:c r="V108" s="40" t="n">
        <x:f>Y107</x:f>
        <x:v>324326.4306969018</x:v>
      </x:c>
      <x:c r="W108" s="40" t="n">
        <x:f>V108*'Inputs &amp; Summary'!$B$15</x:f>
        <x:v>1204.976336595549</x:v>
      </x:c>
      <x:c r="X108" s="40" t="n">
        <x:f>IF(V108&lt;=0.00000001,0,MIN('Inputs &amp; Summary'!$B$18,V108+W108))</x:f>
        <x:v>2324.586407999052</x:v>
      </x:c>
      <x:c r="Y108" s="40" t="n">
        <x:f>IF(ABS(MAX(0,V108+W108-X108))&lt;0.00000001,0,MAX(0,V108+W108-X108))</x:f>
        <x:v>323206.8206254983</x:v>
      </x:c>
      <x:c r="Z108" s="40" t="n">
        <x:f>MAX(0,'Inputs &amp; Summary'!$B$18-X108)</x:f>
        <x:v>0</x:v>
      </x:c>
      <x:c r="AA108" s="40" t="n">
        <x:f>AC107</x:f>
        <x:v>30816.087223485618</x:v>
      </x:c>
      <x:c r="AB108" s="40" t="n">
        <x:f>J108</x:f>
        <x:v>566.1799519962736</x:v>
      </x:c>
      <x:c r="AC108" s="40" t="n">
        <x:f>AA108*(1+'Inputs &amp; Summary'!$B$17)+Z108+AB108</x:f>
        <x:v>31532.26603826823</x:v>
      </x:c>
      <x:c r="AD108" s="40" t="n">
        <x:f>F108+H108+J108</x:f>
        <x:v>2890.7663599953257</x:v>
      </x:c>
      <x:c r="AE108" s="40" t="n">
        <x:f>X108+Z108+AB108</x:f>
        <x:v>2890.7663599953257</x:v>
      </x:c>
      <x:c r="AF108" s="40" t="n">
        <x:f>AD108-AE108</x:f>
        <x:v>0</x:v>
      </x:c>
      <x:c r="AG108" s="42" t="n">
        <x:f>(O108+S108)/'Inputs &amp; Summary'!$B$4</x:f>
        <x:v>0.6</x:v>
      </x:c>
      <x:c r="AH108" s="40" t="n">
        <x:f>U108-O108-S108</x:f>
        <x:v>-285986.29873602145</x:v>
      </x:c>
      <x:c r="AI108" s="40" t="n">
        <x:f>AC108-Y108</x:f>
        <x:v>-291674.5545872301</x:v>
      </x:c>
      <x:c r="AJ108" s="40" t="n">
        <x:f>AH108-AI108</x:f>
        <x:v>5688.25585120864</x:v>
      </x:c>
    </x:row>
    <x:row r="109">
      <x:c r="A109" t="n">
        <x:f>A108+1</x:f>
        <x:v>105</x:v>
      </x:c>
      <x:c r="B109" t="n">
        <x:f>INT((A109-1)/12)+1</x:f>
        <x:v>9</x:v>
      </x:c>
      <x:c r="C109" t="n">
        <x:f>MOD(A109-1,12)+1</x:f>
        <x:v>9</x:v>
      </x:c>
      <x:c r="D109" s="40" t="n">
        <x:f>O108</x:f>
        <x:v>314321.9724679205</x:v>
      </x:c>
      <x:c r="E109" s="40" t="n">
        <x:f>D109*'Inputs &amp; Summary'!$B$15</x:f>
        <x:v>1167.8065771020738</x:v>
      </x:c>
      <x:c r="F109" s="40" t="n">
        <x:f>IF(D109&lt;=0.00000001,0,MIN('Inputs &amp; Summary'!$B$18,D109+E109))</x:f>
        <x:v>2324.586407999052</x:v>
      </x:c>
      <x:c r="G109" s="40" t="n">
        <x:f>IF(ABS(MAX(0,D109+E109-F109))&lt;0.00000001,0,MAX(0,D109+E109-F109))</x:f>
        <x:v>313165.1926370235</x:v>
      </x:c>
      <x:c r="H109" s="40" t="n">
        <x:f>MAX(0,'Inputs &amp; Summary'!$B$18-F109)</x:f>
        <x:v>0</x:v>
      </x:c>
      <x:c r="I109" s="40" t="n">
        <x:f>S108</x:f>
        <x:v>105678.02753207949</x:v>
      </x:c>
      <x:c r="J109" s="40" t="n">
        <x:f>I109*'Inputs &amp; Summary'!$B$16</x:f>
        <x:v>572.4226491320973</x:v>
      </x:c>
      <x:c r="K109" s="40" t="n">
        <x:f>IF(C109=1,J109,K108+J109)</x:f>
        <x:v>4928.9970597132215</x:v>
      </x:c>
      <x:c r="L109" s="40" t="n">
        <x:f>IF(C109=12,K109*'Inputs &amp; Summary'!$B$11*'Inputs &amp; Summary'!$B$12,0)</x:f>
        <x:v>0</x:v>
      </x:c>
      <x:c r="M109" s="40" t="n">
        <x:f>MIN(L109,G109)</x:f>
        <x:v>0</x:v>
      </x:c>
      <x:c r="N109" s="40" t="n">
        <x:f>MAX(0,L109-M109)</x:f>
        <x:v>0</x:v>
      </x:c>
      <x:c r="O109" s="40" t="n">
        <x:f>IF(ABS(MAX(0,G109-M109))&lt;0.00000001,0,MAX(0,G109-M109))</x:f>
        <x:v>313165.1926370235</x:v>
      </x:c>
      <x:c r="P109" s="40" t="n">
        <x:f>MAX(0,D109-O109)</x:f>
        <x:v>1156.779830896994</x:v>
      </x:c>
      <x:c r="Q109" s="40" t="n">
        <x:f>MAX(0,'Inputs &amp; Summary'!$B$19*'Inputs &amp; Summary'!$B$4-O109-I109)</x:f>
        <x:v>36156.779830896994</x:v>
      </x:c>
      <x:c r="R109" s="40" t="n">
        <x:f>MIN(P109,Q109)</x:f>
        <x:v>1156.779830896994</x:v>
      </x:c>
      <x:c r="S109" s="40" t="n">
        <x:f>I109+R109</x:f>
        <x:v>106834.80736297648</x:v>
      </x:c>
      <x:c r="T109" s="40" t="n">
        <x:f>U108</x:f>
        <x:v>134013.70126397855</x:v>
      </x:c>
      <x:c r="U109" s="40" t="n">
        <x:f>T109*(1+'Inputs &amp; Summary'!$B$17)+R109+N109+H109</x:f>
        <x:v>135822.79956222675</x:v>
      </x:c>
      <x:c r="V109" s="40" t="n">
        <x:f>Y108</x:f>
        <x:v>323206.8206254983</x:v>
      </x:c>
      <x:c r="W109" s="40" t="n">
        <x:f>V109*'Inputs &amp; Summary'!$B$15</x:f>
        <x:v>1200.8166273811123</x:v>
      </x:c>
      <x:c r="X109" s="40" t="n">
        <x:f>IF(V109&lt;=0.00000001,0,MIN('Inputs &amp; Summary'!$B$18,V109+W109))</x:f>
        <x:v>2324.586407999052</x:v>
      </x:c>
      <x:c r="Y109" s="40" t="n">
        <x:f>IF(ABS(MAX(0,V109+W109-X109))&lt;0.00000001,0,MAX(0,V109+W109-X109))</x:f>
        <x:v>322083.0508448804</x:v>
      </x:c>
      <x:c r="Z109" s="40" t="n">
        <x:f>MAX(0,'Inputs &amp; Summary'!$B$18-X109)</x:f>
        <x:v>0</x:v>
      </x:c>
      <x:c r="AA109" s="40" t="n">
        <x:f>AC108</x:f>
        <x:v>31532.26603826823</x:v>
      </x:c>
      <x:c r="AB109" s="40" t="n">
        <x:f>J109</x:f>
        <x:v>572.4226491320973</x:v>
      </x:c>
      <x:c r="AC109" s="40" t="n">
        <x:f>AA109*(1+'Inputs &amp; Summary'!$B$17)+Z109+AB109</x:f>
        <x:v>32258.17358678145</x:v>
      </x:c>
      <x:c r="AD109" s="40" t="n">
        <x:f>F109+H109+J109</x:f>
        <x:v>2897.0090571311493</x:v>
      </x:c>
      <x:c r="AE109" s="40" t="n">
        <x:f>X109+Z109+AB109</x:f>
        <x:v>2897.0090571311493</x:v>
      </x:c>
      <x:c r="AF109" s="40" t="n">
        <x:f>AD109-AE109</x:f>
        <x:v>0</x:v>
      </x:c>
      <x:c r="AG109" s="42" t="n">
        <x:f>(O109+S109)/'Inputs &amp; Summary'!$B$4</x:f>
        <x:v>0.6</x:v>
      </x:c>
      <x:c r="AH109" s="40" t="n">
        <x:f>U109-O109-S109</x:f>
        <x:v>-284177.20043777325</x:v>
      </x:c>
      <x:c r="AI109" s="40" t="n">
        <x:f>AC109-Y109</x:f>
        <x:v>-289824.877258099</x:v>
      </x:c>
      <x:c r="AJ109" s="40" t="n">
        <x:f>AH109-AI109</x:f>
        <x:v>5647.676820325723</x:v>
      </x:c>
    </x:row>
    <x:row r="110">
      <x:c r="A110" t="n">
        <x:f>A109+1</x:f>
        <x:v>106</x:v>
      </x:c>
      <x:c r="B110" t="n">
        <x:f>INT((A110-1)/12)+1</x:f>
        <x:v>9</x:v>
      </x:c>
      <x:c r="C110" t="n">
        <x:f>MOD(A110-1,12)+1</x:f>
        <x:v>10</x:v>
      </x:c>
      <x:c r="D110" s="40" t="n">
        <x:f>O109</x:f>
        <x:v>313165.1926370235</x:v>
      </x:c>
      <x:c r="E110" s="40" t="n">
        <x:f>D110*'Inputs &amp; Summary'!$B$15</x:f>
        <x:v>1163.5087703526</x:v>
      </x:c>
      <x:c r="F110" s="40" t="n">
        <x:f>IF(D110&lt;=0.00000001,0,MIN('Inputs &amp; Summary'!$B$18,D110+E110))</x:f>
        <x:v>2324.586407999052</x:v>
      </x:c>
      <x:c r="G110" s="40" t="n">
        <x:f>IF(ABS(MAX(0,D110+E110-F110))&lt;0.00000001,0,MAX(0,D110+E110-F110))</x:f>
        <x:v>312004.11499937705</x:v>
      </x:c>
      <x:c r="H110" s="40" t="n">
        <x:f>MAX(0,'Inputs &amp; Summary'!$B$18-F110)</x:f>
        <x:v>0</x:v>
      </x:c>
      <x:c r="I110" s="40" t="n">
        <x:f>S109</x:f>
        <x:v>106834.80736297648</x:v>
      </x:c>
      <x:c r="J110" s="40" t="n">
        <x:f>I110*'Inputs &amp; Summary'!$B$16</x:f>
        <x:v>578.6885398827893</x:v>
      </x:c>
      <x:c r="K110" s="40" t="n">
        <x:f>IF(C110=1,J110,K109+J110)</x:f>
        <x:v>5507.68559959601</x:v>
      </x:c>
      <x:c r="L110" s="40" t="n">
        <x:f>IF(C110=12,K110*'Inputs &amp; Summary'!$B$11*'Inputs &amp; Summary'!$B$12,0)</x:f>
        <x:v>0</x:v>
      </x:c>
      <x:c r="M110" s="40" t="n">
        <x:f>MIN(L110,G110)</x:f>
        <x:v>0</x:v>
      </x:c>
      <x:c r="N110" s="40" t="n">
        <x:f>MAX(0,L110-M110)</x:f>
        <x:v>0</x:v>
      </x:c>
      <x:c r="O110" s="40" t="n">
        <x:f>IF(ABS(MAX(0,G110-M110))&lt;0.00000001,0,MAX(0,G110-M110))</x:f>
        <x:v>312004.11499937705</x:v>
      </x:c>
      <x:c r="P110" s="40" t="n">
        <x:f>MAX(0,D110-O110)</x:f>
        <x:v>1161.0776376464637</x:v>
      </x:c>
      <x:c r="Q110" s="40" t="n">
        <x:f>MAX(0,'Inputs &amp; Summary'!$B$19*'Inputs &amp; Summary'!$B$4-O110-I110)</x:f>
        <x:v>36161.077637646464</x:v>
      </x:c>
      <x:c r="R110" s="40" t="n">
        <x:f>MIN(P110,Q110)</x:f>
        <x:v>1161.0776376464637</x:v>
      </x:c>
      <x:c r="S110" s="40" t="n">
        <x:f>I110+R110</x:f>
        <x:v>107995.88500062295</x:v>
      </x:c>
      <x:c r="T110" s="40" t="n">
        <x:f>U109</x:f>
        <x:v>135822.79956222675</x:v>
      </x:c>
      <x:c r="U110" s="40" t="n">
        <x:f>T110*(1+'Inputs &amp; Summary'!$B$17)+R110+N110+H110</x:f>
        <x:v>137645.0015446688</x:v>
      </x:c>
      <x:c r="V110" s="40" t="n">
        <x:f>Y109</x:f>
        <x:v>322083.0508448804</x:v>
      </x:c>
      <x:c r="W110" s="40" t="n">
        <x:f>V110*'Inputs &amp; Summary'!$B$15</x:f>
        <x:v>1196.6414635176056</x:v>
      </x:c>
      <x:c r="X110" s="40" t="n">
        <x:f>IF(V110&lt;=0.00000001,0,MIN('Inputs &amp; Summary'!$B$18,V110+W110))</x:f>
        <x:v>2324.586407999052</x:v>
      </x:c>
      <x:c r="Y110" s="40" t="n">
        <x:f>IF(ABS(MAX(0,V110+W110-X110))&lt;0.00000001,0,MAX(0,V110+W110-X110))</x:f>
        <x:v>320955.105900399</x:v>
      </x:c>
      <x:c r="Z110" s="40" t="n">
        <x:f>MAX(0,'Inputs &amp; Summary'!$B$18-X110)</x:f>
        <x:v>0</x:v>
      </x:c>
      <x:c r="AA110" s="40" t="n">
        <x:f>AC109</x:f>
        <x:v>32258.17358678145</x:v>
      </x:c>
      <x:c r="AB110" s="40" t="n">
        <x:f>J110</x:f>
        <x:v>578.6885398827893</x:v>
      </x:c>
      <x:c r="AC110" s="40" t="n">
        <x:f>AA110*(1+'Inputs &amp; Summary'!$B$17)+Z110+AB110</x:f>
        <x:v>32993.88041774351</x:v>
      </x:c>
      <x:c r="AD110" s="40" t="n">
        <x:f>F110+H110+J110</x:f>
        <x:v>2903.2749478818414</x:v>
      </x:c>
      <x:c r="AE110" s="40" t="n">
        <x:f>X110+Z110+AB110</x:f>
        <x:v>2903.2749478818414</x:v>
      </x:c>
      <x:c r="AF110" s="40" t="n">
        <x:f>AD110-AE110</x:f>
        <x:v>0</x:v>
      </x:c>
      <x:c r="AG110" s="42" t="n">
        <x:f>(O110+S110)/'Inputs &amp; Summary'!$B$4</x:f>
        <x:v>0.6</x:v>
      </x:c>
      <x:c r="AH110" s="40" t="n">
        <x:f>U110-O110-S110</x:f>
        <x:v>-282354.9984553312</x:v>
      </x:c>
      <x:c r="AI110" s="40" t="n">
        <x:f>AC110-Y110</x:f>
        <x:v>-287961.22548265546</x:v>
      </x:c>
      <x:c r="AJ110" s="40" t="n">
        <x:f>AH110-AI110</x:f>
        <x:v>5606.227027324261</x:v>
      </x:c>
    </x:row>
    <x:row r="111">
      <x:c r="A111" t="n">
        <x:f>A110+1</x:f>
        <x:v>107</x:v>
      </x:c>
      <x:c r="B111" t="n">
        <x:f>INT((A111-1)/12)+1</x:f>
        <x:v>9</x:v>
      </x:c>
      <x:c r="C111" t="n">
        <x:f>MOD(A111-1,12)+1</x:f>
        <x:v>11</x:v>
      </x:c>
      <x:c r="D111" s="40" t="n">
        <x:f>O110</x:f>
        <x:v>312004.11499937705</x:v>
      </x:c>
      <x:c r="E111" s="40" t="n">
        <x:f>D111*'Inputs &amp; Summary'!$B$15</x:f>
        <x:v>1159.1949958775813</x:v>
      </x:c>
      <x:c r="F111" s="40" t="n">
        <x:f>IF(D111&lt;=0.00000001,0,MIN('Inputs &amp; Summary'!$B$18,D111+E111))</x:f>
        <x:v>2324.586407999052</x:v>
      </x:c>
      <x:c r="G111" s="40" t="n">
        <x:f>IF(ABS(MAX(0,D111+E111-F111))&lt;0.00000001,0,MAX(0,D111+E111-F111))</x:f>
        <x:v>310838.7235872556</x:v>
      </x:c>
      <x:c r="H111" s="40" t="n">
        <x:f>MAX(0,'Inputs &amp; Summary'!$B$18-F111)</x:f>
        <x:v>0</x:v>
      </x:c>
      <x:c r="I111" s="40" t="n">
        <x:f>S110</x:f>
        <x:v>107995.88500062295</x:v>
      </x:c>
      <x:c r="J111" s="40" t="n">
        <x:f>I111*'Inputs &amp; Summary'!$B$16</x:f>
        <x:v>584.977710420041</x:v>
      </x:c>
      <x:c r="K111" s="40" t="n">
        <x:f>IF(C111=1,J111,K110+J111)</x:f>
        <x:v>6092.663310016052</x:v>
      </x:c>
      <x:c r="L111" s="40" t="n">
        <x:f>IF(C111=12,K111*'Inputs &amp; Summary'!$B$11*'Inputs &amp; Summary'!$B$12,0)</x:f>
        <x:v>0</x:v>
      </x:c>
      <x:c r="M111" s="40" t="n">
        <x:f>MIN(L111,G111)</x:f>
        <x:v>0</x:v>
      </x:c>
      <x:c r="N111" s="40" t="n">
        <x:f>MAX(0,L111-M111)</x:f>
        <x:v>0</x:v>
      </x:c>
      <x:c r="O111" s="40" t="n">
        <x:f>IF(ABS(MAX(0,G111-M111))&lt;0.00000001,0,MAX(0,G111-M111))</x:f>
        <x:v>310838.7235872556</x:v>
      </x:c>
      <x:c r="P111" s="40" t="n">
        <x:f>MAX(0,D111-O111)</x:f>
        <x:v>1165.3914121214766</x:v>
      </x:c>
      <x:c r="Q111" s="40" t="n">
        <x:f>MAX(0,'Inputs &amp; Summary'!$B$19*'Inputs &amp; Summary'!$B$4-O111-I111)</x:f>
        <x:v>36165.39141212148</x:v>
      </x:c>
      <x:c r="R111" s="40" t="n">
        <x:f>MIN(P111,Q111)</x:f>
        <x:v>1165.3914121214766</x:v>
      </x:c>
      <x:c r="S111" s="40" t="n">
        <x:f>I111+R111</x:f>
        <x:v>109161.27641274442</x:v>
      </x:c>
      <x:c r="T111" s="40" t="n">
        <x:f>U110</x:f>
        <x:v>137645.0015446688</x:v>
      </x:c>
      <x:c r="U111" s="40" t="n">
        <x:f>T111*(1+'Inputs &amp; Summary'!$B$17)+R111+N111+H111</x:f>
        <x:v>139480.3869618757</x:v>
      </x:c>
      <x:c r="V111" s="40" t="n">
        <x:f>Y110</x:f>
        <x:v>320955.105900399</x:v>
      </x:c>
      <x:c r="W111" s="40" t="n">
        <x:f>V111*'Inputs &amp; Summary'!$B$15</x:f>
        <x:v>1192.450787586069</x:v>
      </x:c>
      <x:c r="X111" s="40" t="n">
        <x:f>IF(V111&lt;=0.00000001,0,MIN('Inputs &amp; Summary'!$B$18,V111+W111))</x:f>
        <x:v>2324.586407999052</x:v>
      </x:c>
      <x:c r="Y111" s="40" t="n">
        <x:f>IF(ABS(MAX(0,V111+W111-X111))&lt;0.00000001,0,MAX(0,V111+W111-X111))</x:f>
        <x:v>319822.970279986</x:v>
      </x:c>
      <x:c r="Z111" s="40" t="n">
        <x:f>MAX(0,'Inputs &amp; Summary'!$B$18-X111)</x:f>
        <x:v>0</x:v>
      </x:c>
      <x:c r="AA111" s="40" t="n">
        <x:f>AC110</x:f>
        <x:v>32993.88041774351</x:v>
      </x:c>
      <x:c r="AB111" s="40" t="n">
        <x:f>J111</x:f>
        <x:v>584.977710420041</x:v>
      </x:c>
      <x:c r="AC111" s="40" t="n">
        <x:f>AA111*(1+'Inputs &amp; Summary'!$B$17)+Z111+AB111</x:f>
        <x:v>33739.4575094438</x:v>
      </x:c>
      <x:c r="AD111" s="40" t="n">
        <x:f>F111+H111+J111</x:f>
        <x:v>2909.564118419093</x:v>
      </x:c>
      <x:c r="AE111" s="40" t="n">
        <x:f>X111+Z111+AB111</x:f>
        <x:v>2909.564118419093</x:v>
      </x:c>
      <x:c r="AF111" s="40" t="n">
        <x:f>AD111-AE111</x:f>
        <x:v>0</x:v>
      </x:c>
      <x:c r="AG111" s="42" t="n">
        <x:f>(O111+S111)/'Inputs &amp; Summary'!$B$4</x:f>
        <x:v>0.6</x:v>
      </x:c>
      <x:c r="AH111" s="40" t="n">
        <x:f>U111-O111-S111</x:f>
        <x:v>-280519.6130381243</x:v>
      </x:c>
      <x:c r="AI111" s="40" t="n">
        <x:f>AC111-Y111</x:f>
        <x:v>-286083.5127705422</x:v>
      </x:c>
      <x:c r="AJ111" s="40" t="n">
        <x:f>AH111-AI111</x:f>
        <x:v>5563.899732417893</x:v>
      </x:c>
    </x:row>
    <x:row r="112">
      <x:c r="A112" t="n">
        <x:f>A111+1</x:f>
        <x:v>108</x:v>
      </x:c>
      <x:c r="B112" t="n">
        <x:f>INT((A112-1)/12)+1</x:f>
        <x:v>9</x:v>
      </x:c>
      <x:c r="C112" t="n">
        <x:f>MOD(A112-1,12)+1</x:f>
        <x:v>12</x:v>
      </x:c>
      <x:c r="D112" s="40" t="n">
        <x:f>O111</x:f>
        <x:v>310838.7235872556</x:v>
      </x:c>
      <x:c r="E112" s="40" t="n">
        <x:f>D112*'Inputs &amp; Summary'!$B$15</x:f>
        <x:v>1154.8651943518141</x:v>
      </x:c>
      <x:c r="F112" s="40" t="n">
        <x:f>IF(D112&lt;=0.00000001,0,MIN('Inputs &amp; Summary'!$B$18,D112+E112))</x:f>
        <x:v>2324.586407999052</x:v>
      </x:c>
      <x:c r="G112" s="40" t="n">
        <x:f>IF(ABS(MAX(0,D112+E112-F112))&lt;0.00000001,0,MAX(0,D112+E112-F112))</x:f>
        <x:v>309669.00237360835</x:v>
      </x:c>
      <x:c r="H112" s="40" t="n">
        <x:f>MAX(0,'Inputs &amp; Summary'!$B$18-F112)</x:f>
        <x:v>0</x:v>
      </x:c>
      <x:c r="I112" s="40" t="n">
        <x:f>S111</x:f>
        <x:v>109161.27641274442</x:v>
      </x:c>
      <x:c r="J112" s="40" t="n">
        <x:f>I112*'Inputs &amp; Summary'!$B$16</x:f>
        <x:v>591.290247235699</x:v>
      </x:c>
      <x:c r="K112" s="40" t="n">
        <x:f>IF(C112=1,J112,K111+J112)</x:f>
        <x:v>6683.953557251751</x:v>
      </x:c>
      <x:c r="L112" s="40" t="n">
        <x:f>IF(C112=12,K112*'Inputs &amp; Summary'!$B$11*'Inputs &amp; Summary'!$B$12,0)</x:f>
        <x:v>2339.3837450381125</x:v>
      </x:c>
      <x:c r="M112" s="40" t="n">
        <x:f>MIN(L112,G112)</x:f>
        <x:v>2339.3837450381125</x:v>
      </x:c>
      <x:c r="N112" s="40" t="n">
        <x:f>MAX(0,L112-M112)</x:f>
        <x:v>0</x:v>
      </x:c>
      <x:c r="O112" s="40" t="n">
        <x:f>IF(ABS(MAX(0,G112-M112))&lt;0.00000001,0,MAX(0,G112-M112))</x:f>
        <x:v>307329.6186285702</x:v>
      </x:c>
      <x:c r="P112" s="40" t="n">
        <x:f>MAX(0,D112-O112)</x:f>
        <x:v>3509.104958685348</x:v>
      </x:c>
      <x:c r="Q112" s="40" t="n">
        <x:f>MAX(0,'Inputs &amp; Summary'!$B$19*'Inputs &amp; Summary'!$B$4-O112-I112)</x:f>
        <x:v>38509.10495868535</x:v>
      </x:c>
      <x:c r="R112" s="40" t="n">
        <x:f>MIN(P112,Q112)</x:f>
        <x:v>3509.104958685348</x:v>
      </x:c>
      <x:c r="S112" s="40" t="n">
        <x:f>I112+R112</x:f>
        <x:v>112670.38137142977</x:v>
      </x:c>
      <x:c r="T112" s="40" t="n">
        <x:f>U111</x:f>
        <x:v>139480.3869618757</x:v>
      </x:c>
      <x:c r="U112" s="40" t="n">
        <x:f>T112*(1+'Inputs &amp; Summary'!$B$17)+R112+N112+H112</x:f>
        <x:v>143668.4197569716</x:v>
      </x:c>
      <x:c r="V112" s="40" t="n">
        <x:f>Y111</x:f>
        <x:v>319822.970279986</x:v>
      </x:c>
      <x:c r="W112" s="40" t="n">
        <x:f>V112*'Inputs &amp; Summary'!$B$15</x:f>
        <x:v>1188.244541954212</x:v>
      </x:c>
      <x:c r="X112" s="40" t="n">
        <x:f>IF(V112&lt;=0.00000001,0,MIN('Inputs &amp; Summary'!$B$18,V112+W112))</x:f>
        <x:v>2324.586407999052</x:v>
      </x:c>
      <x:c r="Y112" s="40" t="n">
        <x:f>IF(ABS(MAX(0,V112+W112-X112))&lt;0.00000001,0,MAX(0,V112+W112-X112))</x:f>
        <x:v>318686.62841394113</x:v>
      </x:c>
      <x:c r="Z112" s="40" t="n">
        <x:f>MAX(0,'Inputs &amp; Summary'!$B$18-X112)</x:f>
        <x:v>0</x:v>
      </x:c>
      <x:c r="AA112" s="40" t="n">
        <x:f>AC111</x:f>
        <x:v>33739.4575094438</x:v>
      </x:c>
      <x:c r="AB112" s="40" t="n">
        <x:f>J112</x:f>
        <x:v>591.290247235699</x:v>
      </x:c>
      <x:c r="AC112" s="40" t="n">
        <x:f>AA112*(1+'Inputs &amp; Summary'!$B$17)+Z112+AB112</x:f>
        <x:v>34494.97627215396</x:v>
      </x:c>
      <x:c r="AD112" s="40" t="n">
        <x:f>F112+H112+J112</x:f>
        <x:v>2915.876655234751</x:v>
      </x:c>
      <x:c r="AE112" s="40" t="n">
        <x:f>X112+Z112+AB112</x:f>
        <x:v>2915.876655234751</x:v>
      </x:c>
      <x:c r="AF112" s="40" t="n">
        <x:f>AD112-AE112</x:f>
        <x:v>0</x:v>
      </x:c>
      <x:c r="AG112" s="42" t="n">
        <x:f>(O112+S112)/'Inputs &amp; Summary'!$B$4</x:f>
        <x:v>0.6</x:v>
      </x:c>
      <x:c r="AH112" s="40" t="n">
        <x:f>U112-O112-S112</x:f>
        <x:v>-276331.5802430284</x:v>
      </x:c>
      <x:c r="AI112" s="40" t="n">
        <x:f>AC112-Y112</x:f>
        <x:v>-284191.65214178717</x:v>
      </x:c>
      <x:c r="AJ112" s="40" t="n">
        <x:f>AH112-AI112</x:f>
        <x:v>7860.071898758761</x:v>
      </x:c>
    </x:row>
    <x:row r="113">
      <x:c r="A113" t="n">
        <x:f>A112+1</x:f>
        <x:v>109</x:v>
      </x:c>
      <x:c r="B113" t="n">
        <x:f>INT((A113-1)/12)+1</x:f>
        <x:v>10</x:v>
      </x:c>
      <x:c r="C113" t="n">
        <x:f>MOD(A113-1,12)+1</x:f>
        <x:v>1</x:v>
      </x:c>
      <x:c r="D113" s="40" t="n">
        <x:f>O112</x:f>
        <x:v>307329.6186285702</x:v>
      </x:c>
      <x:c r="E113" s="40" t="n">
        <x:f>D113*'Inputs &amp; Summary'!$B$15</x:f>
        <x:v>1141.8277480087575</x:v>
      </x:c>
      <x:c r="F113" s="40" t="n">
        <x:f>IF(D113&lt;=0.00000001,0,MIN('Inputs &amp; Summary'!$B$18,D113+E113))</x:f>
        <x:v>2324.586407999052</x:v>
      </x:c>
      <x:c r="G113" s="40" t="n">
        <x:f>IF(ABS(MAX(0,D113+E113-F113))&lt;0.00000001,0,MAX(0,D113+E113-F113))</x:f>
        <x:v>306146.85996857996</x:v>
      </x:c>
      <x:c r="H113" s="40" t="n">
        <x:f>MAX(0,'Inputs &amp; Summary'!$B$18-F113)</x:f>
        <x:v>0</x:v>
      </x:c>
      <x:c r="I113" s="40" t="n">
        <x:f>S112</x:f>
        <x:v>112670.38137142977</x:v>
      </x:c>
      <x:c r="J113" s="40" t="n">
        <x:f>I113*'Inputs &amp; Summary'!$B$16</x:f>
        <x:v>610.2978990952446</x:v>
      </x:c>
      <x:c r="K113" s="40" t="n">
        <x:f>IF(C113=1,J113,K112+J113)</x:f>
        <x:v>610.2978990952446</x:v>
      </x:c>
      <x:c r="L113" s="40" t="n">
        <x:f>IF(C113=12,K113*'Inputs &amp; Summary'!$B$11*'Inputs &amp; Summary'!$B$12,0)</x:f>
        <x:v>0</x:v>
      </x:c>
      <x:c r="M113" s="40" t="n">
        <x:f>MIN(L113,G113)</x:f>
        <x:v>0</x:v>
      </x:c>
      <x:c r="N113" s="40" t="n">
        <x:f>MAX(0,L113-M113)</x:f>
        <x:v>0</x:v>
      </x:c>
      <x:c r="O113" s="40" t="n">
        <x:f>IF(ABS(MAX(0,G113-M113))&lt;0.00000001,0,MAX(0,G113-M113))</x:f>
        <x:v>306146.85996857996</x:v>
      </x:c>
      <x:c r="P113" s="40" t="n">
        <x:f>MAX(0,D113-O113)</x:f>
        <x:v>1182.7586599902716</x:v>
      </x:c>
      <x:c r="Q113" s="40" t="n">
        <x:f>MAX(0,'Inputs &amp; Summary'!$B$19*'Inputs &amp; Summary'!$B$4-O113-I113)</x:f>
        <x:v>36182.75865999027</x:v>
      </x:c>
      <x:c r="R113" s="40" t="n">
        <x:f>MIN(P113,Q113)</x:f>
        <x:v>1182.7586599902716</x:v>
      </x:c>
      <x:c r="S113" s="40" t="n">
        <x:f>I113+R113</x:f>
        <x:v>113853.14003142004</x:v>
      </x:c>
      <x:c r="T113" s="40" t="n">
        <x:f>U112</x:f>
        <x:v>143668.4197569716</x:v>
      </x:c>
      <x:c r="U113" s="40" t="n">
        <x:f>T113*(1+'Inputs &amp; Summary'!$B$17)+R113+N113+H113</x:f>
        <x:v>145550.49171477187</x:v>
      </x:c>
      <x:c r="V113" s="40" t="n">
        <x:f>Y112</x:f>
        <x:v>318686.62841394113</x:v>
      </x:c>
      <x:c r="W113" s="40" t="n">
        <x:f>V113*'Inputs &amp; Summary'!$B$15</x:f>
        <x:v>1184.0226687756228</x:v>
      </x:c>
      <x:c r="X113" s="40" t="n">
        <x:f>IF(V113&lt;=0.00000001,0,MIN('Inputs &amp; Summary'!$B$18,V113+W113))</x:f>
        <x:v>2324.586407999052</x:v>
      </x:c>
      <x:c r="Y113" s="40" t="n">
        <x:f>IF(ABS(MAX(0,V113+W113-X113))&lt;0.00000001,0,MAX(0,V113+W113-X113))</x:f>
        <x:v>317546.0646747177</x:v>
      </x:c>
      <x:c r="Z113" s="40" t="n">
        <x:f>MAX(0,'Inputs &amp; Summary'!$B$18-X113)</x:f>
        <x:v>0</x:v>
      </x:c>
      <x:c r="AA113" s="40" t="n">
        <x:f>AC112</x:f>
        <x:v>34494.97627215396</x:v>
      </x:c>
      <x:c r="AB113" s="40" t="n">
        <x:f>J113</x:f>
        <x:v>610.2978990952446</x:v>
      </x:c>
      <x:c r="AC113" s="40" t="n">
        <x:f>AA113*(1+'Inputs &amp; Summary'!$B$17)+Z113+AB113</x:f>
        <x:v>35273.18021250422</x:v>
      </x:c>
      <x:c r="AD113" s="40" t="n">
        <x:f>F113+H113+J113</x:f>
        <x:v>2934.8843070942967</x:v>
      </x:c>
      <x:c r="AE113" s="40" t="n">
        <x:f>X113+Z113+AB113</x:f>
        <x:v>2934.8843070942967</x:v>
      </x:c>
      <x:c r="AF113" s="40" t="n">
        <x:f>AD113-AE113</x:f>
        <x:v>0</x:v>
      </x:c>
      <x:c r="AG113" s="42" t="n">
        <x:f>(O113+S113)/'Inputs &amp; Summary'!$B$4</x:f>
        <x:v>0.6</x:v>
      </x:c>
      <x:c r="AH113" s="40" t="n">
        <x:f>U113-O113-S113</x:f>
        <x:v>-274449.50828522816</x:v>
      </x:c>
      <x:c r="AI113" s="40" t="n">
        <x:f>AC113-Y113</x:f>
        <x:v>-282272.8844622135</x:v>
      </x:c>
      <x:c r="AJ113" s="40" t="n">
        <x:f>AH113-AI113</x:f>
        <x:v>7823.37617698533</x:v>
      </x:c>
    </x:row>
    <x:row r="114">
      <x:c r="A114" t="n">
        <x:f>A113+1</x:f>
        <x:v>110</x:v>
      </x:c>
      <x:c r="B114" t="n">
        <x:f>INT((A114-1)/12)+1</x:f>
        <x:v>10</x:v>
      </x:c>
      <x:c r="C114" t="n">
        <x:f>MOD(A114-1,12)+1</x:f>
        <x:v>2</x:v>
      </x:c>
      <x:c r="D114" s="40" t="n">
        <x:f>O113</x:f>
        <x:v>306146.85996857996</x:v>
      </x:c>
      <x:c r="E114" s="40" t="n">
        <x:f>D114*'Inputs &amp; Summary'!$B$15</x:f>
        <x:v>1137.4334216070229</x:v>
      </x:c>
      <x:c r="F114" s="40" t="n">
        <x:f>IF(D114&lt;=0.00000001,0,MIN('Inputs &amp; Summary'!$B$18,D114+E114))</x:f>
        <x:v>2324.586407999052</x:v>
      </x:c>
      <x:c r="G114" s="40" t="n">
        <x:f>IF(ABS(MAX(0,D114+E114-F114))&lt;0.00000001,0,MAX(0,D114+E114-F114))</x:f>
        <x:v>304959.7069821879</x:v>
      </x:c>
      <x:c r="H114" s="40" t="n">
        <x:f>MAX(0,'Inputs &amp; Summary'!$B$18-F114)</x:f>
        <x:v>0</x:v>
      </x:c>
      <x:c r="I114" s="40" t="n">
        <x:f>S113</x:f>
        <x:v>113853.14003142004</x:v>
      </x:c>
      <x:c r="J114" s="40" t="n">
        <x:f>I114*'Inputs &amp; Summary'!$B$16</x:f>
        <x:v>616.7045085035253</x:v>
      </x:c>
      <x:c r="K114" s="40" t="n">
        <x:f>IF(C114=1,J114,K113+J114)</x:f>
        <x:v>1227.0024075987699</x:v>
      </x:c>
      <x:c r="L114" s="40" t="n">
        <x:f>IF(C114=12,K114*'Inputs &amp; Summary'!$B$11*'Inputs &amp; Summary'!$B$12,0)</x:f>
        <x:v>0</x:v>
      </x:c>
      <x:c r="M114" s="40" t="n">
        <x:f>MIN(L114,G114)</x:f>
        <x:v>0</x:v>
      </x:c>
      <x:c r="N114" s="40" t="n">
        <x:f>MAX(0,L114-M114)</x:f>
        <x:v>0</x:v>
      </x:c>
      <x:c r="O114" s="40" t="n">
        <x:f>IF(ABS(MAX(0,G114-M114))&lt;0.00000001,0,MAX(0,G114-M114))</x:f>
        <x:v>304959.7069821879</x:v>
      </x:c>
      <x:c r="P114" s="40" t="n">
        <x:f>MAX(0,D114-O114)</x:f>
        <x:v>1187.1529863920296</x:v>
      </x:c>
      <x:c r="Q114" s="40" t="n">
        <x:f>MAX(0,'Inputs &amp; Summary'!$B$19*'Inputs &amp; Summary'!$B$4-O114-I114)</x:f>
        <x:v>36187.15298639203</x:v>
      </x:c>
      <x:c r="R114" s="40" t="n">
        <x:f>MIN(P114,Q114)</x:f>
        <x:v>1187.1529863920296</x:v>
      </x:c>
      <x:c r="S114" s="40" t="n">
        <x:f>I114+R114</x:f>
        <x:v>115040.29301781207</x:v>
      </x:c>
      <x:c r="T114" s="40" t="n">
        <x:f>U113</x:f>
        <x:v>145550.49171477187</x:v>
      </x:c>
      <x:c r="U114" s="40" t="n">
        <x:f>T114*(1+'Inputs &amp; Summary'!$B$17)+R114+N114+H114</x:f>
        <x:v>147446.1190793961</x:v>
      </x:c>
      <x:c r="V114" s="40" t="n">
        <x:f>Y113</x:f>
        <x:v>317546.0646747177</x:v>
      </x:c>
      <x:c r="W114" s="40" t="n">
        <x:f>V114*'Inputs &amp; Summary'!$B$15</x:f>
        <x:v>1179.7851099889708</x:v>
      </x:c>
      <x:c r="X114" s="40" t="n">
        <x:f>IF(V114&lt;=0.00000001,0,MIN('Inputs &amp; Summary'!$B$18,V114+W114))</x:f>
        <x:v>2324.586407999052</x:v>
      </x:c>
      <x:c r="Y114" s="40" t="n">
        <x:f>IF(ABS(MAX(0,V114+W114-X114))&lt;0.00000001,0,MAX(0,V114+W114-X114))</x:f>
        <x:v>316401.2633767077</x:v>
      </x:c>
      <x:c r="Z114" s="40" t="n">
        <x:f>MAX(0,'Inputs &amp; Summary'!$B$18-X114)</x:f>
        <x:v>0</x:v>
      </x:c>
      <x:c r="AA114" s="40" t="n">
        <x:f>AC113</x:f>
        <x:v>35273.18021250422</x:v>
      </x:c>
      <x:c r="AB114" s="40" t="n">
        <x:f>J114</x:f>
        <x:v>616.7045085035253</x:v>
      </x:c>
      <x:c r="AC114" s="40" t="n">
        <x:f>AA114*(1+'Inputs &amp; Summary'!$B$17)+Z114+AB114</x:f>
        <x:v>36061.578709292575</x:v>
      </x:c>
      <x:c r="AD114" s="40" t="n">
        <x:f>F114+H114+J114</x:f>
        <x:v>2941.290916502577</x:v>
      </x:c>
      <x:c r="AE114" s="40" t="n">
        <x:f>X114+Z114+AB114</x:f>
        <x:v>2941.290916502577</x:v>
      </x:c>
      <x:c r="AF114" s="40" t="n">
        <x:f>AD114-AE114</x:f>
        <x:v>0</x:v>
      </x:c>
      <x:c r="AG114" s="42" t="n">
        <x:f>(O114+S114)/'Inputs &amp; Summary'!$B$4</x:f>
        <x:v>0.6</x:v>
      </x:c>
      <x:c r="AH114" s="40" t="n">
        <x:f>U114-O114-S114</x:f>
        <x:v>-272553.8809206039</x:v>
      </x:c>
      <x:c r="AI114" s="40" t="n">
        <x:f>AC114-Y114</x:f>
        <x:v>-280339.6846674151</x:v>
      </x:c>
      <x:c r="AJ114" s="40" t="n">
        <x:f>AH114-AI114</x:f>
        <x:v>7785.803746811231</x:v>
      </x:c>
    </x:row>
    <x:row r="115">
      <x:c r="A115" t="n">
        <x:f>A114+1</x:f>
        <x:v>111</x:v>
      </x:c>
      <x:c r="B115" t="n">
        <x:f>INT((A115-1)/12)+1</x:f>
        <x:v>10</x:v>
      </x:c>
      <x:c r="C115" t="n">
        <x:f>MOD(A115-1,12)+1</x:f>
        <x:v>3</x:v>
      </x:c>
      <x:c r="D115" s="40" t="n">
        <x:f>O114</x:f>
        <x:v>304959.7069821879</x:v>
      </x:c>
      <x:c r="E115" s="40" t="n">
        <x:f>D115*'Inputs &amp; Summary'!$B$15</x:f>
        <x:v>1133.0227688783898</x:v>
      </x:c>
      <x:c r="F115" s="40" t="n">
        <x:f>IF(D115&lt;=0.00000001,0,MIN('Inputs &amp; Summary'!$B$18,D115+E115))</x:f>
        <x:v>2324.586407999052</x:v>
      </x:c>
      <x:c r="G115" s="40" t="n">
        <x:f>IF(ABS(MAX(0,D115+E115-F115))&lt;0.00000001,0,MAX(0,D115+E115-F115))</x:f>
        <x:v>303768.14334306726</x:v>
      </x:c>
      <x:c r="H115" s="40" t="n">
        <x:f>MAX(0,'Inputs &amp; Summary'!$B$18-F115)</x:f>
        <x:v>0</x:v>
      </x:c>
      <x:c r="I115" s="40" t="n">
        <x:f>S114</x:f>
        <x:v>115040.29301781207</x:v>
      </x:c>
      <x:c r="J115" s="40" t="n">
        <x:f>I115*'Inputs &amp; Summary'!$B$16</x:f>
        <x:v>623.1349205131487</x:v>
      </x:c>
      <x:c r="K115" s="40" t="n">
        <x:f>IF(C115=1,J115,K114+J115)</x:f>
        <x:v>1850.1373281119186</x:v>
      </x:c>
      <x:c r="L115" s="40" t="n">
        <x:f>IF(C115=12,K115*'Inputs &amp; Summary'!$B$11*'Inputs &amp; Summary'!$B$12,0)</x:f>
        <x:v>0</x:v>
      </x:c>
      <x:c r="M115" s="40" t="n">
        <x:f>MIN(L115,G115)</x:f>
        <x:v>0</x:v>
      </x:c>
      <x:c r="N115" s="40" t="n">
        <x:f>MAX(0,L115-M115)</x:f>
        <x:v>0</x:v>
      </x:c>
      <x:c r="O115" s="40" t="n">
        <x:f>IF(ABS(MAX(0,G115-M115))&lt;0.00000001,0,MAX(0,G115-M115))</x:f>
        <x:v>303768.14334306726</x:v>
      </x:c>
      <x:c r="P115" s="40" t="n">
        <x:f>MAX(0,D115-O115)</x:f>
        <x:v>1191.5636391206644</x:v>
      </x:c>
      <x:c r="Q115" s="40" t="n">
        <x:f>MAX(0,'Inputs &amp; Summary'!$B$19*'Inputs &amp; Summary'!$B$4-O115-I115)</x:f>
        <x:v>36191.563639120664</x:v>
      </x:c>
      <x:c r="R115" s="40" t="n">
        <x:f>MIN(P115,Q115)</x:f>
        <x:v>1191.5636391206644</x:v>
      </x:c>
      <x:c r="S115" s="40" t="n">
        <x:f>I115+R115</x:f>
        <x:v>116231.85665693274</x:v>
      </x:c>
      <x:c r="T115" s="40" t="n">
        <x:f>U114</x:f>
        <x:v>147446.1190793961</x:v>
      </x:c>
      <x:c r="U115" s="40" t="n">
        <x:f>T115*(1+'Inputs &amp; Summary'!$B$17)+R115+N115+H115</x:f>
        <x:v>149355.3841587993</x:v>
      </x:c>
      <x:c r="V115" s="40" t="n">
        <x:f>Y114</x:f>
        <x:v>316401.2633767077</x:v>
      </x:c>
      <x:c r="W115" s="40" t="n">
        <x:f>V115*'Inputs &amp; Summary'!$B$15</x:f>
        <x:v>1175.5318073172093</x:v>
      </x:c>
      <x:c r="X115" s="40" t="n">
        <x:f>IF(V115&lt;=0.00000001,0,MIN('Inputs &amp; Summary'!$B$18,V115+W115))</x:f>
        <x:v>2324.586407999052</x:v>
      </x:c>
      <x:c r="Y115" s="40" t="n">
        <x:f>IF(ABS(MAX(0,V115+W115-X115))&lt;0.00000001,0,MAX(0,V115+W115-X115))</x:f>
        <x:v>315252.20877602586</x:v>
      </x:c>
      <x:c r="Z115" s="40" t="n">
        <x:f>MAX(0,'Inputs &amp; Summary'!$B$18-X115)</x:f>
        <x:v>0</x:v>
      </x:c>
      <x:c r="AA115" s="40" t="n">
        <x:f>AC114</x:f>
        <x:v>36061.578709292575</x:v>
      </x:c>
      <x:c r="AB115" s="40" t="n">
        <x:f>J115</x:f>
        <x:v>623.1349205131487</x:v>
      </x:c>
      <x:c r="AC115" s="40" t="n">
        <x:f>AA115*(1+'Inputs &amp; Summary'!$B$17)+Z115+AB115</x:f>
        <x:v>36860.2451876393</x:v>
      </x:c>
      <x:c r="AD115" s="40" t="n">
        <x:f>F115+H115+J115</x:f>
        <x:v>2947.7213285122007</x:v>
      </x:c>
      <x:c r="AE115" s="40" t="n">
        <x:f>X115+Z115+AB115</x:f>
        <x:v>2947.7213285122007</x:v>
      </x:c>
      <x:c r="AF115" s="40" t="n">
        <x:f>AD115-AE115</x:f>
        <x:v>0</x:v>
      </x:c>
      <x:c r="AG115" s="42" t="n">
        <x:f>(O115+S115)/'Inputs &amp; Summary'!$B$4</x:f>
        <x:v>0.6</x:v>
      </x:c>
      <x:c r="AH115" s="40" t="n">
        <x:f>U115-O115-S115</x:f>
        <x:v>-270644.6158412007</x:v>
      </x:c>
      <x:c r="AI115" s="40" t="n">
        <x:f>AC115-Y115</x:f>
        <x:v>-278391.96358838654</x:v>
      </x:c>
      <x:c r="AJ115" s="40" t="n">
        <x:f>AH115-AI115</x:f>
        <x:v>7747.34774718585</x:v>
      </x:c>
    </x:row>
    <x:row r="116">
      <x:c r="A116" t="n">
        <x:f>A115+1</x:f>
        <x:v>112</x:v>
      </x:c>
      <x:c r="B116" t="n">
        <x:f>INT((A116-1)/12)+1</x:f>
        <x:v>10</x:v>
      </x:c>
      <x:c r="C116" t="n">
        <x:f>MOD(A116-1,12)+1</x:f>
        <x:v>4</x:v>
      </x:c>
      <x:c r="D116" s="40" t="n">
        <x:f>O115</x:f>
        <x:v>303768.14334306726</x:v>
      </x:c>
      <x:c r="E116" s="40" t="n">
        <x:f>D116*'Inputs &amp; Summary'!$B$15</x:f>
        <x:v>1128.5957291653363</x:v>
      </x:c>
      <x:c r="F116" s="40" t="n">
        <x:f>IF(D116&lt;=0.00000001,0,MIN('Inputs &amp; Summary'!$B$18,D116+E116))</x:f>
        <x:v>2324.586407999052</x:v>
      </x:c>
      <x:c r="G116" s="40" t="n">
        <x:f>IF(ABS(MAX(0,D116+E116-F116))&lt;0.00000001,0,MAX(0,D116+E116-F116))</x:f>
        <x:v>302572.1526642336</x:v>
      </x:c>
      <x:c r="H116" s="40" t="n">
        <x:f>MAX(0,'Inputs &amp; Summary'!$B$18-F116)</x:f>
        <x:v>0</x:v>
      </x:c>
      <x:c r="I116" s="40" t="n">
        <x:f>S115</x:f>
        <x:v>116231.85665693274</x:v>
      </x:c>
      <x:c r="J116" s="40" t="n">
        <x:f>I116*'Inputs &amp; Summary'!$B$16</x:f>
        <x:v>629.5892235583857</x:v>
      </x:c>
      <x:c r="K116" s="40" t="n">
        <x:f>IF(C116=1,J116,K115+J116)</x:f>
        <x:v>2479.726551670304</x:v>
      </x:c>
      <x:c r="L116" s="40" t="n">
        <x:f>IF(C116=12,K116*'Inputs &amp; Summary'!$B$11*'Inputs &amp; Summary'!$B$12,0)</x:f>
        <x:v>0</x:v>
      </x:c>
      <x:c r="M116" s="40" t="n">
        <x:f>MIN(L116,G116)</x:f>
        <x:v>0</x:v>
      </x:c>
      <x:c r="N116" s="40" t="n">
        <x:f>MAX(0,L116-M116)</x:f>
        <x:v>0</x:v>
      </x:c>
      <x:c r="O116" s="40" t="n">
        <x:f>IF(ABS(MAX(0,G116-M116))&lt;0.00000001,0,MAX(0,G116-M116))</x:f>
        <x:v>302572.1526642336</x:v>
      </x:c>
      <x:c r="P116" s="40" t="n">
        <x:f>MAX(0,D116-O116)</x:f>
        <x:v>1195.9906788336812</x:v>
      </x:c>
      <x:c r="Q116" s="40" t="n">
        <x:f>MAX(0,'Inputs &amp; Summary'!$B$19*'Inputs &amp; Summary'!$B$4-O116-I116)</x:f>
        <x:v>36195.99067883368</x:v>
      </x:c>
      <x:c r="R116" s="40" t="n">
        <x:f>MIN(P116,Q116)</x:f>
        <x:v>1195.9906788336812</x:v>
      </x:c>
      <x:c r="S116" s="40" t="n">
        <x:f>I116+R116</x:f>
        <x:v>117427.84733576642</x:v>
      </x:c>
      <x:c r="T116" s="40" t="n">
        <x:f>U115</x:f>
        <x:v>149355.3841587993</x:v>
      </x:c>
      <x:c r="U116" s="40" t="n">
        <x:f>T116*(1+'Inputs &amp; Summary'!$B$17)+R116+N116+H116</x:f>
        <x:v>151278.3697222322</x:v>
      </x:c>
      <x:c r="V116" s="40" t="n">
        <x:f>Y115</x:f>
        <x:v>315252.20877602586</x:v>
      </x:c>
      <x:c r="W116" s="40" t="n">
        <x:f>V116*'Inputs &amp; Summary'!$B$15</x:f>
        <x:v>1171.2627022667739</x:v>
      </x:c>
      <x:c r="X116" s="40" t="n">
        <x:f>IF(V116&lt;=0.00000001,0,MIN('Inputs &amp; Summary'!$B$18,V116+W116))</x:f>
        <x:v>2324.586407999052</x:v>
      </x:c>
      <x:c r="Y116" s="40" t="n">
        <x:f>IF(ABS(MAX(0,V116+W116-X116))&lt;0.00000001,0,MAX(0,V116+W116-X116))</x:f>
        <x:v>314098.8850702936</x:v>
      </x:c>
      <x:c r="Z116" s="40" t="n">
        <x:f>MAX(0,'Inputs &amp; Summary'!$B$18-X116)</x:f>
        <x:v>0</x:v>
      </x:c>
      <x:c r="AA116" s="40" t="n">
        <x:f>AC115</x:f>
        <x:v>36860.2451876393</x:v>
      </x:c>
      <x:c r="AB116" s="40" t="n">
        <x:f>J116</x:f>
        <x:v>629.5892235583857</x:v>
      </x:c>
      <x:c r="AC116" s="40" t="n">
        <x:f>AA116*(1+'Inputs &amp; Summary'!$B$17)+Z116+AB116</x:f>
        <x:v>37669.25351849947</x:v>
      </x:c>
      <x:c r="AD116" s="40" t="n">
        <x:f>F116+H116+J116</x:f>
        <x:v>2954.1756315574376</x:v>
      </x:c>
      <x:c r="AE116" s="40" t="n">
        <x:f>X116+Z116+AB116</x:f>
        <x:v>2954.1756315574376</x:v>
      </x:c>
      <x:c r="AF116" s="40" t="n">
        <x:f>AD116-AE116</x:f>
        <x:v>0</x:v>
      </x:c>
      <x:c r="AG116" s="42" t="n">
        <x:f>(O116+S116)/'Inputs &amp; Summary'!$B$4</x:f>
        <x:v>0.6</x:v>
      </x:c>
      <x:c r="AH116" s="40" t="n">
        <x:f>U116-O116-S116</x:f>
        <x:v>-268721.6302777678</x:v>
      </x:c>
      <x:c r="AI116" s="40" t="n">
        <x:f>AC116-Y116</x:f>
        <x:v>-276429.6315517941</x:v>
      </x:c>
      <x:c r="AJ116" s="40" t="n">
        <x:f>AH116-AI116</x:f>
        <x:v>7708.001274026348</x:v>
      </x:c>
    </x:row>
    <x:row r="117">
      <x:c r="A117" t="n">
        <x:f>A116+1</x:f>
        <x:v>113</x:v>
      </x:c>
      <x:c r="B117" t="n">
        <x:f>INT((A117-1)/12)+1</x:f>
        <x:v>10</x:v>
      </x:c>
      <x:c r="C117" t="n">
        <x:f>MOD(A117-1,12)+1</x:f>
        <x:v>5</x:v>
      </x:c>
      <x:c r="D117" s="40" t="n">
        <x:f>O116</x:f>
        <x:v>302572.1526642336</x:v>
      </x:c>
      <x:c r="E117" s="40" t="n">
        <x:f>D117*'Inputs &amp; Summary'!$B$15</x:f>
        <x:v>1124.1522415849786</x:v>
      </x:c>
      <x:c r="F117" s="40" t="n">
        <x:f>IF(D117&lt;=0.00000001,0,MIN('Inputs &amp; Summary'!$B$18,D117+E117))</x:f>
        <x:v>2324.586407999052</x:v>
      </x:c>
      <x:c r="G117" s="40" t="n">
        <x:f>IF(ABS(MAX(0,D117+E117-F117))&lt;0.00000001,0,MAX(0,D117+E117-F117))</x:f>
        <x:v>301371.7184978195</x:v>
      </x:c>
      <x:c r="H117" s="40" t="n">
        <x:f>MAX(0,'Inputs &amp; Summary'!$B$18-F117)</x:f>
        <x:v>0</x:v>
      </x:c>
      <x:c r="I117" s="40" t="n">
        <x:f>S116</x:f>
        <x:v>117427.84733576642</x:v>
      </x:c>
      <x:c r="J117" s="40" t="n">
        <x:f>I117*'Inputs &amp; Summary'!$B$16</x:f>
        <x:v>636.0675064020681</x:v>
      </x:c>
      <x:c r="K117" s="40" t="n">
        <x:f>IF(C117=1,J117,K116+J117)</x:f>
        <x:v>3115.7940580723725</x:v>
      </x:c>
      <x:c r="L117" s="40" t="n">
        <x:f>IF(C117=12,K117*'Inputs &amp; Summary'!$B$11*'Inputs &amp; Summary'!$B$12,0)</x:f>
        <x:v>0</x:v>
      </x:c>
      <x:c r="M117" s="40" t="n">
        <x:f>MIN(L117,G117)</x:f>
        <x:v>0</x:v>
      </x:c>
      <x:c r="N117" s="40" t="n">
        <x:f>MAX(0,L117-M117)</x:f>
        <x:v>0</x:v>
      </x:c>
      <x:c r="O117" s="40" t="n">
        <x:f>IF(ABS(MAX(0,G117-M117))&lt;0.00000001,0,MAX(0,G117-M117))</x:f>
        <x:v>301371.7184978195</x:v>
      </x:c>
      <x:c r="P117" s="40" t="n">
        <x:f>MAX(0,D117-O117)</x:f>
        <x:v>1200.4341664140811</x:v>
      </x:c>
      <x:c r="Q117" s="40" t="n">
        <x:f>MAX(0,'Inputs &amp; Summary'!$B$19*'Inputs &amp; Summary'!$B$4-O117-I117)</x:f>
        <x:v>36200.43416641408</x:v>
      </x:c>
      <x:c r="R117" s="40" t="n">
        <x:f>MIN(P117,Q117)</x:f>
        <x:v>1200.4341664140811</x:v>
      </x:c>
      <x:c r="S117" s="40" t="n">
        <x:f>I117+R117</x:f>
        <x:v>118628.2815021805</x:v>
      </x:c>
      <x:c r="T117" s="40" t="n">
        <x:f>U116</x:f>
        <x:v>151278.3697222322</x:v>
      </x:c>
      <x:c r="U117" s="40" t="n">
        <x:f>T117*(1+'Inputs &amp; Summary'!$B$17)+R117+N117+H117</x:f>
        <x:v>153215.1590027119</x:v>
      </x:c>
      <x:c r="V117" s="40" t="n">
        <x:f>Y116</x:f>
        <x:v>314098.8850702936</x:v>
      </x:c>
      <x:c r="W117" s="40" t="n">
        <x:f>V117*'Inputs &amp; Summary'!$B$15</x:f>
        <x:v>1166.9777361267777</x:v>
      </x:c>
      <x:c r="X117" s="40" t="n">
        <x:f>IF(V117&lt;=0.00000001,0,MIN('Inputs &amp; Summary'!$B$18,V117+W117))</x:f>
        <x:v>2324.586407999052</x:v>
      </x:c>
      <x:c r="Y117" s="40" t="n">
        <x:f>IF(ABS(MAX(0,V117+W117-X117))&lt;0.00000001,0,MAX(0,V117+W117-X117))</x:f>
        <x:v>312941.2763984214</x:v>
      </x:c>
      <x:c r="Z117" s="40" t="n">
        <x:f>MAX(0,'Inputs &amp; Summary'!$B$18-X117)</x:f>
        <x:v>0</x:v>
      </x:c>
      <x:c r="AA117" s="40" t="n">
        <x:f>AC116</x:f>
        <x:v>37669.25351849947</x:v>
      </x:c>
      <x:c r="AB117" s="40" t="n">
        <x:f>J117</x:f>
        <x:v>636.0675064020681</x:v>
      </x:c>
      <x:c r="AC117" s="40" t="n">
        <x:f>AA117*(1+'Inputs &amp; Summary'!$B$17)+Z117+AB117</x:f>
        <x:v>38488.67802116156</x:v>
      </x:c>
      <x:c r="AD117" s="40" t="n">
        <x:f>F117+H117+J117</x:f>
        <x:v>2960.6539144011203</x:v>
      </x:c>
      <x:c r="AE117" s="40" t="n">
        <x:f>X117+Z117+AB117</x:f>
        <x:v>2960.6539144011203</x:v>
      </x:c>
      <x:c r="AF117" s="40" t="n">
        <x:f>AD117-AE117</x:f>
        <x:v>0</x:v>
      </x:c>
      <x:c r="AG117" s="42" t="n">
        <x:f>(O117+S117)/'Inputs &amp; Summary'!$B$4</x:f>
        <x:v>0.6</x:v>
      </x:c>
      <x:c r="AH117" s="40" t="n">
        <x:f>U117-O117-S117</x:f>
        <x:v>-266784.8409972881</x:v>
      </x:c>
      <x:c r="AI117" s="40" t="n">
        <x:f>AC117-Y117</x:f>
        <x:v>-274452.5983772598</x:v>
      </x:c>
      <x:c r="AJ117" s="40" t="n">
        <x:f>AH117-AI117</x:f>
        <x:v>7667.757379971677</x:v>
      </x:c>
    </x:row>
    <x:row r="118">
      <x:c r="A118" t="n">
        <x:f>A117+1</x:f>
        <x:v>114</x:v>
      </x:c>
      <x:c r="B118" t="n">
        <x:f>INT((A118-1)/12)+1</x:f>
        <x:v>10</x:v>
      </x:c>
      <x:c r="C118" t="n">
        <x:f>MOD(A118-1,12)+1</x:f>
        <x:v>6</x:v>
      </x:c>
      <x:c r="D118" s="40" t="n">
        <x:f>O117</x:f>
        <x:v>301371.7184978195</x:v>
      </x:c>
      <x:c r="E118" s="40" t="n">
        <x:f>D118*'Inputs &amp; Summary'!$B$15</x:f>
        <x:v>1119.692245028233</x:v>
      </x:c>
      <x:c r="F118" s="40" t="n">
        <x:f>IF(D118&lt;=0.00000001,0,MIN('Inputs &amp; Summary'!$B$18,D118+E118))</x:f>
        <x:v>2324.586407999052</x:v>
      </x:c>
      <x:c r="G118" s="40" t="n">
        <x:f>IF(ABS(MAX(0,D118+E118-F118))&lt;0.00000001,0,MAX(0,D118+E118-F118))</x:f>
        <x:v>300166.8243348487</x:v>
      </x:c>
      <x:c r="H118" s="40" t="n">
        <x:f>MAX(0,'Inputs &amp; Summary'!$B$18-F118)</x:f>
        <x:v>0</x:v>
      </x:c>
      <x:c r="I118" s="40" t="n">
        <x:f>S117</x:f>
        <x:v>118628.2815021805</x:v>
      </x:c>
      <x:c r="J118" s="40" t="n">
        <x:f>I118*'Inputs &amp; Summary'!$B$16</x:f>
        <x:v>642.569858136811</x:v>
      </x:c>
      <x:c r="K118" s="40" t="n">
        <x:f>IF(C118=1,J118,K117+J118)</x:f>
        <x:v>3758.3639162091836</x:v>
      </x:c>
      <x:c r="L118" s="40" t="n">
        <x:f>IF(C118=12,K118*'Inputs &amp; Summary'!$B$11*'Inputs &amp; Summary'!$B$12,0)</x:f>
        <x:v>0</x:v>
      </x:c>
      <x:c r="M118" s="40" t="n">
        <x:f>MIN(L118,G118)</x:f>
        <x:v>0</x:v>
      </x:c>
      <x:c r="N118" s="40" t="n">
        <x:f>MAX(0,L118-M118)</x:f>
        <x:v>0</x:v>
      </x:c>
      <x:c r="O118" s="40" t="n">
        <x:f>IF(ABS(MAX(0,G118-M118))&lt;0.00000001,0,MAX(0,G118-M118))</x:f>
        <x:v>300166.8243348487</x:v>
      </x:c>
      <x:c r="P118" s="40" t="n">
        <x:f>MAX(0,D118-O118)</x:f>
        <x:v>1204.894162970828</x:v>
      </x:c>
      <x:c r="Q118" s="40" t="n">
        <x:f>MAX(0,'Inputs &amp; Summary'!$B$19*'Inputs &amp; Summary'!$B$4-O118-I118)</x:f>
        <x:v>36204.89416297083</x:v>
      </x:c>
      <x:c r="R118" s="40" t="n">
        <x:f>MIN(P118,Q118)</x:f>
        <x:v>1204.894162970828</x:v>
      </x:c>
      <x:c r="S118" s="40" t="n">
        <x:f>I118+R118</x:f>
        <x:v>119833.17566515133</x:v>
      </x:c>
      <x:c r="T118" s="40" t="n">
        <x:f>U117</x:f>
        <x:v>153215.1590027119</x:v>
      </x:c>
      <x:c r="U118" s="40" t="n">
        <x:f>T118*(1+'Inputs &amp; Summary'!$B$17)+R118+N118+H118</x:f>
        <x:v>155165.83569950552</x:v>
      </x:c>
      <x:c r="V118" s="40" t="n">
        <x:f>Y117</x:f>
        <x:v>312941.2763984214</x:v>
      </x:c>
      <x:c r="W118" s="40" t="n">
        <x:f>V118*'Inputs &amp; Summary'!$B$15</x:f>
        <x:v>1162.6768499682044</x:v>
      </x:c>
      <x:c r="X118" s="40" t="n">
        <x:f>IF(V118&lt;=0.00000001,0,MIN('Inputs &amp; Summary'!$B$18,V118+W118))</x:f>
        <x:v>2324.586407999052</x:v>
      </x:c>
      <x:c r="Y118" s="40" t="n">
        <x:f>IF(ABS(MAX(0,V118+W118-X118))&lt;0.00000001,0,MAX(0,V118+W118-X118))</x:f>
        <x:v>311779.36684039055</x:v>
      </x:c>
      <x:c r="Z118" s="40" t="n">
        <x:f>MAX(0,'Inputs &amp; Summary'!$B$18-X118)</x:f>
        <x:v>0</x:v>
      </x:c>
      <x:c r="AA118" s="40" t="n">
        <x:f>AC117</x:f>
        <x:v>38488.67802116156</x:v>
      </x:c>
      <x:c r="AB118" s="40" t="n">
        <x:f>J118</x:f>
        <x:v>642.569858136811</x:v>
      </x:c>
      <x:c r="AC118" s="40" t="n">
        <x:f>AA118*(1+'Inputs &amp; Summary'!$B$17)+Z118+AB118</x:f>
        <x:v>39318.593465759586</x:v>
      </x:c>
      <x:c r="AD118" s="40" t="n">
        <x:f>F118+H118+J118</x:f>
        <x:v>2967.156266135863</x:v>
      </x:c>
      <x:c r="AE118" s="40" t="n">
        <x:f>X118+Z118+AB118</x:f>
        <x:v>2967.156266135863</x:v>
      </x:c>
      <x:c r="AF118" s="40" t="n">
        <x:f>AD118-AE118</x:f>
        <x:v>0</x:v>
      </x:c>
      <x:c r="AG118" s="42" t="n">
        <x:f>(O118+S118)/'Inputs &amp; Summary'!$B$4</x:f>
        <x:v>0.6</x:v>
      </x:c>
      <x:c r="AH118" s="40" t="n">
        <x:f>U118-O118-S118</x:f>
        <x:v>-264834.1643004945</x:v>
      </x:c>
      <x:c r="AI118" s="40" t="n">
        <x:f>AC118-Y118</x:f>
        <x:v>-272460.77337463095</x:v>
      </x:c>
      <x:c r="AJ118" s="40" t="n">
        <x:f>AH118-AI118</x:f>
        <x:v>7626.609074136475</x:v>
      </x:c>
    </x:row>
    <x:row r="119">
      <x:c r="A119" t="n">
        <x:f>A118+1</x:f>
        <x:v>115</x:v>
      </x:c>
      <x:c r="B119" t="n">
        <x:f>INT((A119-1)/12)+1</x:f>
        <x:v>10</x:v>
      </x:c>
      <x:c r="C119" t="n">
        <x:f>MOD(A119-1,12)+1</x:f>
        <x:v>7</x:v>
      </x:c>
      <x:c r="D119" s="40" t="n">
        <x:f>O118</x:f>
        <x:v>300166.8243348487</x:v>
      </x:c>
      <x:c r="E119" s="40" t="n">
        <x:f>D119*'Inputs &amp; Summary'!$B$15</x:f>
        <x:v>1115.2156781589765</x:v>
      </x:c>
      <x:c r="F119" s="40" t="n">
        <x:f>IF(D119&lt;=0.00000001,0,MIN('Inputs &amp; Summary'!$B$18,D119+E119))</x:f>
        <x:v>2324.586407999052</x:v>
      </x:c>
      <x:c r="G119" s="40" t="n">
        <x:f>IF(ABS(MAX(0,D119+E119-F119))&lt;0.00000001,0,MAX(0,D119+E119-F119))</x:f>
        <x:v>298957.4536050086</x:v>
      </x:c>
      <x:c r="H119" s="40" t="n">
        <x:f>MAX(0,'Inputs &amp; Summary'!$B$18-F119)</x:f>
        <x:v>0</x:v>
      </x:c>
      <x:c r="I119" s="40" t="n">
        <x:f>S118</x:f>
        <x:v>119833.17566515133</x:v>
      </x:c>
      <x:c r="J119" s="40" t="n">
        <x:f>I119*'Inputs &amp; Summary'!$B$16</x:f>
        <x:v>649.0963681862364</x:v>
      </x:c>
      <x:c r="K119" s="40" t="n">
        <x:f>IF(C119=1,J119,K118+J119)</x:f>
        <x:v>4407.46028439542</x:v>
      </x:c>
      <x:c r="L119" s="40" t="n">
        <x:f>IF(C119=12,K119*'Inputs &amp; Summary'!$B$11*'Inputs &amp; Summary'!$B$12,0)</x:f>
        <x:v>0</x:v>
      </x:c>
      <x:c r="M119" s="40" t="n">
        <x:f>MIN(L119,G119)</x:f>
        <x:v>0</x:v>
      </x:c>
      <x:c r="N119" s="40" t="n">
        <x:f>MAX(0,L119-M119)</x:f>
        <x:v>0</x:v>
      </x:c>
      <x:c r="O119" s="40" t="n">
        <x:f>IF(ABS(MAX(0,G119-M119))&lt;0.00000001,0,MAX(0,G119-M119))</x:f>
        <x:v>298957.4536050086</x:v>
      </x:c>
      <x:c r="P119" s="40" t="n">
        <x:f>MAX(0,D119-O119)</x:f>
        <x:v>1209.3707298400695</x:v>
      </x:c>
      <x:c r="Q119" s="40" t="n">
        <x:f>MAX(0,'Inputs &amp; Summary'!$B$19*'Inputs &amp; Summary'!$B$4-O119-I119)</x:f>
        <x:v>36209.37072984007</x:v>
      </x:c>
      <x:c r="R119" s="40" t="n">
        <x:f>MIN(P119,Q119)</x:f>
        <x:v>1209.3707298400695</x:v>
      </x:c>
      <x:c r="S119" s="40" t="n">
        <x:f>I119+R119</x:f>
        <x:v>121042.5463949914</x:v>
      </x:c>
      <x:c r="T119" s="40" t="n">
        <x:f>U118</x:f>
        <x:v>155165.83569950552</x:v>
      </x:c>
      <x:c r="U119" s="40" t="n">
        <x:f>T119*(1+'Inputs &amp; Summary'!$B$17)+R119+N119+H119</x:f>
        <x:v>157130.48398062665</x:v>
      </x:c>
      <x:c r="V119" s="40" t="n">
        <x:f>Y118</x:f>
        <x:v>311779.36684039055</x:v>
      </x:c>
      <x:c r="W119" s="40" t="n">
        <x:f>V119*'Inputs &amp; Summary'!$B$15</x:f>
        <x:v>1158.3599846430968</x:v>
      </x:c>
      <x:c r="X119" s="40" t="n">
        <x:f>IF(V119&lt;=0.00000001,0,MIN('Inputs &amp; Summary'!$B$18,V119+W119))</x:f>
        <x:v>2324.586407999052</x:v>
      </x:c>
      <x:c r="Y119" s="40" t="n">
        <x:f>IF(ABS(MAX(0,V119+W119-X119))&lt;0.00000001,0,MAX(0,V119+W119-X119))</x:f>
        <x:v>310613.1404170346</x:v>
      </x:c>
      <x:c r="Z119" s="40" t="n">
        <x:f>MAX(0,'Inputs &amp; Summary'!$B$18-X119)</x:f>
        <x:v>0</x:v>
      </x:c>
      <x:c r="AA119" s="40" t="n">
        <x:f>AC118</x:f>
        <x:v>39318.593465759586</x:v>
      </x:c>
      <x:c r="AB119" s="40" t="n">
        <x:f>J119</x:f>
        <x:v>649.0963681862364</x:v>
      </x:c>
      <x:c r="AC119" s="40" t="n">
        <x:f>AA119*(1+'Inputs &amp; Summary'!$B$17)+Z119+AB119</x:f>
        <x:v>40159.07507579857</x:v>
      </x:c>
      <x:c r="AD119" s="40" t="n">
        <x:f>F119+H119+J119</x:f>
        <x:v>2973.6827761852883</x:v>
      </x:c>
      <x:c r="AE119" s="40" t="n">
        <x:f>X119+Z119+AB119</x:f>
        <x:v>2973.6827761852883</x:v>
      </x:c>
      <x:c r="AF119" s="40" t="n">
        <x:f>AD119-AE119</x:f>
        <x:v>0</x:v>
      </x:c>
      <x:c r="AG119" s="42" t="n">
        <x:f>(O119+S119)/'Inputs &amp; Summary'!$B$4</x:f>
        <x:v>0.6</x:v>
      </x:c>
      <x:c r="AH119" s="40" t="n">
        <x:f>U119-O119-S119</x:f>
        <x:v>-262869.5160193733</x:v>
      </x:c>
      <x:c r="AI119" s="40" t="n">
        <x:f>AC119-Y119</x:f>
        <x:v>-270454.06534123607</x:v>
      </x:c>
      <x:c r="AJ119" s="40" t="n">
        <x:f>AH119-AI119</x:f>
        <x:v>7584.549321862753</x:v>
      </x:c>
    </x:row>
    <x:row r="120">
      <x:c r="A120" t="n">
        <x:f>A119+1</x:f>
        <x:v>116</x:v>
      </x:c>
      <x:c r="B120" t="n">
        <x:f>INT((A120-1)/12)+1</x:f>
        <x:v>10</x:v>
      </x:c>
      <x:c r="C120" t="n">
        <x:f>MOD(A120-1,12)+1</x:f>
        <x:v>8</x:v>
      </x:c>
      <x:c r="D120" s="40" t="n">
        <x:f>O119</x:f>
        <x:v>298957.4536050086</x:v>
      </x:c>
      <x:c r="E120" s="40" t="n">
        <x:f>D120*'Inputs &amp; Summary'!$B$15</x:f>
        <x:v>1110.7224794132028</x:v>
      </x:c>
      <x:c r="F120" s="40" t="n">
        <x:f>IF(D120&lt;=0.00000001,0,MIN('Inputs &amp; Summary'!$B$18,D120+E120))</x:f>
        <x:v>2324.586407999052</x:v>
      </x:c>
      <x:c r="G120" s="40" t="n">
        <x:f>IF(ABS(MAX(0,D120+E120-F120))&lt;0.00000001,0,MAX(0,D120+E120-F120))</x:f>
        <x:v>297743.58967642277</x:v>
      </x:c>
      <x:c r="H120" s="40" t="n">
        <x:f>MAX(0,'Inputs &amp; Summary'!$B$18-F120)</x:f>
        <x:v>0</x:v>
      </x:c>
      <x:c r="I120" s="40" t="n">
        <x:f>S119</x:f>
        <x:v>121042.5463949914</x:v>
      </x:c>
      <x:c r="J120" s="40" t="n">
        <x:f>I120*'Inputs &amp; Summary'!$B$16</x:f>
        <x:v>655.6471263062034</x:v>
      </x:c>
      <x:c r="K120" s="40" t="n">
        <x:f>IF(C120=1,J120,K119+J120)</x:f>
        <x:v>5063.107410701623</x:v>
      </x:c>
      <x:c r="L120" s="40" t="n">
        <x:f>IF(C120=12,K120*'Inputs &amp; Summary'!$B$11*'Inputs &amp; Summary'!$B$12,0)</x:f>
        <x:v>0</x:v>
      </x:c>
      <x:c r="M120" s="40" t="n">
        <x:f>MIN(L120,G120)</x:f>
        <x:v>0</x:v>
      </x:c>
      <x:c r="N120" s="40" t="n">
        <x:f>MAX(0,L120-M120)</x:f>
        <x:v>0</x:v>
      </x:c>
      <x:c r="O120" s="40" t="n">
        <x:f>IF(ABS(MAX(0,G120-M120))&lt;0.00000001,0,MAX(0,G120-M120))</x:f>
        <x:v>297743.58967642277</x:v>
      </x:c>
      <x:c r="P120" s="40" t="n">
        <x:f>MAX(0,D120-O120)</x:f>
        <x:v>1213.8639285858371</x:v>
      </x:c>
      <x:c r="Q120" s="40" t="n">
        <x:f>MAX(0,'Inputs &amp; Summary'!$B$19*'Inputs &amp; Summary'!$B$4-O120-I120)</x:f>
        <x:v>36213.86392858584</x:v>
      </x:c>
      <x:c r="R120" s="40" t="n">
        <x:f>MIN(P120,Q120)</x:f>
        <x:v>1213.8639285858371</x:v>
      </x:c>
      <x:c r="S120" s="40" t="n">
        <x:f>I120+R120</x:f>
        <x:v>122256.41032357723</x:v>
      </x:c>
      <x:c r="T120" s="40" t="n">
        <x:f>U119</x:f>
        <x:v>157130.48398062665</x:v>
      </x:c>
      <x:c r="U120" s="40" t="n">
        <x:f>T120*(1+'Inputs &amp; Summary'!$B$17)+R120+N120+H120</x:f>
        <x:v>159109.18848534502</x:v>
      </x:c>
      <x:c r="V120" s="40" t="n">
        <x:f>Y119</x:f>
        <x:v>310613.1404170346</x:v>
      </x:c>
      <x:c r="W120" s="40" t="n">
        <x:f>V120*'Inputs &amp; Summary'!$B$15</x:f>
        <x:v>1154.027080783745</x:v>
      </x:c>
      <x:c r="X120" s="40" t="n">
        <x:f>IF(V120&lt;=0.00000001,0,MIN('Inputs &amp; Summary'!$B$18,V120+W120))</x:f>
        <x:v>2324.586407999052</x:v>
      </x:c>
      <x:c r="Y120" s="40" t="n">
        <x:f>IF(ABS(MAX(0,V120+W120-X120))&lt;0.00000001,0,MAX(0,V120+W120-X120))</x:f>
        <x:v>309442.5810898193</x:v>
      </x:c>
      <x:c r="Z120" s="40" t="n">
        <x:f>MAX(0,'Inputs &amp; Summary'!$B$18-X120)</x:f>
        <x:v>0</x:v>
      </x:c>
      <x:c r="AA120" s="40" t="n">
        <x:f>AC119</x:f>
        <x:v>40159.07507579857</x:v>
      </x:c>
      <x:c r="AB120" s="40" t="n">
        <x:f>J120</x:f>
        <x:v>655.6471263062034</x:v>
      </x:c>
      <x:c r="AC120" s="40" t="n">
        <x:f>AA120*(1+'Inputs &amp; Summary'!$B$17)+Z120+AB120</x:f>
        <x:v>41010.19853069363</x:v>
      </x:c>
      <x:c r="AD120" s="40" t="n">
        <x:f>F120+H120+J120</x:f>
        <x:v>2980.2335343052555</x:v>
      </x:c>
      <x:c r="AE120" s="40" t="n">
        <x:f>X120+Z120+AB120</x:f>
        <x:v>2980.2335343052555</x:v>
      </x:c>
      <x:c r="AF120" s="40" t="n">
        <x:f>AD120-AE120</x:f>
        <x:v>0</x:v>
      </x:c>
      <x:c r="AG120" s="42" t="n">
        <x:f>(O120+S120)/'Inputs &amp; Summary'!$B$4</x:f>
        <x:v>0.6</x:v>
      </x:c>
      <x:c r="AH120" s="40" t="n">
        <x:f>U120-O120-S120</x:f>
        <x:v>-260890.81151465498</x:v>
      </x:c>
      <x:c r="AI120" s="40" t="n">
        <x:f>AC120-Y120</x:f>
        <x:v>-268432.38255912566</x:v>
      </x:c>
      <x:c r="AJ120" s="40" t="n">
        <x:f>AH120-AI120</x:f>
        <x:v>7541.571044470678</x:v>
      </x:c>
    </x:row>
    <x:row r="121">
      <x:c r="A121" t="n">
        <x:f>A120+1</x:f>
        <x:v>117</x:v>
      </x:c>
      <x:c r="B121" t="n">
        <x:f>INT((A121-1)/12)+1</x:f>
        <x:v>10</x:v>
      </x:c>
      <x:c r="C121" t="n">
        <x:f>MOD(A121-1,12)+1</x:f>
        <x:v>9</x:v>
      </x:c>
      <x:c r="D121" s="40" t="n">
        <x:f>O120</x:f>
        <x:v>297743.58967642277</x:v>
      </x:c>
      <x:c r="E121" s="40" t="n">
        <x:f>D121*'Inputs &amp; Summary'!$B$15</x:f>
        <x:v>1106.2125869981753</x:v>
      </x:c>
      <x:c r="F121" s="40" t="n">
        <x:f>IF(D121&lt;=0.00000001,0,MIN('Inputs &amp; Summary'!$B$18,D121+E121))</x:f>
        <x:v>2324.586407999052</x:v>
      </x:c>
      <x:c r="G121" s="40" t="n">
        <x:f>IF(ABS(MAX(0,D121+E121-F121))&lt;0.00000001,0,MAX(0,D121+E121-F121))</x:f>
        <x:v>296525.2158554219</x:v>
      </x:c>
      <x:c r="H121" s="40" t="n">
        <x:f>MAX(0,'Inputs &amp; Summary'!$B$18-F121)</x:f>
        <x:v>0</x:v>
      </x:c>
      <x:c r="I121" s="40" t="n">
        <x:f>S120</x:f>
        <x:v>122256.41032357723</x:v>
      </x:c>
      <x:c r="J121" s="40" t="n">
        <x:f>I121*'Inputs &amp; Summary'!$B$16</x:f>
        <x:v>662.2222225860434</x:v>
      </x:c>
      <x:c r="K121" s="40" t="n">
        <x:f>IF(C121=1,J121,K120+J121)</x:f>
        <x:v>5725.329633287666</x:v>
      </x:c>
      <x:c r="L121" s="40" t="n">
        <x:f>IF(C121=12,K121*'Inputs &amp; Summary'!$B$11*'Inputs &amp; Summary'!$B$12,0)</x:f>
        <x:v>0</x:v>
      </x:c>
      <x:c r="M121" s="40" t="n">
        <x:f>MIN(L121,G121)</x:f>
        <x:v>0</x:v>
      </x:c>
      <x:c r="N121" s="40" t="n">
        <x:f>MAX(0,L121-M121)</x:f>
        <x:v>0</x:v>
      </x:c>
      <x:c r="O121" s="40" t="n">
        <x:f>IF(ABS(MAX(0,G121-M121))&lt;0.00000001,0,MAX(0,G121-M121))</x:f>
        <x:v>296525.2158554219</x:v>
      </x:c>
      <x:c r="P121" s="40" t="n">
        <x:f>MAX(0,D121-O121)</x:f>
        <x:v>1218.3738210008596</x:v>
      </x:c>
      <x:c r="Q121" s="40" t="n">
        <x:f>MAX(0,'Inputs &amp; Summary'!$B$19*'Inputs &amp; Summary'!$B$4-O121-I121)</x:f>
        <x:v>36218.37382100086</x:v>
      </x:c>
      <x:c r="R121" s="40" t="n">
        <x:f>MIN(P121,Q121)</x:f>
        <x:v>1218.3738210008596</x:v>
      </x:c>
      <x:c r="S121" s="40" t="n">
        <x:f>I121+R121</x:f>
        <x:v>123474.7841445781</x:v>
      </x:c>
      <x:c r="T121" s="40" t="n">
        <x:f>U120</x:f>
        <x:v>159109.18848534502</x:v>
      </x:c>
      <x:c r="U121" s="40" t="n">
        <x:f>T121*(1+'Inputs &amp; Summary'!$B$17)+R121+N121+H121</x:f>
        <x:v>161102.034326709</x:v>
      </x:c>
      <x:c r="V121" s="40" t="n">
        <x:f>Y120</x:f>
        <x:v>309442.5810898193</x:v>
      </x:c>
      <x:c r="W121" s="40" t="n">
        <x:f>V121*'Inputs &amp; Summary'!$B$15</x:f>
        <x:v>1149.6780788018689</x:v>
      </x:c>
      <x:c r="X121" s="40" t="n">
        <x:f>IF(V121&lt;=0.00000001,0,MIN('Inputs &amp; Summary'!$B$18,V121+W121))</x:f>
        <x:v>2324.586407999052</x:v>
      </x:c>
      <x:c r="Y121" s="40" t="n">
        <x:f>IF(ABS(MAX(0,V121+W121-X121))&lt;0.00000001,0,MAX(0,V121+W121-X121))</x:f>
        <x:v>308267.67276062217</x:v>
      </x:c>
      <x:c r="Z121" s="40" t="n">
        <x:f>MAX(0,'Inputs &amp; Summary'!$B$18-X121)</x:f>
        <x:v>0</x:v>
      </x:c>
      <x:c r="AA121" s="40" t="n">
        <x:f>AC120</x:f>
        <x:v>41010.19853069363</x:v>
      </x:c>
      <x:c r="AB121" s="40" t="n">
        <x:f>J121</x:f>
        <x:v>662.2222225860434</x:v>
      </x:c>
      <x:c r="AC121" s="40" t="n">
        <x:f>AA121*(1+'Inputs &amp; Summary'!$B$17)+Z121+AB121</x:f>
        <x:v>41872.039968322584</x:v>
      </x:c>
      <x:c r="AD121" s="40" t="n">
        <x:f>F121+H121+J121</x:f>
        <x:v>2986.808630585095</x:v>
      </x:c>
      <x:c r="AE121" s="40" t="n">
        <x:f>X121+Z121+AB121</x:f>
        <x:v>2986.808630585095</x:v>
      </x:c>
      <x:c r="AF121" s="40" t="n">
        <x:f>AD121-AE121</x:f>
        <x:v>0</x:v>
      </x:c>
      <x:c r="AG121" s="42" t="n">
        <x:f>(O121+S121)/'Inputs &amp; Summary'!$B$4</x:f>
        <x:v>0.6</x:v>
      </x:c>
      <x:c r="AH121" s="40" t="n">
        <x:f>U121-O121-S121</x:f>
        <x:v>-258897.965673291</x:v>
      </x:c>
      <x:c r="AI121" s="40" t="n">
        <x:f>AC121-Y121</x:f>
        <x:v>-266395.6327922996</x:v>
      </x:c>
      <x:c r="AJ121" s="40" t="n">
        <x:f>AH121-AI121</x:f>
        <x:v>7497.667119008605</x:v>
      </x:c>
    </x:row>
    <x:row r="122">
      <x:c r="A122" t="n">
        <x:f>A121+1</x:f>
        <x:v>118</x:v>
      </x:c>
      <x:c r="B122" t="n">
        <x:f>INT((A122-1)/12)+1</x:f>
        <x:v>10</x:v>
      </x:c>
      <x:c r="C122" t="n">
        <x:f>MOD(A122-1,12)+1</x:f>
        <x:v>10</x:v>
      </x:c>
      <x:c r="D122" s="40" t="n">
        <x:f>O121</x:f>
        <x:v>296525.2158554219</x:v>
      </x:c>
      <x:c r="E122" s="40" t="n">
        <x:f>D122*'Inputs &amp; Summary'!$B$15</x:f>
        <x:v>1101.6859388915782</x:v>
      </x:c>
      <x:c r="F122" s="40" t="n">
        <x:f>IF(D122&lt;=0.00000001,0,MIN('Inputs &amp; Summary'!$B$18,D122+E122))</x:f>
        <x:v>2324.586407999052</x:v>
      </x:c>
      <x:c r="G122" s="40" t="n">
        <x:f>IF(ABS(MAX(0,D122+E122-F122))&lt;0.00000001,0,MAX(0,D122+E122-F122))</x:f>
        <x:v>295302.31538631447</x:v>
      </x:c>
      <x:c r="H122" s="40" t="n">
        <x:f>MAX(0,'Inputs &amp; Summary'!$B$18-F122)</x:f>
        <x:v>0</x:v>
      </x:c>
      <x:c r="I122" s="40" t="n">
        <x:f>S121</x:f>
        <x:v>123474.7841445781</x:v>
      </x:c>
      <x:c r="J122" s="40" t="n">
        <x:f>I122*'Inputs &amp; Summary'!$B$16</x:f>
        <x:v>668.8217474497981</x:v>
      </x:c>
      <x:c r="K122" s="40" t="n">
        <x:f>IF(C122=1,J122,K121+J122)</x:f>
        <x:v>6394.151380737464</x:v>
      </x:c>
      <x:c r="L122" s="40" t="n">
        <x:f>IF(C122=12,K122*'Inputs &amp; Summary'!$B$11*'Inputs &amp; Summary'!$B$12,0)</x:f>
        <x:v>0</x:v>
      </x:c>
      <x:c r="M122" s="40" t="n">
        <x:f>MIN(L122,G122)</x:f>
        <x:v>0</x:v>
      </x:c>
      <x:c r="N122" s="40" t="n">
        <x:f>MAX(0,L122-M122)</x:f>
        <x:v>0</x:v>
      </x:c>
      <x:c r="O122" s="40" t="n">
        <x:f>IF(ABS(MAX(0,G122-M122))&lt;0.00000001,0,MAX(0,G122-M122))</x:f>
        <x:v>295302.31538631447</x:v>
      </x:c>
      <x:c r="P122" s="40" t="n">
        <x:f>MAX(0,D122-O122)</x:f>
        <x:v>1222.900469107437</x:v>
      </x:c>
      <x:c r="Q122" s="40" t="n">
        <x:f>MAX(0,'Inputs &amp; Summary'!$B$19*'Inputs &amp; Summary'!$B$4-O122-I122)</x:f>
        <x:v>36222.90046910744</x:v>
      </x:c>
      <x:c r="R122" s="40" t="n">
        <x:f>MIN(P122,Q122)</x:f>
        <x:v>1222.900469107437</x:v>
      </x:c>
      <x:c r="S122" s="40" t="n">
        <x:f>I122+R122</x:f>
        <x:v>124697.68461368553</x:v>
      </x:c>
      <x:c r="T122" s="40" t="n">
        <x:f>U121</x:f>
        <x:v>161102.034326709</x:v>
      </x:c>
      <x:c r="U122" s="40" t="n">
        <x:f>T122*(1+'Inputs &amp; Summary'!$B$17)+R122+N122+H122</x:f>
        <x:v>163109.10709408132</x:v>
      </x:c>
      <x:c r="V122" s="40" t="n">
        <x:f>Y121</x:f>
        <x:v>308267.67276062217</x:v>
      </x:c>
      <x:c r="W122" s="40" t="n">
        <x:f>V122*'Inputs &amp; Summary'!$B$15</x:f>
        <x:v>1145.3129188877988</x:v>
      </x:c>
      <x:c r="X122" s="40" t="n">
        <x:f>IF(V122&lt;=0.00000001,0,MIN('Inputs &amp; Summary'!$B$18,V122+W122))</x:f>
        <x:v>2324.586407999052</x:v>
      </x:c>
      <x:c r="Y122" s="40" t="n">
        <x:f>IF(ABS(MAX(0,V122+W122-X122))&lt;0.00000001,0,MAX(0,V122+W122-X122))</x:f>
        <x:v>307088.39927151095</x:v>
      </x:c>
      <x:c r="Z122" s="40" t="n">
        <x:f>MAX(0,'Inputs &amp; Summary'!$B$18-X122)</x:f>
        <x:v>0</x:v>
      </x:c>
      <x:c r="AA122" s="40" t="n">
        <x:f>AC121</x:f>
        <x:v>41872.039968322584</x:v>
      </x:c>
      <x:c r="AB122" s="40" t="n">
        <x:f>J122</x:f>
        <x:v>668.8217474497981</x:v>
      </x:c>
      <x:c r="AC122" s="40" t="n">
        <x:f>AA122*(1+'Inputs &amp; Summary'!$B$17)+Z122+AB122</x:f>
        <x:v>42744.67598759226</x:v>
      </x:c>
      <x:c r="AD122" s="40" t="n">
        <x:f>F122+H122+J122</x:f>
        <x:v>2993.4081554488503</x:v>
      </x:c>
      <x:c r="AE122" s="40" t="n">
        <x:f>X122+Z122+AB122</x:f>
        <x:v>2993.4081554488503</x:v>
      </x:c>
      <x:c r="AF122" s="40" t="n">
        <x:f>AD122-AE122</x:f>
        <x:v>0</x:v>
      </x:c>
      <x:c r="AG122" s="42" t="n">
        <x:f>(O122+S122)/'Inputs &amp; Summary'!$B$4</x:f>
        <x:v>0.6</x:v>
      </x:c>
      <x:c r="AH122" s="40" t="n">
        <x:f>U122-O122-S122</x:f>
        <x:v>-256890.89290591868</x:v>
      </x:c>
      <x:c r="AI122" s="40" t="n">
        <x:f>AC122-Y122</x:f>
        <x:v>-264343.7232839187</x:v>
      </x:c>
      <x:c r="AJ122" s="40" t="n">
        <x:f>AH122-AI122</x:f>
        <x:v>7452.830378000013</x:v>
      </x:c>
    </x:row>
    <x:row r="123">
      <x:c r="A123" t="n">
        <x:f>A122+1</x:f>
        <x:v>119</x:v>
      </x:c>
      <x:c r="B123" t="n">
        <x:f>INT((A123-1)/12)+1</x:f>
        <x:v>10</x:v>
      </x:c>
      <x:c r="C123" t="n">
        <x:f>MOD(A123-1,12)+1</x:f>
        <x:v>11</x:v>
      </x:c>
      <x:c r="D123" s="40" t="n">
        <x:f>O122</x:f>
        <x:v>295302.31538631447</x:v>
      </x:c>
      <x:c r="E123" s="40" t="n">
        <x:f>D123*'Inputs &amp; Summary'!$B$15</x:f>
        <x:v>1097.1424728406625</x:v>
      </x:c>
      <x:c r="F123" s="40" t="n">
        <x:f>IF(D123&lt;=0.00000001,0,MIN('Inputs &amp; Summary'!$B$18,D123+E123))</x:f>
        <x:v>2324.586407999052</x:v>
      </x:c>
      <x:c r="G123" s="40" t="n">
        <x:f>IF(ABS(MAX(0,D123+E123-F123))&lt;0.00000001,0,MAX(0,D123+E123-F123))</x:f>
        <x:v>294074.8714511561</x:v>
      </x:c>
      <x:c r="H123" s="40" t="n">
        <x:f>MAX(0,'Inputs &amp; Summary'!$B$18-F123)</x:f>
        <x:v>0</x:v>
      </x:c>
      <x:c r="I123" s="40" t="n">
        <x:f>S122</x:f>
        <x:v>124697.68461368553</x:v>
      </x:c>
      <x:c r="J123" s="40" t="n">
        <x:f>I123*'Inputs &amp; Summary'!$B$16</x:f>
        <x:v>675.4457916574634</x:v>
      </x:c>
      <x:c r="K123" s="40" t="n">
        <x:f>IF(C123=1,J123,K122+J123)</x:f>
        <x:v>7069.597172394928</x:v>
      </x:c>
      <x:c r="L123" s="40" t="n">
        <x:f>IF(C123=12,K123*'Inputs &amp; Summary'!$B$11*'Inputs &amp; Summary'!$B$12,0)</x:f>
        <x:v>0</x:v>
      </x:c>
      <x:c r="M123" s="40" t="n">
        <x:f>MIN(L123,G123)</x:f>
        <x:v>0</x:v>
      </x:c>
      <x:c r="N123" s="40" t="n">
        <x:f>MAX(0,L123-M123)</x:f>
        <x:v>0</x:v>
      </x:c>
      <x:c r="O123" s="40" t="n">
        <x:f>IF(ABS(MAX(0,G123-M123))&lt;0.00000001,0,MAX(0,G123-M123))</x:f>
        <x:v>294074.8714511561</x:v>
      </x:c>
      <x:c r="P123" s="40" t="n">
        <x:f>MAX(0,D123-O123)</x:f>
        <x:v>1227.4439351583715</x:v>
      </x:c>
      <x:c r="Q123" s="40" t="n">
        <x:f>MAX(0,'Inputs &amp; Summary'!$B$19*'Inputs &amp; Summary'!$B$4-O123-I123)</x:f>
        <x:v>36227.44393515837</x:v>
      </x:c>
      <x:c r="R123" s="40" t="n">
        <x:f>MIN(P123,Q123)</x:f>
        <x:v>1227.4439351583715</x:v>
      </x:c>
      <x:c r="S123" s="40" t="n">
        <x:f>I123+R123</x:f>
        <x:v>125925.1285488439</x:v>
      </x:c>
      <x:c r="T123" s="40" t="n">
        <x:f>U122</x:f>
        <x:v>163109.10709408132</x:v>
      </x:c>
      <x:c r="U123" s="40" t="n">
        <x:f>T123*(1+'Inputs &amp; Summary'!$B$17)+R123+N123+H123</x:f>
        <x:v>165130.4928556881</x:v>
      </x:c>
      <x:c r="V123" s="40" t="n">
        <x:f>Y122</x:f>
        <x:v>307088.39927151095</x:v>
      </x:c>
      <x:c r="W123" s="40" t="n">
        <x:f>V123*'Inputs &amp; Summary'!$B$15</x:f>
        <x:v>1140.9315410096526</x:v>
      </x:c>
      <x:c r="X123" s="40" t="n">
        <x:f>IF(V123&lt;=0.00000001,0,MIN('Inputs &amp; Summary'!$B$18,V123+W123))</x:f>
        <x:v>2324.586407999052</x:v>
      </x:c>
      <x:c r="Y123" s="40" t="n">
        <x:f>IF(ABS(MAX(0,V123+W123-X123))&lt;0.00000001,0,MAX(0,V123+W123-X123))</x:f>
        <x:v>305904.74440452154</x:v>
      </x:c>
      <x:c r="Z123" s="40" t="n">
        <x:f>MAX(0,'Inputs &amp; Summary'!$B$18-X123)</x:f>
        <x:v>0</x:v>
      </x:c>
      <x:c r="AA123" s="40" t="n">
        <x:f>AC122</x:f>
        <x:v>42744.67598759226</x:v>
      </x:c>
      <x:c r="AB123" s="40" t="n">
        <x:f>J123</x:f>
        <x:v>675.4457916574634</x:v>
      </x:c>
      <x:c r="AC123" s="40" t="n">
        <x:f>AA123*(1+'Inputs &amp; Summary'!$B$17)+Z123+AB123</x:f>
        <x:v>43628.18365101853</x:v>
      </x:c>
      <x:c r="AD123" s="40" t="n">
        <x:f>F123+H123+J123</x:f>
        <x:v>3000.0321996565153</x:v>
      </x:c>
      <x:c r="AE123" s="40" t="n">
        <x:f>X123+Z123+AB123</x:f>
        <x:v>3000.0321996565153</x:v>
      </x:c>
      <x:c r="AF123" s="40" t="n">
        <x:f>AD123-AE123</x:f>
        <x:v>0</x:v>
      </x:c>
      <x:c r="AG123" s="42" t="n">
        <x:f>(O123+S123)/'Inputs &amp; Summary'!$B$4</x:f>
        <x:v>0.6</x:v>
      </x:c>
      <x:c r="AH123" s="40" t="n">
        <x:f>U123-O123-S123</x:f>
        <x:v>-254869.5071443119</x:v>
      </x:c>
      <x:c r="AI123" s="40" t="n">
        <x:f>AC123-Y123</x:f>
        <x:v>-262276.560753503</x:v>
      </x:c>
      <x:c r="AJ123" s="40" t="n">
        <x:f>AH123-AI123</x:f>
        <x:v>7407.053609191091</x:v>
      </x:c>
    </x:row>
    <x:row r="124">
      <x:c r="A124" t="n">
        <x:f>A123+1</x:f>
        <x:v>120</x:v>
      </x:c>
      <x:c r="B124" t="n">
        <x:f>INT((A124-1)/12)+1</x:f>
        <x:v>10</x:v>
      </x:c>
      <x:c r="C124" t="n">
        <x:f>MOD(A124-1,12)+1</x:f>
        <x:v>12</x:v>
      </x:c>
      <x:c r="D124" s="40" t="n">
        <x:f>O123</x:f>
        <x:v>294074.8714511561</x:v>
      </x:c>
      <x:c r="E124" s="40" t="n">
        <x:f>D124*'Inputs &amp; Summary'!$B$15</x:f>
        <x:v>1092.5821263613902</x:v>
      </x:c>
      <x:c r="F124" s="40" t="n">
        <x:f>IF(D124&lt;=0.00000001,0,MIN('Inputs &amp; Summary'!$B$18,D124+E124))</x:f>
        <x:v>2324.586407999052</x:v>
      </x:c>
      <x:c r="G124" s="40" t="n">
        <x:f>IF(ABS(MAX(0,D124+E124-F124))&lt;0.00000001,0,MAX(0,D124+E124-F124))</x:f>
        <x:v>292842.86716951843</x:v>
      </x:c>
      <x:c r="H124" s="40" t="n">
        <x:f>MAX(0,'Inputs &amp; Summary'!$B$18-F124)</x:f>
        <x:v>0</x:v>
      </x:c>
      <x:c r="I124" s="40" t="n">
        <x:f>S123</x:f>
        <x:v>125925.1285488439</x:v>
      </x:c>
      <x:c r="J124" s="40" t="n">
        <x:f>I124*'Inputs &amp; Summary'!$B$16</x:f>
        <x:v>682.0944463062378</x:v>
      </x:c>
      <x:c r="K124" s="40" t="n">
        <x:f>IF(C124=1,J124,K123+J124)</x:f>
        <x:v>7751.691618701166</x:v>
      </x:c>
      <x:c r="L124" s="40" t="n">
        <x:f>IF(C124=12,K124*'Inputs &amp; Summary'!$B$11*'Inputs &amp; Summary'!$B$12,0)</x:f>
        <x:v>2713.0920665454078</x:v>
      </x:c>
      <x:c r="M124" s="40" t="n">
        <x:f>MIN(L124,G124)</x:f>
        <x:v>2713.0920665454078</x:v>
      </x:c>
      <x:c r="N124" s="40" t="n">
        <x:f>MAX(0,L124-M124)</x:f>
        <x:v>0</x:v>
      </x:c>
      <x:c r="O124" s="40" t="n">
        <x:f>IF(ABS(MAX(0,G124-M124))&lt;0.00000001,0,MAX(0,G124-M124))</x:f>
        <x:v>290129.77510297304</x:v>
      </x:c>
      <x:c r="P124" s="40" t="n">
        <x:f>MAX(0,D124-O124)</x:f>
        <x:v>3945.096348183055</x:v>
      </x:c>
      <x:c r="Q124" s="40" t="n">
        <x:f>MAX(0,'Inputs &amp; Summary'!$B$19*'Inputs &amp; Summary'!$B$4-O124-I124)</x:f>
        <x:v>38945.096348183055</x:v>
      </x:c>
      <x:c r="R124" s="40" t="n">
        <x:f>MIN(P124,Q124)</x:f>
        <x:v>3945.096348183055</x:v>
      </x:c>
      <x:c r="S124" s="40" t="n">
        <x:f>I124+R124</x:f>
        <x:v>129870.22489702696</x:v>
      </x:c>
      <x:c r="T124" s="40" t="n">
        <x:f>U123</x:f>
        <x:v>165130.4928556881</x:v>
      </x:c>
      <x:c r="U124" s="40" t="n">
        <x:f>T124*(1+'Inputs &amp; Summary'!$B$17)+R124+N124+H124</x:f>
        <x:v>169879.37022772623</x:v>
      </x:c>
      <x:c r="V124" s="40" t="n">
        <x:f>Y123</x:f>
        <x:v>305904.74440452154</x:v>
      </x:c>
      <x:c r="W124" s="40" t="n">
        <x:f>V124*'Inputs &amp; Summary'!$B$15</x:f>
        <x:v>1136.533884912511</x:v>
      </x:c>
      <x:c r="X124" s="40" t="n">
        <x:f>IF(V124&lt;=0.00000001,0,MIN('Inputs &amp; Summary'!$B$18,V124+W124))</x:f>
        <x:v>2324.586407999052</x:v>
      </x:c>
      <x:c r="Y124" s="40" t="n">
        <x:f>IF(ABS(MAX(0,V124+W124-X124))&lt;0.00000001,0,MAX(0,V124+W124-X124))</x:f>
        <x:v>304716.691881435</x:v>
      </x:c>
      <x:c r="Z124" s="40" t="n">
        <x:f>MAX(0,'Inputs &amp; Summary'!$B$18-X124)</x:f>
        <x:v>0</x:v>
      </x:c>
      <x:c r="AA124" s="40" t="n">
        <x:f>AC123</x:f>
        <x:v>43628.18365101853</x:v>
      </x:c>
      <x:c r="AB124" s="40" t="n">
        <x:f>J124</x:f>
        <x:v>682.0944463062378</x:v>
      </x:c>
      <x:c r="AC124" s="40" t="n">
        <x:f>AA124*(1+'Inputs &amp; Summary'!$B$17)+Z124+AB124</x:f>
        <x:v>44522.640487320175</x:v>
      </x:c>
      <x:c r="AD124" s="40" t="n">
        <x:f>F124+H124+J124</x:f>
        <x:v>3006.68085430529</x:v>
      </x:c>
      <x:c r="AE124" s="40" t="n">
        <x:f>X124+Z124+AB124</x:f>
        <x:v>3006.68085430529</x:v>
      </x:c>
      <x:c r="AF124" s="40" t="n">
        <x:f>AD124-AE124</x:f>
        <x:v>0</x:v>
      </x:c>
      <x:c r="AG124" s="42" t="n">
        <x:f>(O124+S124)/'Inputs &amp; Summary'!$B$4</x:f>
        <x:v>0.6</x:v>
      </x:c>
      <x:c r="AH124" s="40" t="n">
        <x:f>U124-O124-S124</x:f>
        <x:v>-250120.62977227377</x:v>
      </x:c>
      <x:c r="AI124" s="40" t="n">
        <x:f>AC124-Y124</x:f>
        <x:v>-260194.05139411482</x:v>
      </x:c>
      <x:c r="AJ124" s="40" t="n">
        <x:f>AH124-AI124</x:f>
        <x:v>10073.421621841058</x:v>
      </x:c>
    </x:row>
    <x:row r="125">
      <x:c r="A125" t="n">
        <x:f>A124+1</x:f>
        <x:v>121</x:v>
      </x:c>
      <x:c r="B125" t="n">
        <x:f>INT((A125-1)/12)+1</x:f>
        <x:v>11</x:v>
      </x:c>
      <x:c r="C125" t="n">
        <x:f>MOD(A125-1,12)+1</x:f>
        <x:v>1</x:v>
      </x:c>
      <x:c r="D125" s="40" t="n">
        <x:f>O124</x:f>
        <x:v>290129.77510297304</x:v>
      </x:c>
      <x:c r="E125" s="40" t="n">
        <x:f>D125*'Inputs &amp; Summary'!$B$15</x:f>
        <x:v>1077.9248326744853</x:v>
      </x:c>
      <x:c r="F125" s="40" t="n">
        <x:f>IF(D125&lt;=0.00000001,0,MIN('Inputs &amp; Summary'!$B$18,D125+E125))</x:f>
        <x:v>2324.586407999052</x:v>
      </x:c>
      <x:c r="G125" s="40" t="n">
        <x:f>IF(ABS(MAX(0,D125+E125-F125))&lt;0.00000001,0,MAX(0,D125+E125-F125))</x:f>
        <x:v>288883.1135276485</x:v>
      </x:c>
      <x:c r="H125" s="40" t="n">
        <x:f>MAX(0,'Inputs &amp; Summary'!$B$18-F125)</x:f>
        <x:v>0</x:v>
      </x:c>
      <x:c r="I125" s="40" t="n">
        <x:f>S124</x:f>
        <x:v>129870.22489702696</x:v>
      </x:c>
      <x:c r="J125" s="40" t="n">
        <x:f>I125*'Inputs &amp; Summary'!$B$16</x:f>
        <x:v>703.4637181922294</x:v>
      </x:c>
      <x:c r="K125" s="40" t="n">
        <x:f>IF(C125=1,J125,K124+J125)</x:f>
        <x:v>703.4637181922294</x:v>
      </x:c>
      <x:c r="L125" s="40" t="n">
        <x:f>IF(C125=12,K125*'Inputs &amp; Summary'!$B$11*'Inputs &amp; Summary'!$B$12,0)</x:f>
        <x:v>0</x:v>
      </x:c>
      <x:c r="M125" s="40" t="n">
        <x:f>MIN(L125,G125)</x:f>
        <x:v>0</x:v>
      </x:c>
      <x:c r="N125" s="40" t="n">
        <x:f>MAX(0,L125-M125)</x:f>
        <x:v>0</x:v>
      </x:c>
      <x:c r="O125" s="40" t="n">
        <x:f>IF(ABS(MAX(0,G125-M125))&lt;0.00000001,0,MAX(0,G125-M125))</x:f>
        <x:v>288883.1135276485</x:v>
      </x:c>
      <x:c r="P125" s="40" t="n">
        <x:f>MAX(0,D125-O125)</x:f>
        <x:v>1246.6615753245424</x:v>
      </x:c>
      <x:c r="Q125" s="40" t="n">
        <x:f>MAX(0,'Inputs &amp; Summary'!$B$19*'Inputs &amp; Summary'!$B$4-O125-I125)</x:f>
        <x:v>36246.66157532454</x:v>
      </x:c>
      <x:c r="R125" s="40" t="n">
        <x:f>MIN(P125,Q125)</x:f>
        <x:v>1246.6615753245424</x:v>
      </x:c>
      <x:c r="S125" s="40" t="n">
        <x:f>I125+R125</x:f>
        <x:v>131116.8864723515</x:v>
      </x:c>
      <x:c r="T125" s="40" t="n">
        <x:f>U124</x:f>
        <x:v>169879.37022772623</x:v>
      </x:c>
      <x:c r="U125" s="40" t="n">
        <x:f>T125*(1+'Inputs &amp; Summary'!$B$17)+R125+N125+H125</x:f>
        <x:v>171952.92822764287</x:v>
      </x:c>
      <x:c r="V125" s="40" t="n">
        <x:f>Y124</x:f>
        <x:v>304716.691881435</x:v>
      </x:c>
      <x:c r="W125" s="40" t="n">
        <x:f>V125*'Inputs &amp; Summary'!$B$15</x:f>
        <x:v>1132.1198901175885</x:v>
      </x:c>
      <x:c r="X125" s="40" t="n">
        <x:f>IF(V125&lt;=0.00000001,0,MIN('Inputs &amp; Summary'!$B$18,V125+W125))</x:f>
        <x:v>2324.586407999052</x:v>
      </x:c>
      <x:c r="Y125" s="40" t="n">
        <x:f>IF(ABS(MAX(0,V125+W125-X125))&lt;0.00000001,0,MAX(0,V125+W125-X125))</x:f>
        <x:v>303524.22536355356</x:v>
      </x:c>
      <x:c r="Z125" s="40" t="n">
        <x:f>MAX(0,'Inputs &amp; Summary'!$B$18-X125)</x:f>
        <x:v>0</x:v>
      </x:c>
      <x:c r="AA125" s="40" t="n">
        <x:f>AC124</x:f>
        <x:v>44522.640487320175</x:v>
      </x:c>
      <x:c r="AB125" s="40" t="n">
        <x:f>J125</x:f>
        <x:v>703.4637181922294</x:v>
      </x:c>
      <x:c r="AC125" s="40" t="n">
        <x:f>AA125*(1+'Inputs &amp; Summary'!$B$17)+Z125+AB125</x:f>
        <x:v>45442.82040938702</x:v>
      </x:c>
      <x:c r="AD125" s="40" t="n">
        <x:f>F125+H125+J125</x:f>
        <x:v>3028.0501261912814</x:v>
      </x:c>
      <x:c r="AE125" s="40" t="n">
        <x:f>X125+Z125+AB125</x:f>
        <x:v>3028.0501261912814</x:v>
      </x:c>
      <x:c r="AF125" s="40" t="n">
        <x:f>AD125-AE125</x:f>
        <x:v>0</x:v>
      </x:c>
      <x:c r="AG125" s="42" t="n">
        <x:f>(O125+S125)/'Inputs &amp; Summary'!$B$4</x:f>
        <x:v>0.6</x:v>
      </x:c>
      <x:c r="AH125" s="40" t="n">
        <x:f>U125-O125-S125</x:f>
        <x:v>-248047.07177235713</x:v>
      </x:c>
      <x:c r="AI125" s="40" t="n">
        <x:f>AC125-Y125</x:f>
        <x:v>-258081.40495416653</x:v>
      </x:c>
      <x:c r="AJ125" s="40" t="n">
        <x:f>AH125-AI125</x:f>
        <x:v>10034.333181809401</x:v>
      </x:c>
    </x:row>
    <x:row r="126">
      <x:c r="A126" t="n">
        <x:f>A125+1</x:f>
        <x:v>122</x:v>
      </x:c>
      <x:c r="B126" t="n">
        <x:f>INT((A126-1)/12)+1</x:f>
        <x:v>11</x:v>
      </x:c>
      <x:c r="C126" t="n">
        <x:f>MOD(A126-1,12)+1</x:f>
        <x:v>2</x:v>
      </x:c>
      <x:c r="D126" s="40" t="n">
        <x:f>O125</x:f>
        <x:v>288883.1135276485</x:v>
      </x:c>
      <x:c r="E126" s="40" t="n">
        <x:f>D126*'Inputs &amp; Summary'!$B$15</x:f>
        <x:v>1073.2930865205221</x:v>
      </x:c>
      <x:c r="F126" s="40" t="n">
        <x:f>IF(D126&lt;=0.00000001,0,MIN('Inputs &amp; Summary'!$B$18,D126+E126))</x:f>
        <x:v>2324.586407999052</x:v>
      </x:c>
      <x:c r="G126" s="40" t="n">
        <x:f>IF(ABS(MAX(0,D126+E126-F126))&lt;0.00000001,0,MAX(0,D126+E126-F126))</x:f>
        <x:v>287631.82020616997</x:v>
      </x:c>
      <x:c r="H126" s="40" t="n">
        <x:f>MAX(0,'Inputs &amp; Summary'!$B$18-F126)</x:f>
        <x:v>0</x:v>
      </x:c>
      <x:c r="I126" s="40" t="n">
        <x:f>S125</x:f>
        <x:v>131116.8864723515</x:v>
      </x:c>
      <x:c r="J126" s="40" t="n">
        <x:f>I126*'Inputs &amp; Summary'!$B$16</x:f>
        <x:v>710.216468391904</x:v>
      </x:c>
      <x:c r="K126" s="40" t="n">
        <x:f>IF(C126=1,J126,K125+J126)</x:f>
        <x:v>1413.6801865841335</x:v>
      </x:c>
      <x:c r="L126" s="40" t="n">
        <x:f>IF(C126=12,K126*'Inputs &amp; Summary'!$B$11*'Inputs &amp; Summary'!$B$12,0)</x:f>
        <x:v>0</x:v>
      </x:c>
      <x:c r="M126" s="40" t="n">
        <x:f>MIN(L126,G126)</x:f>
        <x:v>0</x:v>
      </x:c>
      <x:c r="N126" s="40" t="n">
        <x:f>MAX(0,L126-M126)</x:f>
        <x:v>0</x:v>
      </x:c>
      <x:c r="O126" s="40" t="n">
        <x:f>IF(ABS(MAX(0,G126-M126))&lt;0.00000001,0,MAX(0,G126-M126))</x:f>
        <x:v>287631.82020616997</x:v>
      </x:c>
      <x:c r="P126" s="40" t="n">
        <x:f>MAX(0,D126-O126)</x:f>
        <x:v>1251.2933214785298</x:v>
      </x:c>
      <x:c r="Q126" s="40" t="n">
        <x:f>MAX(0,'Inputs &amp; Summary'!$B$19*'Inputs &amp; Summary'!$B$4-O126-I126)</x:f>
        <x:v>36251.29332147853</x:v>
      </x:c>
      <x:c r="R126" s="40" t="n">
        <x:f>MIN(P126,Q126)</x:f>
        <x:v>1251.2933214785298</x:v>
      </x:c>
      <x:c r="S126" s="40" t="n">
        <x:f>I126+R126</x:f>
        <x:v>132368.17979383003</x:v>
      </x:c>
      <x:c r="T126" s="40" t="n">
        <x:f>U125</x:f>
        <x:v>171952.92822764287</x:v>
      </x:c>
      <x:c r="U126" s="40" t="n">
        <x:f>T126*(1+'Inputs &amp; Summary'!$B$17)+R126+N126+H126</x:f>
        <x:v>174041.21112212827</x:v>
      </x:c>
      <x:c r="V126" s="40" t="n">
        <x:f>Y125</x:f>
        <x:v>303524.22536355356</x:v>
      </x:c>
      <x:c r="W126" s="40" t="n">
        <x:f>V126*'Inputs &amp; Summary'!$B$15</x:f>
        <x:v>1127.6894959214014</x:v>
      </x:c>
      <x:c r="X126" s="40" t="n">
        <x:f>IF(V126&lt;=0.00000001,0,MIN('Inputs &amp; Summary'!$B$18,V126+W126))</x:f>
        <x:v>2324.586407999052</x:v>
      </x:c>
      <x:c r="Y126" s="40" t="n">
        <x:f>IF(ABS(MAX(0,V126+W126-X126))&lt;0.00000001,0,MAX(0,V126+W126-X126))</x:f>
        <x:v>302327.32845147594</x:v>
      </x:c>
      <x:c r="Z126" s="40" t="n">
        <x:f>MAX(0,'Inputs &amp; Summary'!$B$18-X126)</x:f>
        <x:v>0</x:v>
      </x:c>
      <x:c r="AA126" s="40" t="n">
        <x:f>AC125</x:f>
        <x:v>45442.82040938702</x:v>
      </x:c>
      <x:c r="AB126" s="40" t="n">
        <x:f>J126</x:f>
        <x:v>710.216468391904</x:v>
      </x:c>
      <x:c r="AC126" s="40" t="n">
        <x:f>AA126*(1+'Inputs &amp; Summary'!$B$17)+Z126+AB126</x:f>
        <x:v>46374.23210395342</x:v>
      </x:c>
      <x:c r="AD126" s="40" t="n">
        <x:f>F126+H126+J126</x:f>
        <x:v>3034.802876390956</x:v>
      </x:c>
      <x:c r="AE126" s="40" t="n">
        <x:f>X126+Z126+AB126</x:f>
        <x:v>3034.802876390956</x:v>
      </x:c>
      <x:c r="AF126" s="40" t="n">
        <x:f>AD126-AE126</x:f>
        <x:v>0</x:v>
      </x:c>
      <x:c r="AG126" s="42" t="n">
        <x:f>(O126+S126)/'Inputs &amp; Summary'!$B$4</x:f>
        <x:v>0.6</x:v>
      </x:c>
      <x:c r="AH126" s="40" t="n">
        <x:f>U126-O126-S126</x:f>
        <x:v>-245958.78887787173</x:v>
      </x:c>
      <x:c r="AI126" s="40" t="n">
        <x:f>AC126-Y126</x:f>
        <x:v>-255953.0963475225</x:v>
      </x:c>
      <x:c r="AJ126" s="40" t="n">
        <x:f>AH126-AI126</x:f>
        <x:v>9994.307469650783</x:v>
      </x:c>
    </x:row>
    <x:row r="127">
      <x:c r="A127" t="n">
        <x:f>A126+1</x:f>
        <x:v>123</x:v>
      </x:c>
      <x:c r="B127" t="n">
        <x:f>INT((A127-1)/12)+1</x:f>
        <x:v>11</x:v>
      </x:c>
      <x:c r="C127" t="n">
        <x:f>MOD(A127-1,12)+1</x:f>
        <x:v>3</x:v>
      </x:c>
      <x:c r="D127" s="40" t="n">
        <x:f>O126</x:f>
        <x:v>287631.82020616997</x:v>
      </x:c>
      <x:c r="E127" s="40" t="n">
        <x:f>D127*'Inputs &amp; Summary'!$B$15</x:f>
        <x:v>1068.6441319494074</x:v>
      </x:c>
      <x:c r="F127" s="40" t="n">
        <x:f>IF(D127&lt;=0.00000001,0,MIN('Inputs &amp; Summary'!$B$18,D127+E127))</x:f>
        <x:v>2324.586407999052</x:v>
      </x:c>
      <x:c r="G127" s="40" t="n">
        <x:f>IF(ABS(MAX(0,D127+E127-F127))&lt;0.00000001,0,MAX(0,D127+E127-F127))</x:f>
        <x:v>286375.87793012033</x:v>
      </x:c>
      <x:c r="H127" s="40" t="n">
        <x:f>MAX(0,'Inputs &amp; Summary'!$B$18-F127)</x:f>
        <x:v>0</x:v>
      </x:c>
      <x:c r="I127" s="40" t="n">
        <x:f>S126</x:f>
        <x:v>132368.17979383003</x:v>
      </x:c>
      <x:c r="J127" s="40" t="n">
        <x:f>I127*'Inputs &amp; Summary'!$B$16</x:f>
        <x:v>716.9943072165794</x:v>
      </x:c>
      <x:c r="K127" s="40" t="n">
        <x:f>IF(C127=1,J127,K126+J127)</x:f>
        <x:v>2130.6744938007128</x:v>
      </x:c>
      <x:c r="L127" s="40" t="n">
        <x:f>IF(C127=12,K127*'Inputs &amp; Summary'!$B$11*'Inputs &amp; Summary'!$B$12,0)</x:f>
        <x:v>0</x:v>
      </x:c>
      <x:c r="M127" s="40" t="n">
        <x:f>MIN(L127,G127)</x:f>
        <x:v>0</x:v>
      </x:c>
      <x:c r="N127" s="40" t="n">
        <x:f>MAX(0,L127-M127)</x:f>
        <x:v>0</x:v>
      </x:c>
      <x:c r="O127" s="40" t="n">
        <x:f>IF(ABS(MAX(0,G127-M127))&lt;0.00000001,0,MAX(0,G127-M127))</x:f>
        <x:v>286375.87793012033</x:v>
      </x:c>
      <x:c r="P127" s="40" t="n">
        <x:f>MAX(0,D127-O127)</x:f>
        <x:v>1255.9422760496382</x:v>
      </x:c>
      <x:c r="Q127" s="40" t="n">
        <x:f>MAX(0,'Inputs &amp; Summary'!$B$19*'Inputs &amp; Summary'!$B$4-O127-I127)</x:f>
        <x:v>36255.94227604964</x:v>
      </x:c>
      <x:c r="R127" s="40" t="n">
        <x:f>MIN(P127,Q127)</x:f>
        <x:v>1255.9422760496382</x:v>
      </x:c>
      <x:c r="S127" s="40" t="n">
        <x:f>I127+R127</x:f>
        <x:v>133624.12206987967</x:v>
      </x:c>
      <x:c r="T127" s="40" t="n">
        <x:f>U126</x:f>
        <x:v>174041.21112212827</x:v>
      </x:c>
      <x:c r="U127" s="40" t="n">
        <x:f>T127*(1+'Inputs &amp; Summary'!$B$17)+R127+N127+H127</x:f>
        <x:v>176144.3077937684</x:v>
      </x:c>
      <x:c r="V127" s="40" t="n">
        <x:f>Y126</x:f>
        <x:v>302327.32845147594</x:v>
      </x:c>
      <x:c r="W127" s="40" t="n">
        <x:f>V127*'Inputs &amp; Summary'!$B$15</x:f>
        <x:v>1123.2426413949333</x:v>
      </x:c>
      <x:c r="X127" s="40" t="n">
        <x:f>IF(V127&lt;=0.00000001,0,MIN('Inputs &amp; Summary'!$B$18,V127+W127))</x:f>
        <x:v>2324.586407999052</x:v>
      </x:c>
      <x:c r="Y127" s="40" t="n">
        <x:f>IF(ABS(MAX(0,V127+W127-X127))&lt;0.00000001,0,MAX(0,V127+W127-X127))</x:f>
        <x:v>301125.98468487186</x:v>
      </x:c>
      <x:c r="Z127" s="40" t="n">
        <x:f>MAX(0,'Inputs &amp; Summary'!$B$18-X127)</x:f>
        <x:v>0</x:v>
      </x:c>
      <x:c r="AA127" s="40" t="n">
        <x:f>AC126</x:f>
        <x:v>46374.23210395342</x:v>
      </x:c>
      <x:c r="AB127" s="40" t="n">
        <x:f>J127</x:f>
        <x:v>716.9943072165794</x:v>
      </x:c>
      <x:c r="AC127" s="40" t="n">
        <x:f>AA127*(1+'Inputs &amp; Summary'!$B$17)+Z127+AB127</x:f>
        <x:v>47316.95533086495</x:v>
      </x:c>
      <x:c r="AD127" s="40" t="n">
        <x:f>F127+H127+J127</x:f>
        <x:v>3041.5807152156312</x:v>
      </x:c>
      <x:c r="AE127" s="40" t="n">
        <x:f>X127+Z127+AB127</x:f>
        <x:v>3041.5807152156312</x:v>
      </x:c>
      <x:c r="AF127" s="40" t="n">
        <x:f>AD127-AE127</x:f>
        <x:v>0</x:v>
      </x:c>
      <x:c r="AG127" s="42" t="n">
        <x:f>(O127+S127)/'Inputs &amp; Summary'!$B$4</x:f>
        <x:v>0.6</x:v>
      </x:c>
      <x:c r="AH127" s="40" t="n">
        <x:f>U127-O127-S127</x:f>
        <x:v>-243855.6922062316</x:v>
      </x:c>
      <x:c r="AI127" s="40" t="n">
        <x:f>AC127-Y127</x:f>
        <x:v>-253809.02935400693</x:v>
      </x:c>
      <x:c r="AJ127" s="40" t="n">
        <x:f>AH127-AI127</x:f>
        <x:v>9953.337147775339</x:v>
      </x:c>
    </x:row>
    <x:row r="128">
      <x:c r="A128" t="n">
        <x:f>A127+1</x:f>
        <x:v>124</x:v>
      </x:c>
      <x:c r="B128" t="n">
        <x:f>INT((A128-1)/12)+1</x:f>
        <x:v>11</x:v>
      </x:c>
      <x:c r="C128" t="n">
        <x:f>MOD(A128-1,12)+1</x:f>
        <x:v>4</x:v>
      </x:c>
      <x:c r="D128" s="40" t="n">
        <x:f>O127</x:f>
        <x:v>286375.87793012033</x:v>
      </x:c>
      <x:c r="E128" s="40" t="n">
        <x:f>D128*'Inputs &amp; Summary'!$B$15</x:f>
        <x:v>1063.9779050263724</x:v>
      </x:c>
      <x:c r="F128" s="40" t="n">
        <x:f>IF(D128&lt;=0.00000001,0,MIN('Inputs &amp; Summary'!$B$18,D128+E128))</x:f>
        <x:v>2324.586407999052</x:v>
      </x:c>
      <x:c r="G128" s="40" t="n">
        <x:f>IF(ABS(MAX(0,D128+E128-F128))&lt;0.00000001,0,MAX(0,D128+E128-F128))</x:f>
        <x:v>285115.26942714764</x:v>
      </x:c>
      <x:c r="H128" s="40" t="n">
        <x:f>MAX(0,'Inputs &amp; Summary'!$B$18-F128)</x:f>
        <x:v>0</x:v>
      </x:c>
      <x:c r="I128" s="40" t="n">
        <x:f>S127</x:f>
        <x:v>133624.12206987967</x:v>
      </x:c>
      <x:c r="J128" s="40" t="n">
        <x:f>I128*'Inputs &amp; Summary'!$B$16</x:f>
        <x:v>723.7973278785149</x:v>
      </x:c>
      <x:c r="K128" s="40" t="n">
        <x:f>IF(C128=1,J128,K127+J128)</x:f>
        <x:v>2854.4718216792276</x:v>
      </x:c>
      <x:c r="L128" s="40" t="n">
        <x:f>IF(C128=12,K128*'Inputs &amp; Summary'!$B$11*'Inputs &amp; Summary'!$B$12,0)</x:f>
        <x:v>0</x:v>
      </x:c>
      <x:c r="M128" s="40" t="n">
        <x:f>MIN(L128,G128)</x:f>
        <x:v>0</x:v>
      </x:c>
      <x:c r="N128" s="40" t="n">
        <x:f>MAX(0,L128-M128)</x:f>
        <x:v>0</x:v>
      </x:c>
      <x:c r="O128" s="40" t="n">
        <x:f>IF(ABS(MAX(0,G128-M128))&lt;0.00000001,0,MAX(0,G128-M128))</x:f>
        <x:v>285115.26942714764</x:v>
      </x:c>
      <x:c r="P128" s="40" t="n">
        <x:f>MAX(0,D128-O128)</x:f>
        <x:v>1260.6085029726964</x:v>
      </x:c>
      <x:c r="Q128" s="40" t="n">
        <x:f>MAX(0,'Inputs &amp; Summary'!$B$19*'Inputs &amp; Summary'!$B$4-O128-I128)</x:f>
        <x:v>36260.6085029727</x:v>
      </x:c>
      <x:c r="R128" s="40" t="n">
        <x:f>MIN(P128,Q128)</x:f>
        <x:v>1260.6085029726964</x:v>
      </x:c>
      <x:c r="S128" s="40" t="n">
        <x:f>I128+R128</x:f>
        <x:v>134884.73057285236</x:v>
      </x:c>
      <x:c r="T128" s="40" t="n">
        <x:f>U127</x:f>
        <x:v>176144.3077937684</x:v>
      </x:c>
      <x:c r="U128" s="40" t="n">
        <x:f>T128*(1+'Inputs &amp; Summary'!$B$17)+R128+N128+H128</x:f>
        <x:v>178262.30762172464</x:v>
      </x:c>
      <x:c r="V128" s="40" t="n">
        <x:f>Y127</x:f>
        <x:v>301125.98468487186</x:v>
      </x:c>
      <x:c r="W128" s="40" t="n">
        <x:f>V128*'Inputs &amp; Summary'!$B$15</x:f>
        <x:v>1118.7792653827964</x:v>
      </x:c>
      <x:c r="X128" s="40" t="n">
        <x:f>IF(V128&lt;=0.00000001,0,MIN('Inputs &amp; Summary'!$B$18,V128+W128))</x:f>
        <x:v>2324.586407999052</x:v>
      </x:c>
      <x:c r="Y128" s="40" t="n">
        <x:f>IF(ABS(MAX(0,V128+W128-X128))&lt;0.00000001,0,MAX(0,V128+W128-X128))</x:f>
        <x:v>299920.1775422556</x:v>
      </x:c>
      <x:c r="Z128" s="40" t="n">
        <x:f>MAX(0,'Inputs &amp; Summary'!$B$18-X128)</x:f>
        <x:v>0</x:v>
      </x:c>
      <x:c r="AA128" s="40" t="n">
        <x:f>AC127</x:f>
        <x:v>47316.95533086495</x:v>
      </x:c>
      <x:c r="AB128" s="40" t="n">
        <x:f>J128</x:f>
        <x:v>723.7973278785149</x:v>
      </x:c>
      <x:c r="AC128" s="40" t="n">
        <x:f>AA128*(1+'Inputs &amp; Summary'!$B$17)+Z128+AB128</x:f>
        <x:v>48271.07033141453</x:v>
      </x:c>
      <x:c r="AD128" s="40" t="n">
        <x:f>F128+H128+J128</x:f>
        <x:v>3048.383735877567</x:v>
      </x:c>
      <x:c r="AE128" s="40" t="n">
        <x:f>X128+Z128+AB128</x:f>
        <x:v>3048.383735877567</x:v>
      </x:c>
      <x:c r="AF128" s="40" t="n">
        <x:f>AD128-AE128</x:f>
        <x:v>0</x:v>
      </x:c>
      <x:c r="AG128" s="42" t="n">
        <x:f>(O128+S128)/'Inputs &amp; Summary'!$B$4</x:f>
        <x:v>0.6</x:v>
      </x:c>
      <x:c r="AH128" s="40" t="n">
        <x:f>U128-O128-S128</x:f>
        <x:v>-241737.69237827536</x:v>
      </x:c>
      <x:c r="AI128" s="40" t="n">
        <x:f>AC128-Y128</x:f>
        <x:v>-251649.1072108411</x:v>
      </x:c>
      <x:c r="AJ128" s="40" t="n">
        <x:f>AH128-AI128</x:f>
        <x:v>9911.41483256573</x:v>
      </x:c>
    </x:row>
    <x:row r="129">
      <x:c r="A129" t="n">
        <x:f>A128+1</x:f>
        <x:v>125</x:v>
      </x:c>
      <x:c r="B129" t="n">
        <x:f>INT((A129-1)/12)+1</x:f>
        <x:v>11</x:v>
      </x:c>
      <x:c r="C129" t="n">
        <x:f>MOD(A129-1,12)+1</x:f>
        <x:v>5</x:v>
      </x:c>
      <x:c r="D129" s="40" t="n">
        <x:f>O128</x:f>
        <x:v>285115.26942714764</x:v>
      </x:c>
      <x:c r="E129" s="40" t="n">
        <x:f>D129*'Inputs &amp; Summary'!$B$15</x:f>
        <x:v>1059.2943415791094</x:v>
      </x:c>
      <x:c r="F129" s="40" t="n">
        <x:f>IF(D129&lt;=0.00000001,0,MIN('Inputs &amp; Summary'!$B$18,D129+E129))</x:f>
        <x:v>2324.586407999052</x:v>
      </x:c>
      <x:c r="G129" s="40" t="n">
        <x:f>IF(ABS(MAX(0,D129+E129-F129))&lt;0.00000001,0,MAX(0,D129+E129-F129))</x:f>
        <x:v>283849.97736072773</x:v>
      </x:c>
      <x:c r="H129" s="40" t="n">
        <x:f>MAX(0,'Inputs &amp; Summary'!$B$18-F129)</x:f>
        <x:v>0</x:v>
      </x:c>
      <x:c r="I129" s="40" t="n">
        <x:f>S128</x:f>
        <x:v>134884.73057285236</x:v>
      </x:c>
      <x:c r="J129" s="40" t="n">
        <x:f>I129*'Inputs &amp; Summary'!$B$16</x:f>
        <x:v>730.6256239362837</x:v>
      </x:c>
      <x:c r="K129" s="40" t="n">
        <x:f>IF(C129=1,J129,K128+J129)</x:f>
        <x:v>3585.0974456155113</x:v>
      </x:c>
      <x:c r="L129" s="40" t="n">
        <x:f>IF(C129=12,K129*'Inputs &amp; Summary'!$B$11*'Inputs &amp; Summary'!$B$12,0)</x:f>
        <x:v>0</x:v>
      </x:c>
      <x:c r="M129" s="40" t="n">
        <x:f>MIN(L129,G129)</x:f>
        <x:v>0</x:v>
      </x:c>
      <x:c r="N129" s="40" t="n">
        <x:f>MAX(0,L129-M129)</x:f>
        <x:v>0</x:v>
      </x:c>
      <x:c r="O129" s="40" t="n">
        <x:f>IF(ABS(MAX(0,G129-M129))&lt;0.00000001,0,MAX(0,G129-M129))</x:f>
        <x:v>283849.97736072773</x:v>
      </x:c>
      <x:c r="P129" s="40" t="n">
        <x:f>MAX(0,D129-O129)</x:f>
        <x:v>1265.2920664199046</x:v>
      </x:c>
      <x:c r="Q129" s="40" t="n">
        <x:f>MAX(0,'Inputs &amp; Summary'!$B$19*'Inputs &amp; Summary'!$B$4-O129-I129)</x:f>
        <x:v>36265.292066419905</x:v>
      </x:c>
      <x:c r="R129" s="40" t="n">
        <x:f>MIN(P129,Q129)</x:f>
        <x:v>1265.2920664199046</x:v>
      </x:c>
      <x:c r="S129" s="40" t="n">
        <x:f>I129+R129</x:f>
        <x:v>136150.02263927227</x:v>
      </x:c>
      <x:c r="T129" s="40" t="n">
        <x:f>U128</x:f>
        <x:v>178262.30762172464</x:v>
      </x:c>
      <x:c r="U129" s="40" t="n">
        <x:f>T129*(1+'Inputs &amp; Summary'!$B$17)+R129+N129+H129</x:f>
        <x:v>180395.30048438802</x:v>
      </x:c>
      <x:c r="V129" s="40" t="n">
        <x:f>Y128</x:f>
        <x:v>299920.1775422556</x:v>
      </x:c>
      <x:c r="W129" s="40" t="n">
        <x:f>V129*'Inputs &amp; Summary'!$B$15</x:f>
        <x:v>1114.299306502392</x:v>
      </x:c>
      <x:c r="X129" s="40" t="n">
        <x:f>IF(V129&lt;=0.00000001,0,MIN('Inputs &amp; Summary'!$B$18,V129+W129))</x:f>
        <x:v>2324.586407999052</x:v>
      </x:c>
      <x:c r="Y129" s="40" t="n">
        <x:f>IF(ABS(MAX(0,V129+W129-X129))&lt;0.00000001,0,MAX(0,V129+W129-X129))</x:f>
        <x:v>298709.89044075896</x:v>
      </x:c>
      <x:c r="Z129" s="40" t="n">
        <x:f>MAX(0,'Inputs &amp; Summary'!$B$18-X129)</x:f>
        <x:v>0</x:v>
      </x:c>
      <x:c r="AA129" s="40" t="n">
        <x:f>AC128</x:f>
        <x:v>48271.07033141453</x:v>
      </x:c>
      <x:c r="AB129" s="40" t="n">
        <x:f>J129</x:f>
        <x:v>730.6256239362837</x:v>
      </x:c>
      <x:c r="AC129" s="40" t="n">
        <x:f>AA129*(1+'Inputs &amp; Summary'!$B$17)+Z129+AB129</x:f>
        <x:v>49236.65783103221</x:v>
      </x:c>
      <x:c r="AD129" s="40" t="n">
        <x:f>F129+H129+J129</x:f>
        <x:v>3055.2120319353357</x:v>
      </x:c>
      <x:c r="AE129" s="40" t="n">
        <x:f>X129+Z129+AB129</x:f>
        <x:v>3055.2120319353357</x:v>
      </x:c>
      <x:c r="AF129" s="40" t="n">
        <x:f>AD129-AE129</x:f>
        <x:v>0</x:v>
      </x:c>
      <x:c r="AG129" s="42" t="n">
        <x:f>(O129+S129)/'Inputs &amp; Summary'!$B$4</x:f>
        <x:v>0.6</x:v>
      </x:c>
      <x:c r="AH129" s="40" t="n">
        <x:f>U129-O129-S129</x:f>
        <x:v>-239604.69951561198</x:v>
      </x:c>
      <x:c r="AI129" s="40" t="n">
        <x:f>AC129-Y129</x:f>
        <x:v>-249473.23260972675</x:v>
      </x:c>
      <x:c r="AJ129" s="40" t="n">
        <x:f>AH129-AI129</x:f>
        <x:v>9868.53309411477</x:v>
      </x:c>
    </x:row>
    <x:row r="130">
      <x:c r="A130" t="n">
        <x:f>A129+1</x:f>
        <x:v>126</x:v>
      </x:c>
      <x:c r="B130" t="n">
        <x:f>INT((A130-1)/12)+1</x:f>
        <x:v>11</x:v>
      </x:c>
      <x:c r="C130" t="n">
        <x:f>MOD(A130-1,12)+1</x:f>
        <x:v>6</x:v>
      </x:c>
      <x:c r="D130" s="40" t="n">
        <x:f>O129</x:f>
        <x:v>283849.97736072773</x:v>
      </x:c>
      <x:c r="E130" s="40" t="n">
        <x:f>D130*'Inputs &amp; Summary'!$B$15</x:f>
        <x:v>1054.5933771968914</x:v>
      </x:c>
      <x:c r="F130" s="40" t="n">
        <x:f>IF(D130&lt;=0.00000001,0,MIN('Inputs &amp; Summary'!$B$18,D130+E130))</x:f>
        <x:v>2324.586407999052</x:v>
      </x:c>
      <x:c r="G130" s="40" t="n">
        <x:f>IF(ABS(MAX(0,D130+E130-F130))&lt;0.00000001,0,MAX(0,D130+E130-F130))</x:f>
        <x:v>282579.98432992556</x:v>
      </x:c>
      <x:c r="H130" s="40" t="n">
        <x:f>MAX(0,'Inputs &amp; Summary'!$B$18-F130)</x:f>
        <x:v>0</x:v>
      </x:c>
      <x:c r="I130" s="40" t="n">
        <x:f>S129</x:f>
        <x:v>136150.02263927227</x:v>
      </x:c>
      <x:c r="J130" s="40" t="n">
        <x:f>I130*'Inputs &amp; Summary'!$B$16</x:f>
        <x:v>737.4792892960581</x:v>
      </x:c>
      <x:c r="K130" s="40" t="n">
        <x:f>IF(C130=1,J130,K129+J130)</x:f>
        <x:v>4322.5767349115695</x:v>
      </x:c>
      <x:c r="L130" s="40" t="n">
        <x:f>IF(C130=12,K130*'Inputs &amp; Summary'!$B$11*'Inputs &amp; Summary'!$B$12,0)</x:f>
        <x:v>0</x:v>
      </x:c>
      <x:c r="M130" s="40" t="n">
        <x:f>MIN(L130,G130)</x:f>
        <x:v>0</x:v>
      </x:c>
      <x:c r="N130" s="40" t="n">
        <x:f>MAX(0,L130-M130)</x:f>
        <x:v>0</x:v>
      </x:c>
      <x:c r="O130" s="40" t="n">
        <x:f>IF(ABS(MAX(0,G130-M130))&lt;0.00000001,0,MAX(0,G130-M130))</x:f>
        <x:v>282579.98432992556</x:v>
      </x:c>
      <x:c r="P130" s="40" t="n">
        <x:f>MAX(0,D130-O130)</x:f>
        <x:v>1269.9930308021721</x:v>
      </x:c>
      <x:c r="Q130" s="40" t="n">
        <x:f>MAX(0,'Inputs &amp; Summary'!$B$19*'Inputs &amp; Summary'!$B$4-O130-I130)</x:f>
        <x:v>36269.99303080217</x:v>
      </x:c>
      <x:c r="R130" s="40" t="n">
        <x:f>MIN(P130,Q130)</x:f>
        <x:v>1269.9930308021721</x:v>
      </x:c>
      <x:c r="S130" s="40" t="n">
        <x:f>I130+R130</x:f>
        <x:v>137420.01567007444</x:v>
      </x:c>
      <x:c r="T130" s="40" t="n">
        <x:f>U129</x:f>
        <x:v>180395.30048438802</x:v>
      </x:c>
      <x:c r="U130" s="40" t="n">
        <x:f>T130*(1+'Inputs &amp; Summary'!$B$17)+R130+N130+H130</x:f>
        <x:v>182543.3767620482</x:v>
      </x:c>
      <x:c r="V130" s="40" t="n">
        <x:f>Y129</x:f>
        <x:v>298709.89044075896</x:v>
      </x:c>
      <x:c r="W130" s="40" t="n">
        <x:f>V130*'Inputs &amp; Summary'!$B$15</x:f>
        <x:v>1109.802703143065</x:v>
      </x:c>
      <x:c r="X130" s="40" t="n">
        <x:f>IF(V130&lt;=0.00000001,0,MIN('Inputs &amp; Summary'!$B$18,V130+W130))</x:f>
        <x:v>2324.586407999052</x:v>
      </x:c>
      <x:c r="Y130" s="40" t="n">
        <x:f>IF(ABS(MAX(0,V130+W130-X130))&lt;0.00000001,0,MAX(0,V130+W130-X130))</x:f>
        <x:v>297495.10673590295</x:v>
      </x:c>
      <x:c r="Z130" s="40" t="n">
        <x:f>MAX(0,'Inputs &amp; Summary'!$B$18-X130)</x:f>
        <x:v>0</x:v>
      </x:c>
      <x:c r="AA130" s="40" t="n">
        <x:f>AC129</x:f>
        <x:v>49236.65783103221</x:v>
      </x:c>
      <x:c r="AB130" s="40" t="n">
        <x:f>J130</x:f>
        <x:v>737.4792892960581</x:v>
      </x:c>
      <x:c r="AC130" s="40" t="n">
        <x:f>AA130*(1+'Inputs &amp; Summary'!$B$17)+Z130+AB130</x:f>
        <x:v>50213.79904198931</x:v>
      </x:c>
      <x:c r="AD130" s="40" t="n">
        <x:f>F130+H130+J130</x:f>
        <x:v>3062.06569729511</x:v>
      </x:c>
      <x:c r="AE130" s="40" t="n">
        <x:f>X130+Z130+AB130</x:f>
        <x:v>3062.06569729511</x:v>
      </x:c>
      <x:c r="AF130" s="40" t="n">
        <x:f>AD130-AE130</x:f>
        <x:v>0</x:v>
      </x:c>
      <x:c r="AG130" s="42" t="n">
        <x:f>(O130+S130)/'Inputs &amp; Summary'!$B$4</x:f>
        <x:v>0.6</x:v>
      </x:c>
      <x:c r="AH130" s="40" t="n">
        <x:f>U130-O130-S130</x:f>
        <x:v>-237456.6232379518</x:v>
      </x:c>
      <x:c r="AI130" s="40" t="n">
        <x:f>AC130-Y130</x:f>
        <x:v>-247281.30769391364</x:v>
      </x:c>
      <x:c r="AJ130" s="40" t="n">
        <x:f>AH130-AI130</x:f>
        <x:v>9824.684455961833</x:v>
      </x:c>
    </x:row>
    <x:row r="131">
      <x:c r="A131" t="n">
        <x:f>A130+1</x:f>
        <x:v>127</x:v>
      </x:c>
      <x:c r="B131" t="n">
        <x:f>INT((A131-1)/12)+1</x:f>
        <x:v>11</x:v>
      </x:c>
      <x:c r="C131" t="n">
        <x:f>MOD(A131-1,12)+1</x:f>
        <x:v>7</x:v>
      </x:c>
      <x:c r="D131" s="40" t="n">
        <x:f>O130</x:f>
        <x:v>282579.98432992556</x:v>
      </x:c>
      <x:c r="E131" s="40" t="n">
        <x:f>D131*'Inputs &amp; Summary'!$B$15</x:f>
        <x:v>1049.8749472296834</x:v>
      </x:c>
      <x:c r="F131" s="40" t="n">
        <x:f>IF(D131&lt;=0.00000001,0,MIN('Inputs &amp; Summary'!$B$18,D131+E131))</x:f>
        <x:v>2324.586407999052</x:v>
      </x:c>
      <x:c r="G131" s="40" t="n">
        <x:f>IF(ABS(MAX(0,D131+E131-F131))&lt;0.00000001,0,MAX(0,D131+E131-F131))</x:f>
        <x:v>281305.2728691562</x:v>
      </x:c>
      <x:c r="H131" s="40" t="n">
        <x:f>MAX(0,'Inputs &amp; Summary'!$B$18-F131)</x:f>
        <x:v>0</x:v>
      </x:c>
      <x:c r="I131" s="40" t="n">
        <x:f>S130</x:f>
        <x:v>137420.01567007444</x:v>
      </x:c>
      <x:c r="J131" s="40" t="n">
        <x:f>I131*'Inputs &amp; Summary'!$B$16</x:f>
        <x:v>744.3584182129033</x:v>
      </x:c>
      <x:c r="K131" s="40" t="n">
        <x:f>IF(C131=1,J131,K130+J131)</x:f>
        <x:v>5066.935153124473</x:v>
      </x:c>
      <x:c r="L131" s="40" t="n">
        <x:f>IF(C131=12,K131*'Inputs &amp; Summary'!$B$11*'Inputs &amp; Summary'!$B$12,0)</x:f>
        <x:v>0</x:v>
      </x:c>
      <x:c r="M131" s="40" t="n">
        <x:f>MIN(L131,G131)</x:f>
        <x:v>0</x:v>
      </x:c>
      <x:c r="N131" s="40" t="n">
        <x:f>MAX(0,L131-M131)</x:f>
        <x:v>0</x:v>
      </x:c>
      <x:c r="O131" s="40" t="n">
        <x:f>IF(ABS(MAX(0,G131-M131))&lt;0.00000001,0,MAX(0,G131-M131))</x:f>
        <x:v>281305.2728691562</x:v>
      </x:c>
      <x:c r="P131" s="40" t="n">
        <x:f>MAX(0,D131-O131)</x:f>
        <x:v>1274.711460769351</x:v>
      </x:c>
      <x:c r="Q131" s="40" t="n">
        <x:f>MAX(0,'Inputs &amp; Summary'!$B$19*'Inputs &amp; Summary'!$B$4-O131-I131)</x:f>
        <x:v>36274.71146076935</x:v>
      </x:c>
      <x:c r="R131" s="40" t="n">
        <x:f>MIN(P131,Q131)</x:f>
        <x:v>1274.711460769351</x:v>
      </x:c>
      <x:c r="S131" s="40" t="n">
        <x:f>I131+R131</x:f>
        <x:v>138694.7271308438</x:v>
      </x:c>
      <x:c r="T131" s="40" t="n">
        <x:f>U130</x:f>
        <x:v>182543.3767620482</x:v>
      </x:c>
      <x:c r="U131" s="40" t="n">
        <x:f>T131*(1+'Inputs &amp; Summary'!$B$17)+R131+N131+H131</x:f>
        <x:v>184706.6273395753</x:v>
      </x:c>
      <x:c r="V131" s="40" t="n">
        <x:f>Y130</x:f>
        <x:v>297495.10673590295</x:v>
      </x:c>
      <x:c r="W131" s="40" t="n">
        <x:f>V131*'Inputs &amp; Summary'!$B$15</x:f>
        <x:v>1105.2893934652566</x:v>
      </x:c>
      <x:c r="X131" s="40" t="n">
        <x:f>IF(V131&lt;=0.00000001,0,MIN('Inputs &amp; Summary'!$B$18,V131+W131))</x:f>
        <x:v>2324.586407999052</x:v>
      </x:c>
      <x:c r="Y131" s="40" t="n">
        <x:f>IF(ABS(MAX(0,V131+W131-X131))&lt;0.00000001,0,MAX(0,V131+W131-X131))</x:f>
        <x:v>296275.8097213692</x:v>
      </x:c>
      <x:c r="Z131" s="40" t="n">
        <x:f>MAX(0,'Inputs &amp; Summary'!$B$18-X131)</x:f>
        <x:v>0</x:v>
      </x:c>
      <x:c r="AA131" s="40" t="n">
        <x:f>AC130</x:f>
        <x:v>50213.79904198931</x:v>
      </x:c>
      <x:c r="AB131" s="40" t="n">
        <x:f>J131</x:f>
        <x:v>744.3584182129033</x:v>
      </x:c>
      <x:c r="AC131" s="40" t="n">
        <x:f>AA131*(1+'Inputs &amp; Summary'!$B$17)+Z131+AB131</x:f>
        <x:v>51202.575666117074</x:v>
      </x:c>
      <x:c r="AD131" s="40" t="n">
        <x:f>F131+H131+J131</x:f>
        <x:v>3068.9448262119554</x:v>
      </x:c>
      <x:c r="AE131" s="40" t="n">
        <x:f>X131+Z131+AB131</x:f>
        <x:v>3068.9448262119554</x:v>
      </x:c>
      <x:c r="AF131" s="40" t="n">
        <x:f>AD131-AE131</x:f>
        <x:v>0</x:v>
      </x:c>
      <x:c r="AG131" s="42" t="n">
        <x:f>(O131+S131)/'Inputs &amp; Summary'!$B$4</x:f>
        <x:v>0.6</x:v>
      </x:c>
      <x:c r="AH131" s="40" t="n">
        <x:f>U131-O131-S131</x:f>
        <x:v>-235293.3726604247</x:v>
      </x:c>
      <x:c r="AI131" s="40" t="n">
        <x:f>AC131-Y131</x:f>
        <x:v>-245073.2340552521</x:v>
      </x:c>
      <x:c r="AJ131" s="40" t="n">
        <x:f>AH131-AI131</x:f>
        <x:v>9779.8613948274</x:v>
      </x:c>
    </x:row>
    <x:row r="132">
      <x:c r="A132" t="n">
        <x:f>A131+1</x:f>
        <x:v>128</x:v>
      </x:c>
      <x:c r="B132" t="n">
        <x:f>INT((A132-1)/12)+1</x:f>
        <x:v>11</x:v>
      </x:c>
      <x:c r="C132" t="n">
        <x:f>MOD(A132-1,12)+1</x:f>
        <x:v>8</x:v>
      </x:c>
      <x:c r="D132" s="40" t="n">
        <x:f>O131</x:f>
        <x:v>281305.2728691562</x:v>
      </x:c>
      <x:c r="E132" s="40" t="n">
        <x:f>D132*'Inputs &amp; Summary'!$B$15</x:f>
        <x:v>1045.1389867872558</x:v>
      </x:c>
      <x:c r="F132" s="40" t="n">
        <x:f>IF(D132&lt;=0.00000001,0,MIN('Inputs &amp; Summary'!$B$18,D132+E132))</x:f>
        <x:v>2324.586407999052</x:v>
      </x:c>
      <x:c r="G132" s="40" t="n">
        <x:f>IF(ABS(MAX(0,D132+E132-F132))&lt;0.00000001,0,MAX(0,D132+E132-F132))</x:f>
        <x:v>280025.8254479444</x:v>
      </x:c>
      <x:c r="H132" s="40" t="n">
        <x:f>MAX(0,'Inputs &amp; Summary'!$B$18-F132)</x:f>
        <x:v>0</x:v>
      </x:c>
      <x:c r="I132" s="40" t="n">
        <x:f>S131</x:f>
        <x:v>138694.7271308438</x:v>
      </x:c>
      <x:c r="J132" s="40" t="n">
        <x:f>I132*'Inputs &amp; Summary'!$B$16</x:f>
        <x:v>751.2631052920706</x:v>
      </x:c>
      <x:c r="K132" s="40" t="n">
        <x:f>IF(C132=1,J132,K131+J132)</x:f>
        <x:v>5818.1982584165435</x:v>
      </x:c>
      <x:c r="L132" s="40" t="n">
        <x:f>IF(C132=12,K132*'Inputs &amp; Summary'!$B$11*'Inputs &amp; Summary'!$B$12,0)</x:f>
        <x:v>0</x:v>
      </x:c>
      <x:c r="M132" s="40" t="n">
        <x:f>MIN(L132,G132)</x:f>
        <x:v>0</x:v>
      </x:c>
      <x:c r="N132" s="40" t="n">
        <x:f>MAX(0,L132-M132)</x:f>
        <x:v>0</x:v>
      </x:c>
      <x:c r="O132" s="40" t="n">
        <x:f>IF(ABS(MAX(0,G132-M132))&lt;0.00000001,0,MAX(0,G132-M132))</x:f>
        <x:v>280025.8254479444</x:v>
      </x:c>
      <x:c r="P132" s="40" t="n">
        <x:f>MAX(0,D132-O132)</x:f>
        <x:v>1279.4474212118075</x:v>
      </x:c>
      <x:c r="Q132" s="40" t="n">
        <x:f>MAX(0,'Inputs &amp; Summary'!$B$19*'Inputs &amp; Summary'!$B$4-O132-I132)</x:f>
        <x:v>36279.44742121181</x:v>
      </x:c>
      <x:c r="R132" s="40" t="n">
        <x:f>MIN(P132,Q132)</x:f>
        <x:v>1279.4474212118075</x:v>
      </x:c>
      <x:c r="S132" s="40" t="n">
        <x:f>I132+R132</x:f>
        <x:v>139974.1745520556</x:v>
      </x:c>
      <x:c r="T132" s="40" t="n">
        <x:f>U131</x:f>
        <x:v>184706.6273395753</x:v>
      </x:c>
      <x:c r="U132" s="40" t="n">
        <x:f>T132*(1+'Inputs &amp; Summary'!$B$17)+R132+N132+H132</x:f>
        <x:v>186885.14360911647</x:v>
      </x:c>
      <x:c r="V132" s="40" t="n">
        <x:f>Y131</x:f>
        <x:v>296275.8097213692</x:v>
      </x:c>
      <x:c r="W132" s="40" t="n">
        <x:f>V132*'Inputs &amp; Summary'!$B$15</x:f>
        <x:v>1100.7593153996552</x:v>
      </x:c>
      <x:c r="X132" s="40" t="n">
        <x:f>IF(V132&lt;=0.00000001,0,MIN('Inputs &amp; Summary'!$B$18,V132+W132))</x:f>
        <x:v>2324.586407999052</x:v>
      </x:c>
      <x:c r="Y132" s="40" t="n">
        <x:f>IF(ABS(MAX(0,V132+W132-X132))&lt;0.00000001,0,MAX(0,V132+W132-X132))</x:f>
        <x:v>295051.98262876977</x:v>
      </x:c>
      <x:c r="Z132" s="40" t="n">
        <x:f>MAX(0,'Inputs &amp; Summary'!$B$18-X132)</x:f>
        <x:v>0</x:v>
      </x:c>
      <x:c r="AA132" s="40" t="n">
        <x:f>AC131</x:f>
        <x:v>51202.575666117074</x:v>
      </x:c>
      <x:c r="AB132" s="40" t="n">
        <x:f>J132</x:f>
        <x:v>751.2631052920706</x:v>
      </x:c>
      <x:c r="AC132" s="40" t="n">
        <x:f>AA132*(1+'Inputs &amp; Summary'!$B$17)+Z132+AB132</x:f>
        <x:v>52203.069897539775</x:v>
      </x:c>
      <x:c r="AD132" s="40" t="n">
        <x:f>F132+H132+J132</x:f>
        <x:v>3075.8495132911225</x:v>
      </x:c>
      <x:c r="AE132" s="40" t="n">
        <x:f>X132+Z132+AB132</x:f>
        <x:v>3075.8495132911225</x:v>
      </x:c>
      <x:c r="AF132" s="40" t="n">
        <x:f>AD132-AE132</x:f>
        <x:v>0</x:v>
      </x:c>
      <x:c r="AG132" s="42" t="n">
        <x:f>(O132+S132)/'Inputs &amp; Summary'!$B$4</x:f>
        <x:v>0.6</x:v>
      </x:c>
      <x:c r="AH132" s="40" t="n">
        <x:f>U132-O132-S132</x:f>
        <x:v>-233114.85639088353</x:v>
      </x:c>
      <x:c r="AI132" s="40" t="n">
        <x:f>AC132-Y132</x:f>
        <x:v>-242848.91273123</x:v>
      </x:c>
      <x:c r="AJ132" s="40" t="n">
        <x:f>AH132-AI132</x:f>
        <x:v>9734.056340346462</x:v>
      </x:c>
    </x:row>
    <x:row r="133">
      <x:c r="A133" t="n">
        <x:f>A132+1</x:f>
        <x:v>129</x:v>
      </x:c>
      <x:c r="B133" t="n">
        <x:f>INT((A133-1)/12)+1</x:f>
        <x:v>11</x:v>
      </x:c>
      <x:c r="C133" t="n">
        <x:f>MOD(A133-1,12)+1</x:f>
        <x:v>9</x:v>
      </x:c>
      <x:c r="D133" s="40" t="n">
        <x:f>O132</x:f>
        <x:v>280025.8254479444</x:v>
      </x:c>
      <x:c r="E133" s="40" t="n">
        <x:f>D133*'Inputs &amp; Summary'!$B$15</x:f>
        <x:v>1040.385430738291</x:v>
      </x:c>
      <x:c r="F133" s="40" t="n">
        <x:f>IF(D133&lt;=0.00000001,0,MIN('Inputs &amp; Summary'!$B$18,D133+E133))</x:f>
        <x:v>2324.586407999052</x:v>
      </x:c>
      <x:c r="G133" s="40" t="n">
        <x:f>IF(ABS(MAX(0,D133+E133-F133))&lt;0.00000001,0,MAX(0,D133+E133-F133))</x:f>
        <x:v>278741.62447068363</x:v>
      </x:c>
      <x:c r="H133" s="40" t="n">
        <x:f>MAX(0,'Inputs &amp; Summary'!$B$18-F133)</x:f>
        <x:v>0</x:v>
      </x:c>
      <x:c r="I133" s="40" t="n">
        <x:f>S132</x:f>
        <x:v>139974.1745520556</x:v>
      </x:c>
      <x:c r="J133" s="40" t="n">
        <x:f>I133*'Inputs &amp; Summary'!$B$16</x:f>
        <x:v>758.1934454903012</x:v>
      </x:c>
      <x:c r="K133" s="40" t="n">
        <x:f>IF(C133=1,J133,K132+J133)</x:f>
        <x:v>6576.391703906845</x:v>
      </x:c>
      <x:c r="L133" s="40" t="n">
        <x:f>IF(C133=12,K133*'Inputs &amp; Summary'!$B$11*'Inputs &amp; Summary'!$B$12,0)</x:f>
        <x:v>0</x:v>
      </x:c>
      <x:c r="M133" s="40" t="n">
        <x:f>MIN(L133,G133)</x:f>
        <x:v>0</x:v>
      </x:c>
      <x:c r="N133" s="40" t="n">
        <x:f>MAX(0,L133-M133)</x:f>
        <x:v>0</x:v>
      </x:c>
      <x:c r="O133" s="40" t="n">
        <x:f>IF(ABS(MAX(0,G133-M133))&lt;0.00000001,0,MAX(0,G133-M133))</x:f>
        <x:v>278741.62447068363</x:v>
      </x:c>
      <x:c r="P133" s="40" t="n">
        <x:f>MAX(0,D133-O133)</x:f>
        <x:v>1284.2009772607707</x:v>
      </x:c>
      <x:c r="Q133" s="40" t="n">
        <x:f>MAX(0,'Inputs &amp; Summary'!$B$19*'Inputs &amp; Summary'!$B$4-O133-I133)</x:f>
        <x:v>36284.20097726077</x:v>
      </x:c>
      <x:c r="R133" s="40" t="n">
        <x:f>MIN(P133,Q133)</x:f>
        <x:v>1284.2009772607707</x:v>
      </x:c>
      <x:c r="S133" s="40" t="n">
        <x:f>I133+R133</x:f>
        <x:v>141258.37552931637</x:v>
      </x:c>
      <x:c r="T133" s="40" t="n">
        <x:f>U132</x:f>
        <x:v>186885.14360911647</x:v>
      </x:c>
      <x:c r="U133" s="40" t="n">
        <x:f>T133*(1+'Inputs &amp; Summary'!$B$17)+R133+N133+H133</x:f>
        <x:v>189079.017472806</x:v>
      </x:c>
      <x:c r="V133" s="40" t="n">
        <x:f>Y132</x:f>
        <x:v>295051.98262876977</x:v>
      </x:c>
      <x:c r="W133" s="40" t="n">
        <x:f>V133*'Inputs &amp; Summary'!$B$15</x:f>
        <x:v>1096.2124066463412</x:v>
      </x:c>
      <x:c r="X133" s="40" t="n">
        <x:f>IF(V133&lt;=0.00000001,0,MIN('Inputs &amp; Summary'!$B$18,V133+W133))</x:f>
        <x:v>2324.586407999052</x:v>
      </x:c>
      <x:c r="Y133" s="40" t="n">
        <x:f>IF(ABS(MAX(0,V133+W133-X133))&lt;0.00000001,0,MAX(0,V133+W133-X133))</x:f>
        <x:v>293823.60862741707</x:v>
      </x:c>
      <x:c r="Z133" s="40" t="n">
        <x:f>MAX(0,'Inputs &amp; Summary'!$B$18-X133)</x:f>
        <x:v>0</x:v>
      </x:c>
      <x:c r="AA133" s="40" t="n">
        <x:f>AC132</x:f>
        <x:v>52203.069897539775</x:v>
      </x:c>
      <x:c r="AB133" s="40" t="n">
        <x:f>J133</x:f>
        <x:v>758.1934454903012</x:v>
      </x:c>
      <x:c r="AC133" s="40" t="n">
        <x:f>AA133*(1+'Inputs &amp; Summary'!$B$17)+Z133+AB133</x:f>
        <x:v>53215.36442542249</x:v>
      </x:c>
      <x:c r="AD133" s="40" t="n">
        <x:f>F133+H133+J133</x:f>
        <x:v>3082.779853489353</x:v>
      </x:c>
      <x:c r="AE133" s="40" t="n">
        <x:f>X133+Z133+AB133</x:f>
        <x:v>3082.779853489353</x:v>
      </x:c>
      <x:c r="AF133" s="40" t="n">
        <x:f>AD133-AE133</x:f>
        <x:v>0</x:v>
      </x:c>
      <x:c r="AG133" s="42" t="n">
        <x:f>(O133+S133)/'Inputs &amp; Summary'!$B$4</x:f>
        <x:v>0.6</x:v>
      </x:c>
      <x:c r="AH133" s="40" t="n">
        <x:f>U133-O133-S133</x:f>
        <x:v>-230920.982527194</x:v>
      </x:c>
      <x:c r="AI133" s="40" t="n">
        <x:f>AC133-Y133</x:f>
        <x:v>-240608.24420199456</x:v>
      </x:c>
      <x:c r="AJ133" s="40" t="n">
        <x:f>AH133-AI133</x:f>
        <x:v>9687.261674800568</x:v>
      </x:c>
    </x:row>
    <x:row r="134">
      <x:c r="A134" t="n">
        <x:f>A133+1</x:f>
        <x:v>130</x:v>
      </x:c>
      <x:c r="B134" t="n">
        <x:f>INT((A134-1)/12)+1</x:f>
        <x:v>11</x:v>
      </x:c>
      <x:c r="C134" t="n">
        <x:f>MOD(A134-1,12)+1</x:f>
        <x:v>10</x:v>
      </x:c>
      <x:c r="D134" s="40" t="n">
        <x:f>O133</x:f>
        <x:v>278741.62447068363</x:v>
      </x:c>
      <x:c r="E134" s="40" t="n">
        <x:f>D134*'Inputs &amp; Summary'!$B$15</x:f>
        <x:v>1035.6142137094876</x:v>
      </x:c>
      <x:c r="F134" s="40" t="n">
        <x:f>IF(D134&lt;=0.00000001,0,MIN('Inputs &amp; Summary'!$B$18,D134+E134))</x:f>
        <x:v>2324.586407999052</x:v>
      </x:c>
      <x:c r="G134" s="40" t="n">
        <x:f>IF(ABS(MAX(0,D134+E134-F134))&lt;0.00000001,0,MAX(0,D134+E134-F134))</x:f>
        <x:v>277452.6522763941</x:v>
      </x:c>
      <x:c r="H134" s="40" t="n">
        <x:f>MAX(0,'Inputs &amp; Summary'!$B$18-F134)</x:f>
        <x:v>0</x:v>
      </x:c>
      <x:c r="I134" s="40" t="n">
        <x:f>S133</x:f>
        <x:v>141258.37552931637</x:v>
      </x:c>
      <x:c r="J134" s="40" t="n">
        <x:f>I134*'Inputs &amp; Summary'!$B$16</x:f>
        <x:v>765.1495341171303</x:v>
      </x:c>
      <x:c r="K134" s="40" t="n">
        <x:f>IF(C134=1,J134,K133+J134)</x:f>
        <x:v>7341.541238023975</x:v>
      </x:c>
      <x:c r="L134" s="40" t="n">
        <x:f>IF(C134=12,K134*'Inputs &amp; Summary'!$B$11*'Inputs &amp; Summary'!$B$12,0)</x:f>
        <x:v>0</x:v>
      </x:c>
      <x:c r="M134" s="40" t="n">
        <x:f>MIN(L134,G134)</x:f>
        <x:v>0</x:v>
      </x:c>
      <x:c r="N134" s="40" t="n">
        <x:f>MAX(0,L134-M134)</x:f>
        <x:v>0</x:v>
      </x:c>
      <x:c r="O134" s="40" t="n">
        <x:f>IF(ABS(MAX(0,G134-M134))&lt;0.00000001,0,MAX(0,G134-M134))</x:f>
        <x:v>277452.6522763941</x:v>
      </x:c>
      <x:c r="P134" s="40" t="n">
        <x:f>MAX(0,D134-O134)</x:f>
        <x:v>1288.9721942895558</x:v>
      </x:c>
      <x:c r="Q134" s="40" t="n">
        <x:f>MAX(0,'Inputs &amp; Summary'!$B$19*'Inputs &amp; Summary'!$B$4-O134-I134)</x:f>
        <x:v>36288.972194289556</x:v>
      </x:c>
      <x:c r="R134" s="40" t="n">
        <x:f>MIN(P134,Q134)</x:f>
        <x:v>1288.9721942895558</x:v>
      </x:c>
      <x:c r="S134" s="40" t="n">
        <x:f>I134+R134</x:f>
        <x:v>142547.34772360593</x:v>
      </x:c>
      <x:c r="T134" s="40" t="n">
        <x:f>U133</x:f>
        <x:v>189079.017472806</x:v>
      </x:c>
      <x:c r="U134" s="40" t="n">
        <x:f>T134*(1+'Inputs &amp; Summary'!$B$17)+R134+N134+H134</x:f>
        <x:v>191288.34134548984</x:v>
      </x:c>
      <x:c r="V134" s="40" t="n">
        <x:f>Y133</x:f>
        <x:v>293823.60862741707</x:v>
      </x:c>
      <x:c r="W134" s="40" t="n">
        <x:f>V134*'Inputs &amp; Summary'!$B$15</x:f>
        <x:v>1091.6486046739312</x:v>
      </x:c>
      <x:c r="X134" s="40" t="n">
        <x:f>IF(V134&lt;=0.00000001,0,MIN('Inputs &amp; Summary'!$B$18,V134+W134))</x:f>
        <x:v>2324.586407999052</x:v>
      </x:c>
      <x:c r="Y134" s="40" t="n">
        <x:f>IF(ABS(MAX(0,V134+W134-X134))&lt;0.00000001,0,MAX(0,V134+W134-X134))</x:f>
        <x:v>292590.67082409194</x:v>
      </x:c>
      <x:c r="Z134" s="40" t="n">
        <x:f>MAX(0,'Inputs &amp; Summary'!$B$18-X134)</x:f>
        <x:v>0</x:v>
      </x:c>
      <x:c r="AA134" s="40" t="n">
        <x:f>AC133</x:f>
        <x:v>53215.36442542249</x:v>
      </x:c>
      <x:c r="AB134" s="40" t="n">
        <x:f>J134</x:f>
        <x:v>765.1495341171303</x:v>
      </x:c>
      <x:c r="AC134" s="40" t="n">
        <x:f>AA134*(1+'Inputs &amp; Summary'!$B$17)+Z134+AB134</x:f>
        <x:v>54239.54243673353</x:v>
      </x:c>
      <x:c r="AD134" s="40" t="n">
        <x:f>F134+H134+J134</x:f>
        <x:v>3089.7359421161823</x:v>
      </x:c>
      <x:c r="AE134" s="40" t="n">
        <x:f>X134+Z134+AB134</x:f>
        <x:v>3089.7359421161823</x:v>
      </x:c>
      <x:c r="AF134" s="40" t="n">
        <x:f>AD134-AE134</x:f>
        <x:v>0</x:v>
      </x:c>
      <x:c r="AG134" s="42" t="n">
        <x:f>(O134+S134)/'Inputs &amp; Summary'!$B$4</x:f>
        <x:v>0.6</x:v>
      </x:c>
      <x:c r="AH134" s="40" t="n">
        <x:f>U134-O134-S134</x:f>
        <x:v>-228711.65865451016</x:v>
      </x:c>
      <x:c r="AI134" s="40" t="n">
        <x:f>AC134-Y134</x:f>
        <x:v>-238351.12838735842</x:v>
      </x:c>
      <x:c r="AJ134" s="40" t="n">
        <x:f>AH134-AI134</x:f>
        <x:v>9639.469732848258</x:v>
      </x:c>
    </x:row>
    <x:row r="135">
      <x:c r="A135" t="n">
        <x:f>A134+1</x:f>
        <x:v>131</x:v>
      </x:c>
      <x:c r="B135" t="n">
        <x:f>INT((A135-1)/12)+1</x:f>
        <x:v>11</x:v>
      </x:c>
      <x:c r="C135" t="n">
        <x:f>MOD(A135-1,12)+1</x:f>
        <x:v>11</x:v>
      </x:c>
      <x:c r="D135" s="40" t="n">
        <x:f>O134</x:f>
        <x:v>277452.6522763941</x:v>
      </x:c>
      <x:c r="E135" s="40" t="n">
        <x:f>D135*'Inputs &amp; Summary'!$B$15</x:f>
        <x:v>1030.8252700846613</x:v>
      </x:c>
      <x:c r="F135" s="40" t="n">
        <x:f>IF(D135&lt;=0.00000001,0,MIN('Inputs &amp; Summary'!$B$18,D135+E135))</x:f>
        <x:v>2324.586407999052</x:v>
      </x:c>
      <x:c r="G135" s="40" t="n">
        <x:f>IF(ABS(MAX(0,D135+E135-F135))&lt;0.00000001,0,MAX(0,D135+E135-F135))</x:f>
        <x:v>276158.8911384797</x:v>
      </x:c>
      <x:c r="H135" s="40" t="n">
        <x:f>MAX(0,'Inputs &amp; Summary'!$B$18-F135)</x:f>
        <x:v>0</x:v>
      </x:c>
      <x:c r="I135" s="40" t="n">
        <x:f>S134</x:f>
        <x:v>142547.34772360593</x:v>
      </x:c>
      <x:c r="J135" s="40" t="n">
        <x:f>I135*'Inputs &amp; Summary'!$B$16</x:f>
        <x:v>772.1314668361988</x:v>
      </x:c>
      <x:c r="K135" s="40" t="n">
        <x:f>IF(C135=1,J135,K134+J135)</x:f>
        <x:v>8113.672704860173</x:v>
      </x:c>
      <x:c r="L135" s="40" t="n">
        <x:f>IF(C135=12,K135*'Inputs &amp; Summary'!$B$11*'Inputs &amp; Summary'!$B$12,0)</x:f>
        <x:v>0</x:v>
      </x:c>
      <x:c r="M135" s="40" t="n">
        <x:f>MIN(L135,G135)</x:f>
        <x:v>0</x:v>
      </x:c>
      <x:c r="N135" s="40" t="n">
        <x:f>MAX(0,L135-M135)</x:f>
        <x:v>0</x:v>
      </x:c>
      <x:c r="O135" s="40" t="n">
        <x:f>IF(ABS(MAX(0,G135-M135))&lt;0.00000001,0,MAX(0,G135-M135))</x:f>
        <x:v>276158.8911384797</x:v>
      </x:c>
      <x:c r="P135" s="40" t="n">
        <x:f>MAX(0,D135-O135)</x:f>
        <x:v>1293.7611379143782</x:v>
      </x:c>
      <x:c r="Q135" s="40" t="n">
        <x:f>MAX(0,'Inputs &amp; Summary'!$B$19*'Inputs &amp; Summary'!$B$4-O135-I135)</x:f>
        <x:v>36293.76113791438</x:v>
      </x:c>
      <x:c r="R135" s="40" t="n">
        <x:f>MIN(P135,Q135)</x:f>
        <x:v>1293.7611379143782</x:v>
      </x:c>
      <x:c r="S135" s="40" t="n">
        <x:f>I135+R135</x:f>
        <x:v>143841.1088615203</x:v>
      </x:c>
      <x:c r="T135" s="40" t="n">
        <x:f>U134</x:f>
        <x:v>191288.34134548984</x:v>
      </x:c>
      <x:c r="U135" s="40" t="n">
        <x:f>T135*(1+'Inputs &amp; Summary'!$B$17)+R135+N135+H135</x:f>
        <x:v>193513.208157464</x:v>
      </x:c>
      <x:c r="V135" s="40" t="n">
        <x:f>Y134</x:f>
        <x:v>292590.67082409194</x:v>
      </x:c>
      <x:c r="W135" s="40" t="n">
        <x:f>V135*'Inputs &amp; Summary'!$B$15</x:f>
        <x:v>1087.0678467187176</x:v>
      </x:c>
      <x:c r="X135" s="40" t="n">
        <x:f>IF(V135&lt;=0.00000001,0,MIN('Inputs &amp; Summary'!$B$18,V135+W135))</x:f>
        <x:v>2324.586407999052</x:v>
      </x:c>
      <x:c r="Y135" s="40" t="n">
        <x:f>IF(ABS(MAX(0,V135+W135-X135))&lt;0.00000001,0,MAX(0,V135+W135-X135))</x:f>
        <x:v>291353.1522628116</x:v>
      </x:c>
      <x:c r="Z135" s="40" t="n">
        <x:f>MAX(0,'Inputs &amp; Summary'!$B$18-X135)</x:f>
        <x:v>0</x:v>
      </x:c>
      <x:c r="AA135" s="40" t="n">
        <x:f>AC134</x:f>
        <x:v>54239.54243673353</x:v>
      </x:c>
      <x:c r="AB135" s="40" t="n">
        <x:f>J135</x:f>
        <x:v>772.1314668361988</x:v>
      </x:c>
      <x:c r="AC135" s="40" t="n">
        <x:f>AA135*(1+'Inputs &amp; Summary'!$B$17)+Z135+AB135</x:f>
        <x:v>55275.68761902159</x:v>
      </x:c>
      <x:c r="AD135" s="40" t="n">
        <x:f>F135+H135+J135</x:f>
        <x:v>3096.7178748352508</x:v>
      </x:c>
      <x:c r="AE135" s="40" t="n">
        <x:f>X135+Z135+AB135</x:f>
        <x:v>3096.7178748352508</x:v>
      </x:c>
      <x:c r="AF135" s="40" t="n">
        <x:f>AD135-AE135</x:f>
        <x:v>0</x:v>
      </x:c>
      <x:c r="AG135" s="42" t="n">
        <x:f>(O135+S135)/'Inputs &amp; Summary'!$B$4</x:f>
        <x:v>0.6</x:v>
      </x:c>
      <x:c r="AH135" s="40" t="n">
        <x:f>U135-O135-S135</x:f>
        <x:v>-226486.791842536</x:v>
      </x:c>
      <x:c r="AI135" s="40" t="n">
        <x:f>AC135-Y135</x:f>
        <x:v>-236077.46464379</x:v>
      </x:c>
      <x:c r="AJ135" s="40" t="n">
        <x:f>AH135-AI135</x:f>
        <x:v>9590.672801253997</x:v>
      </x:c>
    </x:row>
    <x:row r="136">
      <x:c r="A136" t="n">
        <x:f>A135+1</x:f>
        <x:v>132</x:v>
      </x:c>
      <x:c r="B136" t="n">
        <x:f>INT((A136-1)/12)+1</x:f>
        <x:v>11</x:v>
      </x:c>
      <x:c r="C136" t="n">
        <x:f>MOD(A136-1,12)+1</x:f>
        <x:v>12</x:v>
      </x:c>
      <x:c r="D136" s="40" t="n">
        <x:f>O135</x:f>
        <x:v>276158.8911384797</x:v>
      </x:c>
      <x:c r="E136" s="40" t="n">
        <x:f>D136*'Inputs &amp; Summary'!$B$15</x:f>
        <x:v>1026.0185340038433</x:v>
      </x:c>
      <x:c r="F136" s="40" t="n">
        <x:f>IF(D136&lt;=0.00000001,0,MIN('Inputs &amp; Summary'!$B$18,D136+E136))</x:f>
        <x:v>2324.586407999052</x:v>
      </x:c>
      <x:c r="G136" s="40" t="n">
        <x:f>IF(ABS(MAX(0,D136+E136-F136))&lt;0.00000001,0,MAX(0,D136+E136-F136))</x:f>
        <x:v>274860.32326448447</x:v>
      </x:c>
      <x:c r="H136" s="40" t="n">
        <x:f>MAX(0,'Inputs &amp; Summary'!$B$18-F136)</x:f>
        <x:v>0</x:v>
      </x:c>
      <x:c r="I136" s="40" t="n">
        <x:f>S135</x:f>
        <x:v>143841.1088615203</x:v>
      </x:c>
      <x:c r="J136" s="40" t="n">
        <x:f>I136*'Inputs &amp; Summary'!$B$16</x:f>
        <x:v>779.1393396665684</x:v>
      </x:c>
      <x:c r="K136" s="40" t="n">
        <x:f>IF(C136=1,J136,K135+J136)</x:f>
        <x:v>8892.812044526741</x:v>
      </x:c>
      <x:c r="L136" s="40" t="n">
        <x:f>IF(C136=12,K136*'Inputs &amp; Summary'!$B$11*'Inputs &amp; Summary'!$B$12,0)</x:f>
        <x:v>3112.4842155843594</x:v>
      </x:c>
      <x:c r="M136" s="40" t="n">
        <x:f>MIN(L136,G136)</x:f>
        <x:v>3112.4842155843594</x:v>
      </x:c>
      <x:c r="N136" s="40" t="n">
        <x:f>MAX(0,L136-M136)</x:f>
        <x:v>0</x:v>
      </x:c>
      <x:c r="O136" s="40" t="n">
        <x:f>IF(ABS(MAX(0,G136-M136))&lt;0.00000001,0,MAX(0,G136-M136))</x:f>
        <x:v>271747.8390489001</x:v>
      </x:c>
      <x:c r="P136" s="40" t="n">
        <x:f>MAX(0,D136-O136)</x:f>
        <x:v>4411.052089579578</x:v>
      </x:c>
      <x:c r="Q136" s="40" t="n">
        <x:f>MAX(0,'Inputs &amp; Summary'!$B$19*'Inputs &amp; Summary'!$B$4-O136-I136)</x:f>
        <x:v>39411.05208957958</x:v>
      </x:c>
      <x:c r="R136" s="40" t="n">
        <x:f>MIN(P136,Q136)</x:f>
        <x:v>4411.052089579578</x:v>
      </x:c>
      <x:c r="S136" s="40" t="n">
        <x:f>I136+R136</x:f>
        <x:v>148252.16095109988</x:v>
      </x:c>
      <x:c r="T136" s="40" t="n">
        <x:f>U135</x:f>
        <x:v>193513.208157464</x:v>
      </x:c>
      <x:c r="U136" s="40" t="n">
        <x:f>T136*(1+'Inputs &amp; Summary'!$B$17)+R136+N136+H136</x:f>
        <x:v>198866.1955728118</x:v>
      </x:c>
      <x:c r="V136" s="40" t="n">
        <x:f>Y135</x:f>
        <x:v>291353.1522628116</x:v>
      </x:c>
      <x:c r="W136" s="40" t="n">
        <x:f>V136*'Inputs &amp; Summary'!$B$15</x:f>
        <x:v>1082.4700697838057</x:v>
      </x:c>
      <x:c r="X136" s="40" t="n">
        <x:f>IF(V136&lt;=0.00000001,0,MIN('Inputs &amp; Summary'!$B$18,V136+W136))</x:f>
        <x:v>2324.586407999052</x:v>
      </x:c>
      <x:c r="Y136" s="40" t="n">
        <x:f>IF(ABS(MAX(0,V136+W136-X136))&lt;0.00000001,0,MAX(0,V136+W136-X136))</x:f>
        <x:v>290111.03592459636</x:v>
      </x:c>
      <x:c r="Z136" s="40" t="n">
        <x:f>MAX(0,'Inputs &amp; Summary'!$B$18-X136)</x:f>
        <x:v>0</x:v>
      </x:c>
      <x:c r="AA136" s="40" t="n">
        <x:f>AC135</x:f>
        <x:v>55275.68761902159</x:v>
      </x:c>
      <x:c r="AB136" s="40" t="n">
        <x:f>J136</x:f>
        <x:v>779.1393396665684</x:v>
      </x:c>
      <x:c r="AC136" s="40" t="n">
        <x:f>AA136*(1+'Inputs &amp; Summary'!$B$17)+Z136+AB136</x:f>
        <x:v>56323.884163207855</x:v>
      </x:c>
      <x:c r="AD136" s="40" t="n">
        <x:f>F136+H136+J136</x:f>
        <x:v>3103.7257476656205</x:v>
      </x:c>
      <x:c r="AE136" s="40" t="n">
        <x:f>X136+Z136+AB136</x:f>
        <x:v>3103.7257476656205</x:v>
      </x:c>
      <x:c r="AF136" s="40" t="n">
        <x:f>AD136-AE136</x:f>
        <x:v>0</x:v>
      </x:c>
      <x:c r="AG136" s="42" t="n">
        <x:f>(O136+S136)/'Inputs &amp; Summary'!$B$4</x:f>
        <x:v>0.6</x:v>
      </x:c>
      <x:c r="AH136" s="40" t="n">
        <x:f>U136-O136-S136</x:f>
        <x:v>-221133.8044271882</x:v>
      </x:c>
      <x:c r="AI136" s="40" t="n">
        <x:f>AC136-Y136</x:f>
        <x:v>-233787.15176138852</x:v>
      </x:c>
      <x:c r="AJ136" s="40" t="n">
        <x:f>AH136-AI136</x:f>
        <x:v>12653.347334200313</x:v>
      </x:c>
    </x:row>
    <x:row r="137">
      <x:c r="A137" t="n">
        <x:f>A136+1</x:f>
        <x:v>133</x:v>
      </x:c>
      <x:c r="B137" t="n">
        <x:f>INT((A137-1)/12)+1</x:f>
        <x:v>12</x:v>
      </x:c>
      <x:c r="C137" t="n">
        <x:f>MOD(A137-1,12)+1</x:f>
        <x:v>1</x:v>
      </x:c>
      <x:c r="D137" s="40" t="n">
        <x:f>O136</x:f>
        <x:v>271747.8390489001</x:v>
      </x:c>
      <x:c r="E137" s="40" t="n">
        <x:f>D137*'Inputs &amp; Summary'!$B$15</x:f>
        <x:v>1009.6300658299341</x:v>
      </x:c>
      <x:c r="F137" s="40" t="n">
        <x:f>IF(D137&lt;=0.00000001,0,MIN('Inputs &amp; Summary'!$B$18,D137+E137))</x:f>
        <x:v>2324.586407999052</x:v>
      </x:c>
      <x:c r="G137" s="40" t="n">
        <x:f>IF(ABS(MAX(0,D137+E137-F137))&lt;0.00000001,0,MAX(0,D137+E137-F137))</x:f>
        <x:v>270432.88270673103</x:v>
      </x:c>
      <x:c r="H137" s="40" t="n">
        <x:f>MAX(0,'Inputs &amp; Summary'!$B$18-F137)</x:f>
        <x:v>0</x:v>
      </x:c>
      <x:c r="I137" s="40" t="n">
        <x:f>S136</x:f>
        <x:v>148252.16095109988</x:v>
      </x:c>
      <x:c r="J137" s="40" t="n">
        <x:f>I137*'Inputs &amp; Summary'!$B$16</x:f>
        <x:v>803.0325384851244</x:v>
      </x:c>
      <x:c r="K137" s="40" t="n">
        <x:f>IF(C137=1,J137,K136+J137)</x:f>
        <x:v>803.0325384851244</x:v>
      </x:c>
      <x:c r="L137" s="40" t="n">
        <x:f>IF(C137=12,K137*'Inputs &amp; Summary'!$B$11*'Inputs &amp; Summary'!$B$12,0)</x:f>
        <x:v>0</x:v>
      </x:c>
      <x:c r="M137" s="40" t="n">
        <x:f>MIN(L137,G137)</x:f>
        <x:v>0</x:v>
      </x:c>
      <x:c r="N137" s="40" t="n">
        <x:f>MAX(0,L137-M137)</x:f>
        <x:v>0</x:v>
      </x:c>
      <x:c r="O137" s="40" t="n">
        <x:f>IF(ABS(MAX(0,G137-M137))&lt;0.00000001,0,MAX(0,G137-M137))</x:f>
        <x:v>270432.88270673103</x:v>
      </x:c>
      <x:c r="P137" s="40" t="n">
        <x:f>MAX(0,D137-O137)</x:f>
        <x:v>1314.9563421690837</x:v>
      </x:c>
      <x:c r="Q137" s="40" t="n">
        <x:f>MAX(0,'Inputs &amp; Summary'!$B$19*'Inputs &amp; Summary'!$B$4-O137-I137)</x:f>
        <x:v>36314.956342169084</x:v>
      </x:c>
      <x:c r="R137" s="40" t="n">
        <x:f>MIN(P137,Q137)</x:f>
        <x:v>1314.9563421690837</x:v>
      </x:c>
      <x:c r="S137" s="40" t="n">
        <x:f>I137+R137</x:f>
        <x:v>149567.11729326897</x:v>
      </x:c>
      <x:c r="T137" s="40" t="n">
        <x:f>U136</x:f>
        <x:v>198866.1955728118</x:v>
      </x:c>
      <x:c r="U137" s="40" t="n">
        <x:f>T137*(1+'Inputs &amp; Summary'!$B$17)+R137+N137+H137</x:f>
        <x:v>201149.14317766894</x:v>
      </x:c>
      <x:c r="V137" s="40" t="n">
        <x:f>Y136</x:f>
        <x:v>290111.03592459636</x:v>
      </x:c>
      <x:c r="W137" s="40" t="n">
        <x:f>V137*'Inputs &amp; Summary'!$B$15</x:f>
        <x:v>1077.8552106382467</x:v>
      </x:c>
      <x:c r="X137" s="40" t="n">
        <x:f>IF(V137&lt;=0.00000001,0,MIN('Inputs &amp; Summary'!$B$18,V137+W137))</x:f>
        <x:v>2324.586407999052</x:v>
      </x:c>
      <x:c r="Y137" s="40" t="n">
        <x:f>IF(ABS(MAX(0,V137+W137-X137))&lt;0.00000001,0,MAX(0,V137+W137-X137))</x:f>
        <x:v>288864.3047272356</x:v>
      </x:c>
      <x:c r="Z137" s="40" t="n">
        <x:f>MAX(0,'Inputs &amp; Summary'!$B$18-X137)</x:f>
        <x:v>0</x:v>
      </x:c>
      <x:c r="AA137" s="40" t="n">
        <x:f>AC136</x:f>
        <x:v>56323.884163207855</x:v>
      </x:c>
      <x:c r="AB137" s="40" t="n">
        <x:f>J137</x:f>
        <x:v>803.0325384851244</x:v>
      </x:c>
      <x:c r="AC137" s="40" t="n">
        <x:f>AA137*(1+'Inputs &amp; Summary'!$B$17)+Z137+AB137</x:f>
        <x:v>57401.076055893915</x:v>
      </x:c>
      <x:c r="AD137" s="40" t="n">
        <x:f>F137+H137+J137</x:f>
        <x:v>3127.6189464841764</x:v>
      </x:c>
      <x:c r="AE137" s="40" t="n">
        <x:f>X137+Z137+AB137</x:f>
        <x:v>3127.6189464841764</x:v>
      </x:c>
      <x:c r="AF137" s="40" t="n">
        <x:f>AD137-AE137</x:f>
        <x:v>0</x:v>
      </x:c>
      <x:c r="AG137" s="42" t="n">
        <x:f>(O137+S137)/'Inputs &amp; Summary'!$B$4</x:f>
        <x:v>0.6</x:v>
      </x:c>
      <x:c r="AH137" s="40" t="n">
        <x:f>U137-O137-S137</x:f>
        <x:v>-218850.85682233106</x:v>
      </x:c>
      <x:c r="AI137" s="40" t="n">
        <x:f>AC137-Y137</x:f>
        <x:v>-231463.22867134167</x:v>
      </x:c>
      <x:c r="AJ137" s="40" t="n">
        <x:f>AH137-AI137</x:f>
        <x:v>12612.371849010611</x:v>
      </x:c>
    </x:row>
    <x:row r="138">
      <x:c r="A138" t="n">
        <x:f>A137+1</x:f>
        <x:v>134</x:v>
      </x:c>
      <x:c r="B138" t="n">
        <x:f>INT((A138-1)/12)+1</x:f>
        <x:v>12</x:v>
      </x:c>
      <x:c r="C138" t="n">
        <x:f>MOD(A138-1,12)+1</x:f>
        <x:v>2</x:v>
      </x:c>
      <x:c r="D138" s="40" t="n">
        <x:f>O137</x:f>
        <x:v>270432.88270673103</x:v>
      </x:c>
      <x:c r="E138" s="40" t="n">
        <x:f>D138*'Inputs &amp; Summary'!$B$15</x:f>
        <x:v>1004.7445827918564</x:v>
      </x:c>
      <x:c r="F138" s="40" t="n">
        <x:f>IF(D138&lt;=0.00000001,0,MIN('Inputs &amp; Summary'!$B$18,D138+E138))</x:f>
        <x:v>2324.586407999052</x:v>
      </x:c>
      <x:c r="G138" s="40" t="n">
        <x:f>IF(ABS(MAX(0,D138+E138-F138))&lt;0.00000001,0,MAX(0,D138+E138-F138))</x:f>
        <x:v>269113.04088152386</x:v>
      </x:c>
      <x:c r="H138" s="40" t="n">
        <x:f>MAX(0,'Inputs &amp; Summary'!$B$18-F138)</x:f>
        <x:v>0</x:v>
      </x:c>
      <x:c r="I138" s="40" t="n">
        <x:f>S137</x:f>
        <x:v>149567.11729326897</x:v>
      </x:c>
      <x:c r="J138" s="40" t="n">
        <x:f>I138*'Inputs &amp; Summary'!$B$16</x:f>
        <x:v>810.1552186718736</x:v>
      </x:c>
      <x:c r="K138" s="40" t="n">
        <x:f>IF(C138=1,J138,K137+J138)</x:f>
        <x:v>1613.187757156998</x:v>
      </x:c>
      <x:c r="L138" s="40" t="n">
        <x:f>IF(C138=12,K138*'Inputs &amp; Summary'!$B$11*'Inputs &amp; Summary'!$B$12,0)</x:f>
        <x:v>0</x:v>
      </x:c>
      <x:c r="M138" s="40" t="n">
        <x:f>MIN(L138,G138)</x:f>
        <x:v>0</x:v>
      </x:c>
      <x:c r="N138" s="40" t="n">
        <x:f>MAX(0,L138-M138)</x:f>
        <x:v>0</x:v>
      </x:c>
      <x:c r="O138" s="40" t="n">
        <x:f>IF(ABS(MAX(0,G138-M138))&lt;0.00000001,0,MAX(0,G138-M138))</x:f>
        <x:v>269113.04088152386</x:v>
      </x:c>
      <x:c r="P138" s="40" t="n">
        <x:f>MAX(0,D138-O138)</x:f>
        <x:v>1319.8418252071715</x:v>
      </x:c>
      <x:c r="Q138" s="40" t="n">
        <x:f>MAX(0,'Inputs &amp; Summary'!$B$19*'Inputs &amp; Summary'!$B$4-O138-I138)</x:f>
        <x:v>36319.84182520717</x:v>
      </x:c>
      <x:c r="R138" s="40" t="n">
        <x:f>MIN(P138,Q138)</x:f>
        <x:v>1319.8418252071715</x:v>
      </x:c>
      <x:c r="S138" s="40" t="n">
        <x:f>I138+R138</x:f>
        <x:v>150886.95911847614</x:v>
      </x:c>
      <x:c r="T138" s="40" t="n">
        <x:f>U137</x:f>
        <x:v>201149.14317766894</x:v>
      </x:c>
      <x:c r="U138" s="40" t="n">
        <x:f>T138*(1+'Inputs &amp; Summary'!$B$17)+R138+N138+H138</x:f>
        <x:v>203448.08862846886</x:v>
      </x:c>
      <x:c r="V138" s="40" t="n">
        <x:f>Y137</x:f>
        <x:v>288864.3047272356</x:v>
      </x:c>
      <x:c r="W138" s="40" t="n">
        <x:f>V138*'Inputs &amp; Summary'!$B$15</x:f>
        <x:v>1073.2232058161694</x:v>
      </x:c>
      <x:c r="X138" s="40" t="n">
        <x:f>IF(V138&lt;=0.00000001,0,MIN('Inputs &amp; Summary'!$B$18,V138+W138))</x:f>
        <x:v>2324.586407999052</x:v>
      </x:c>
      <x:c r="Y138" s="40" t="n">
        <x:f>IF(ABS(MAX(0,V138+W138-X138))&lt;0.00000001,0,MAX(0,V138+W138-X138))</x:f>
        <x:v>287612.9415250527</x:v>
      </x:c>
      <x:c r="Z138" s="40" t="n">
        <x:f>MAX(0,'Inputs &amp; Summary'!$B$18-X138)</x:f>
        <x:v>0</x:v>
      </x:c>
      <x:c r="AA138" s="40" t="n">
        <x:f>AC137</x:f>
        <x:v>57401.076055893915</x:v>
      </x:c>
      <x:c r="AB138" s="40" t="n">
        <x:f>J138</x:f>
        <x:v>810.1552186718736</x:v>
      </x:c>
      <x:c r="AC138" s="40" t="n">
        <x:f>AA138*(1+'Inputs &amp; Summary'!$B$17)+Z138+AB138</x:f>
        <x:v>58490.63391477296</x:v>
      </x:c>
      <x:c r="AD138" s="40" t="n">
        <x:f>F138+H138+J138</x:f>
        <x:v>3134.7416266709256</x:v>
      </x:c>
      <x:c r="AE138" s="40" t="n">
        <x:f>X138+Z138+AB138</x:f>
        <x:v>3134.7416266709256</x:v>
      </x:c>
      <x:c r="AF138" s="40" t="n">
        <x:f>AD138-AE138</x:f>
        <x:v>0</x:v>
      </x:c>
      <x:c r="AG138" s="42" t="n">
        <x:f>(O138+S138)/'Inputs &amp; Summary'!$B$4</x:f>
        <x:v>0.6</x:v>
      </x:c>
      <x:c r="AH138" s="40" t="n">
        <x:f>U138-O138-S138</x:f>
        <x:v>-216551.91137153114</x:v>
      </x:c>
      <x:c r="AI138" s="40" t="n">
        <x:f>AC138-Y138</x:f>
        <x:v>-229122.30761027976</x:v>
      </x:c>
      <x:c r="AJ138" s="40" t="n">
        <x:f>AH138-AI138</x:f>
        <x:v>12570.396238748624</x:v>
      </x:c>
    </x:row>
    <x:row r="139">
      <x:c r="A139" t="n">
        <x:f>A138+1</x:f>
        <x:v>135</x:v>
      </x:c>
      <x:c r="B139" t="n">
        <x:f>INT((A139-1)/12)+1</x:f>
        <x:v>12</x:v>
      </x:c>
      <x:c r="C139" t="n">
        <x:f>MOD(A139-1,12)+1</x:f>
        <x:v>3</x:v>
      </x:c>
      <x:c r="D139" s="40" t="n">
        <x:f>O138</x:f>
        <x:v>269113.04088152386</x:v>
      </x:c>
      <x:c r="E139" s="40" t="n">
        <x:f>D139*'Inputs &amp; Summary'!$B$15</x:f>
        <x:v>999.8409486230149</x:v>
      </x:c>
      <x:c r="F139" s="40" t="n">
        <x:f>IF(D139&lt;=0.00000001,0,MIN('Inputs &amp; Summary'!$B$18,D139+E139))</x:f>
        <x:v>2324.586407999052</x:v>
      </x:c>
      <x:c r="G139" s="40" t="n">
        <x:f>IF(ABS(MAX(0,D139+E139-F139))&lt;0.00000001,0,MAX(0,D139+E139-F139))</x:f>
        <x:v>267788.29542214784</x:v>
      </x:c>
      <x:c r="H139" s="40" t="n">
        <x:f>MAX(0,'Inputs &amp; Summary'!$B$18-F139)</x:f>
        <x:v>0</x:v>
      </x:c>
      <x:c r="I139" s="40" t="n">
        <x:f>S138</x:f>
        <x:v>150886.95911847614</x:v>
      </x:c>
      <x:c r="J139" s="40" t="n">
        <x:f>I139*'Inputs &amp; Summary'!$B$16</x:f>
        <x:v>817.3043618917458</x:v>
      </x:c>
      <x:c r="K139" s="40" t="n">
        <x:f>IF(C139=1,J139,K138+J139)</x:f>
        <x:v>2430.492119048744</x:v>
      </x:c>
      <x:c r="L139" s="40" t="n">
        <x:f>IF(C139=12,K139*'Inputs &amp; Summary'!$B$11*'Inputs &amp; Summary'!$B$12,0)</x:f>
        <x:v>0</x:v>
      </x:c>
      <x:c r="M139" s="40" t="n">
        <x:f>MIN(L139,G139)</x:f>
        <x:v>0</x:v>
      </x:c>
      <x:c r="N139" s="40" t="n">
        <x:f>MAX(0,L139-M139)</x:f>
        <x:v>0</x:v>
      </x:c>
      <x:c r="O139" s="40" t="n">
        <x:f>IF(ABS(MAX(0,G139-M139))&lt;0.00000001,0,MAX(0,G139-M139))</x:f>
        <x:v>267788.29542214784</x:v>
      </x:c>
      <x:c r="P139" s="40" t="n">
        <x:f>MAX(0,D139-O139)</x:f>
        <x:v>1324.7454593760194</x:v>
      </x:c>
      <x:c r="Q139" s="40" t="n">
        <x:f>MAX(0,'Inputs &amp; Summary'!$B$19*'Inputs &amp; Summary'!$B$4-O139-I139)</x:f>
        <x:v>36324.74545937602</x:v>
      </x:c>
      <x:c r="R139" s="40" t="n">
        <x:f>MIN(P139,Q139)</x:f>
        <x:v>1324.7454593760194</x:v>
      </x:c>
      <x:c r="S139" s="40" t="n">
        <x:f>I139+R139</x:f>
        <x:v>152211.70457785216</x:v>
      </x:c>
      <x:c r="T139" s="40" t="n">
        <x:f>U138</x:f>
        <x:v>203448.08862846886</x:v>
      </x:c>
      <x:c r="U139" s="40" t="n">
        <x:f>T139*(1+'Inputs &amp; Summary'!$B$17)+R139+N139+H139</x:f>
        <x:v>205763.12794666635</x:v>
      </x:c>
      <x:c r="V139" s="40" t="n">
        <x:f>Y138</x:f>
        <x:v>287612.9415250527</x:v>
      </x:c>
      <x:c r="W139" s="40" t="n">
        <x:f>V139*'Inputs &amp; Summary'!$B$15</x:f>
        <x:v>1068.573991615906</x:v>
      </x:c>
      <x:c r="X139" s="40" t="n">
        <x:f>IF(V139&lt;=0.00000001,0,MIN('Inputs &amp; Summary'!$B$18,V139+W139))</x:f>
        <x:v>2324.586407999052</x:v>
      </x:c>
      <x:c r="Y139" s="40" t="n">
        <x:f>IF(ABS(MAX(0,V139+W139-X139))&lt;0.00000001,0,MAX(0,V139+W139-X139))</x:f>
        <x:v>286356.9291086696</x:v>
      </x:c>
      <x:c r="Z139" s="40" t="n">
        <x:f>MAX(0,'Inputs &amp; Summary'!$B$18-X139)</x:f>
        <x:v>0</x:v>
      </x:c>
      <x:c r="AA139" s="40" t="n">
        <x:f>AC138</x:f>
        <x:v>58490.63391477296</x:v>
      </x:c>
      <x:c r="AB139" s="40" t="n">
        <x:f>J139</x:f>
        <x:v>817.3043618917458</x:v>
      </x:c>
      <x:c r="AC139" s="40" t="n">
        <x:f>AA139*(1+'Inputs &amp; Summary'!$B$17)+Z139+AB139</x:f>
        <x:v>59592.64439484383</x:v>
      </x:c>
      <x:c r="AD139" s="40" t="n">
        <x:f>F139+H139+J139</x:f>
        <x:v>3141.890769890798</x:v>
      </x:c>
      <x:c r="AE139" s="40" t="n">
        <x:f>X139+Z139+AB139</x:f>
        <x:v>3141.890769890798</x:v>
      </x:c>
      <x:c r="AF139" s="40" t="n">
        <x:f>AD139-AE139</x:f>
        <x:v>0</x:v>
      </x:c>
      <x:c r="AG139" s="42" t="n">
        <x:f>(O139+S139)/'Inputs &amp; Summary'!$B$4</x:f>
        <x:v>0.6</x:v>
      </x:c>
      <x:c r="AH139" s="40" t="n">
        <x:f>U139-O139-S139</x:f>
        <x:v>-214236.87205333365</x:v>
      </x:c>
      <x:c r="AI139" s="40" t="n">
        <x:f>AC139-Y139</x:f>
        <x:v>-226764.28471382573</x:v>
      </x:c>
      <x:c r="AJ139" s="40" t="n">
        <x:f>AH139-AI139</x:f>
        <x:v>12527.41266049209</x:v>
      </x:c>
    </x:row>
    <x:row r="140">
      <x:c r="A140" t="n">
        <x:f>A139+1</x:f>
        <x:v>136</x:v>
      </x:c>
      <x:c r="B140" t="n">
        <x:f>INT((A140-1)/12)+1</x:f>
        <x:v>12</x:v>
      </x:c>
      <x:c r="C140" t="n">
        <x:f>MOD(A140-1,12)+1</x:f>
        <x:v>4</x:v>
      </x:c>
      <x:c r="D140" s="40" t="n">
        <x:f>O139</x:f>
        <x:v>267788.29542214784</x:v>
      </x:c>
      <x:c r="E140" s="40" t="n">
        <x:f>D140*'Inputs &amp; Summary'!$B$15</x:f>
        <x:v>994.9190958861583</x:v>
      </x:c>
      <x:c r="F140" s="40" t="n">
        <x:f>IF(D140&lt;=0.00000001,0,MIN('Inputs &amp; Summary'!$B$18,D140+E140))</x:f>
        <x:v>2324.586407999052</x:v>
      </x:c>
      <x:c r="G140" s="40" t="n">
        <x:f>IF(ABS(MAX(0,D140+E140-F140))&lt;0.00000001,0,MAX(0,D140+E140-F140))</x:f>
        <x:v>266458.628110035</x:v>
      </x:c>
      <x:c r="H140" s="40" t="n">
        <x:f>MAX(0,'Inputs &amp; Summary'!$B$18-F140)</x:f>
        <x:v>0</x:v>
      </x:c>
      <x:c r="I140" s="40" t="n">
        <x:f>S139</x:f>
        <x:v>152211.70457785216</x:v>
      </x:c>
      <x:c r="J140" s="40" t="n">
        <x:f>I140*'Inputs &amp; Summary'!$B$16</x:f>
        <x:v>824.4800664633659</x:v>
      </x:c>
      <x:c r="K140" s="40" t="n">
        <x:f>IF(C140=1,J140,K139+J140)</x:f>
        <x:v>3254.9721855121097</x:v>
      </x:c>
      <x:c r="L140" s="40" t="n">
        <x:f>IF(C140=12,K140*'Inputs &amp; Summary'!$B$11*'Inputs &amp; Summary'!$B$12,0)</x:f>
        <x:v>0</x:v>
      </x:c>
      <x:c r="M140" s="40" t="n">
        <x:f>MIN(L140,G140)</x:f>
        <x:v>0</x:v>
      </x:c>
      <x:c r="N140" s="40" t="n">
        <x:f>MAX(0,L140-M140)</x:f>
        <x:v>0</x:v>
      </x:c>
      <x:c r="O140" s="40" t="n">
        <x:f>IF(ABS(MAX(0,G140-M140))&lt;0.00000001,0,MAX(0,G140-M140))</x:f>
        <x:v>266458.628110035</x:v>
      </x:c>
      <x:c r="P140" s="40" t="n">
        <x:f>MAX(0,D140-O140)</x:f>
        <x:v>1329.6673121128697</x:v>
      </x:c>
      <x:c r="Q140" s="40" t="n">
        <x:f>MAX(0,'Inputs &amp; Summary'!$B$19*'Inputs &amp; Summary'!$B$4-O140-I140)</x:f>
        <x:v>36329.66731211287</x:v>
      </x:c>
      <x:c r="R140" s="40" t="n">
        <x:f>MIN(P140,Q140)</x:f>
        <x:v>1329.6673121128697</x:v>
      </x:c>
      <x:c r="S140" s="40" t="n">
        <x:f>I140+R140</x:f>
        <x:v>153541.37188996503</x:v>
      </x:c>
      <x:c r="T140" s="40" t="n">
        <x:f>U139</x:f>
        <x:v>205763.12794666635</x:v>
      </x:c>
      <x:c r="U140" s="40" t="n">
        <x:f>T140*(1+'Inputs &amp; Summary'!$B$17)+R140+N140+H140</x:f>
        <x:v>208094.35768854278</x:v>
      </x:c>
      <x:c r="V140" s="40" t="n">
        <x:f>Y139</x:f>
        <x:v>286356.9291086696</x:v>
      </x:c>
      <x:c r="W140" s="40" t="n">
        <x:f>V140*'Inputs &amp; Summary'!$B$15</x:f>
        <x:v>1063.9075040991167</x:v>
      </x:c>
      <x:c r="X140" s="40" t="n">
        <x:f>IF(V140&lt;=0.00000001,0,MIN('Inputs &amp; Summary'!$B$18,V140+W140))</x:f>
        <x:v>2324.586407999052</x:v>
      </x:c>
      <x:c r="Y140" s="40" t="n">
        <x:f>IF(ABS(MAX(0,V140+W140-X140))&lt;0.00000001,0,MAX(0,V140+W140-X140))</x:f>
        <x:v>285096.25020476966</x:v>
      </x:c>
      <x:c r="Z140" s="40" t="n">
        <x:f>MAX(0,'Inputs &amp; Summary'!$B$18-X140)</x:f>
        <x:v>0</x:v>
      </x:c>
      <x:c r="AA140" s="40" t="n">
        <x:f>AC139</x:f>
        <x:v>59592.64439484383</x:v>
      </x:c>
      <x:c r="AB140" s="40" t="n">
        <x:f>J140</x:f>
        <x:v>824.4800664633659</x:v>
      </x:c>
      <x:c r="AC140" s="40" t="n">
        <x:f>AA140*(1+'Inputs &amp; Summary'!$B$17)+Z140+AB140</x:f>
        <x:v>60707.19467122161</x:v>
      </x:c>
      <x:c r="AD140" s="40" t="n">
        <x:f>F140+H140+J140</x:f>
        <x:v>3149.066474462418</x:v>
      </x:c>
      <x:c r="AE140" s="40" t="n">
        <x:f>X140+Z140+AB140</x:f>
        <x:v>3149.066474462418</x:v>
      </x:c>
      <x:c r="AF140" s="40" t="n">
        <x:f>AD140-AE140</x:f>
        <x:v>0</x:v>
      </x:c>
      <x:c r="AG140" s="42" t="n">
        <x:f>(O140+S140)/'Inputs &amp; Summary'!$B$4</x:f>
        <x:v>0.6</x:v>
      </x:c>
      <x:c r="AH140" s="40" t="n">
        <x:f>U140-O140-S140</x:f>
        <x:v>-211905.64231145722</x:v>
      </x:c>
      <x:c r="AI140" s="40" t="n">
        <x:f>AC140-Y140</x:f>
        <x:v>-224389.05553354806</x:v>
      </x:c>
      <x:c r="AJ140" s="40" t="n">
        <x:f>AH140-AI140</x:f>
        <x:v>12483.413222090836</x:v>
      </x:c>
    </x:row>
    <x:row r="141">
      <x:c r="A141" t="n">
        <x:f>A140+1</x:f>
        <x:v>137</x:v>
      </x:c>
      <x:c r="B141" t="n">
        <x:f>INT((A141-1)/12)+1</x:f>
        <x:v>12</x:v>
      </x:c>
      <x:c r="C141" t="n">
        <x:f>MOD(A141-1,12)+1</x:f>
        <x:v>5</x:v>
      </x:c>
      <x:c r="D141" s="40" t="n">
        <x:f>O140</x:f>
        <x:v>266458.628110035</x:v>
      </x:c>
      <x:c r="E141" s="40" t="n">
        <x:f>D141*'Inputs &amp; Summary'!$B$15</x:f>
        <x:v>989.978956893484</x:v>
      </x:c>
      <x:c r="F141" s="40" t="n">
        <x:f>IF(D141&lt;=0.00000001,0,MIN('Inputs &amp; Summary'!$B$18,D141+E141))</x:f>
        <x:v>2324.586407999052</x:v>
      </x:c>
      <x:c r="G141" s="40" t="n">
        <x:f>IF(ABS(MAX(0,D141+E141-F141))&lt;0.00000001,0,MAX(0,D141+E141-F141))</x:f>
        <x:v>265124.0206589294</x:v>
      </x:c>
      <x:c r="H141" s="40" t="n">
        <x:f>MAX(0,'Inputs &amp; Summary'!$B$18-F141)</x:f>
        <x:v>0</x:v>
      </x:c>
      <x:c r="I141" s="40" t="n">
        <x:f>S140</x:f>
        <x:v>153541.37188996503</x:v>
      </x:c>
      <x:c r="J141" s="40" t="n">
        <x:f>I141*'Inputs &amp; Summary'!$B$16</x:f>
        <x:v>831.6824310706439</x:v>
      </x:c>
      <x:c r="K141" s="40" t="n">
        <x:f>IF(C141=1,J141,K140+J141)</x:f>
        <x:v>4086.6546165827535</x:v>
      </x:c>
      <x:c r="L141" s="40" t="n">
        <x:f>IF(C141=12,K141*'Inputs &amp; Summary'!$B$11*'Inputs &amp; Summary'!$B$12,0)</x:f>
        <x:v>0</x:v>
      </x:c>
      <x:c r="M141" s="40" t="n">
        <x:f>MIN(L141,G141)</x:f>
        <x:v>0</x:v>
      </x:c>
      <x:c r="N141" s="40" t="n">
        <x:f>MAX(0,L141-M141)</x:f>
        <x:v>0</x:v>
      </x:c>
      <x:c r="O141" s="40" t="n">
        <x:f>IF(ABS(MAX(0,G141-M141))&lt;0.00000001,0,MAX(0,G141-M141))</x:f>
        <x:v>265124.0206589294</x:v>
      </x:c>
      <x:c r="P141" s="40" t="n">
        <x:f>MAX(0,D141-O141)</x:f>
        <x:v>1334.6074511055485</x:v>
      </x:c>
      <x:c r="Q141" s="40" t="n">
        <x:f>MAX(0,'Inputs &amp; Summary'!$B$19*'Inputs &amp; Summary'!$B$4-O141-I141)</x:f>
        <x:v>36334.60745110555</x:v>
      </x:c>
      <x:c r="R141" s="40" t="n">
        <x:f>MIN(P141,Q141)</x:f>
        <x:v>1334.6074511055485</x:v>
      </x:c>
      <x:c r="S141" s="40" t="n">
        <x:f>I141+R141</x:f>
        <x:v>154875.97934107058</x:v>
      </x:c>
      <x:c r="T141" s="40" t="n">
        <x:f>U140</x:f>
        <x:v>208094.35768854278</x:v>
      </x:c>
      <x:c r="U141" s="40" t="n">
        <x:f>T141*(1+'Inputs &amp; Summary'!$B$17)+R141+N141+H141</x:f>
        <x:v>210441.87494805988</x:v>
      </x:c>
      <x:c r="V141" s="40" t="n">
        <x:f>Y140</x:f>
        <x:v>285096.25020476966</x:v>
      </x:c>
      <x:c r="W141" s="40" t="n">
        <x:f>V141*'Inputs &amp; Summary'!$B$15</x:f>
        <x:v>1059.223679089911</x:v>
      </x:c>
      <x:c r="X141" s="40" t="n">
        <x:f>IF(V141&lt;=0.00000001,0,MIN('Inputs &amp; Summary'!$B$18,V141+W141))</x:f>
        <x:v>2324.586407999052</x:v>
      </x:c>
      <x:c r="Y141" s="40" t="n">
        <x:f>IF(ABS(MAX(0,V141+W141-X141))&lt;0.00000001,0,MAX(0,V141+W141-X141))</x:f>
        <x:v>283830.88747586054</x:v>
      </x:c>
      <x:c r="Z141" s="40" t="n">
        <x:f>MAX(0,'Inputs &amp; Summary'!$B$18-X141)</x:f>
        <x:v>0</x:v>
      </x:c>
      <x:c r="AA141" s="40" t="n">
        <x:f>AC140</x:f>
        <x:v>60707.19467122161</x:v>
      </x:c>
      <x:c r="AB141" s="40" t="n">
        <x:f>J141</x:f>
        <x:v>831.6824310706439</x:v>
      </x:c>
      <x:c r="AC141" s="40" t="n">
        <x:f>AA141*(1+'Inputs &amp; Summary'!$B$17)+Z141+AB141</x:f>
        <x:v>61834.372442034546</x:v>
      </x:c>
      <x:c r="AD141" s="40" t="n">
        <x:f>F141+H141+J141</x:f>
        <x:v>3156.268839069696</x:v>
      </x:c>
      <x:c r="AE141" s="40" t="n">
        <x:f>X141+Z141+AB141</x:f>
        <x:v>3156.268839069696</x:v>
      </x:c>
      <x:c r="AF141" s="40" t="n">
        <x:f>AD141-AE141</x:f>
        <x:v>0</x:v>
      </x:c>
      <x:c r="AG141" s="42" t="n">
        <x:f>(O141+S141)/'Inputs &amp; Summary'!$B$4</x:f>
        <x:v>0.6</x:v>
      </x:c>
      <x:c r="AH141" s="40" t="n">
        <x:f>U141-O141-S141</x:f>
        <x:v>-209558.12505194012</x:v>
      </x:c>
      <x:c r="AI141" s="40" t="n">
        <x:f>AC141-Y141</x:f>
        <x:v>-221996.515033826</x:v>
      </x:c>
      <x:c r="AJ141" s="40" t="n">
        <x:f>AH141-AI141</x:f>
        <x:v>12438.389981885877</x:v>
      </x:c>
    </x:row>
    <x:row r="142">
      <x:c r="A142" t="n">
        <x:f>A141+1</x:f>
        <x:v>138</x:v>
      </x:c>
      <x:c r="B142" t="n">
        <x:f>INT((A142-1)/12)+1</x:f>
        <x:v>12</x:v>
      </x:c>
      <x:c r="C142" t="n">
        <x:f>MOD(A142-1,12)+1</x:f>
        <x:v>6</x:v>
      </x:c>
      <x:c r="D142" s="40" t="n">
        <x:f>O141</x:f>
        <x:v>265124.0206589294</x:v>
      </x:c>
      <x:c r="E142" s="40" t="n">
        <x:f>D142*'Inputs &amp; Summary'!$B$15</x:f>
        <x:v>985.020463705708</x:v>
      </x:c>
      <x:c r="F142" s="40" t="n">
        <x:f>IF(D142&lt;=0.00000001,0,MIN('Inputs &amp; Summary'!$B$18,D142+E142))</x:f>
        <x:v>2324.586407999052</x:v>
      </x:c>
      <x:c r="G142" s="40" t="n">
        <x:f>IF(ABS(MAX(0,D142+E142-F142))&lt;0.00000001,0,MAX(0,D142+E142-F142))</x:f>
        <x:v>263784.4547146361</x:v>
      </x:c>
      <x:c r="H142" s="40" t="n">
        <x:f>MAX(0,'Inputs &amp; Summary'!$B$18-F142)</x:f>
        <x:v>0</x:v>
      </x:c>
      <x:c r="I142" s="40" t="n">
        <x:f>S141</x:f>
        <x:v>154875.97934107058</x:v>
      </x:c>
      <x:c r="J142" s="40" t="n">
        <x:f>I142*'Inputs &amp; Summary'!$B$16</x:f>
        <x:v>838.9115547641323</x:v>
      </x:c>
      <x:c r="K142" s="40" t="n">
        <x:f>IF(C142=1,J142,K141+J142)</x:f>
        <x:v>4925.566171346886</x:v>
      </x:c>
      <x:c r="L142" s="40" t="n">
        <x:f>IF(C142=12,K142*'Inputs &amp; Summary'!$B$11*'Inputs &amp; Summary'!$B$12,0)</x:f>
        <x:v>0</x:v>
      </x:c>
      <x:c r="M142" s="40" t="n">
        <x:f>MIN(L142,G142)</x:f>
        <x:v>0</x:v>
      </x:c>
      <x:c r="N142" s="40" t="n">
        <x:f>MAX(0,L142-M142)</x:f>
        <x:v>0</x:v>
      </x:c>
      <x:c r="O142" s="40" t="n">
        <x:f>IF(ABS(MAX(0,G142-M142))&lt;0.00000001,0,MAX(0,G142-M142))</x:f>
        <x:v>263784.4547146361</x:v>
      </x:c>
      <x:c r="P142" s="40" t="n">
        <x:f>MAX(0,D142-O142)</x:f>
        <x:v>1339.5659442933393</x:v>
      </x:c>
      <x:c r="Q142" s="40" t="n">
        <x:f>MAX(0,'Inputs &amp; Summary'!$B$19*'Inputs &amp; Summary'!$B$4-O142-I142)</x:f>
        <x:v>36339.56594429334</x:v>
      </x:c>
      <x:c r="R142" s="40" t="n">
        <x:f>MIN(P142,Q142)</x:f>
        <x:v>1339.5659442933393</x:v>
      </x:c>
      <x:c r="S142" s="40" t="n">
        <x:f>I142+R142</x:f>
        <x:v>156215.5452853639</x:v>
      </x:c>
      <x:c r="T142" s="40" t="n">
        <x:f>U141</x:f>
        <x:v>210441.87494805988</x:v>
      </x:c>
      <x:c r="U142" s="40" t="n">
        <x:f>T142*(1+'Inputs &amp; Summary'!$B$17)+R142+N142+H142</x:f>
        <x:v>212805.7773597285</x:v>
      </x:c>
      <x:c r="V142" s="40" t="n">
        <x:f>Y141</x:f>
        <x:v>283830.88747586054</x:v>
      </x:c>
      <x:c r="W142" s="40" t="n">
        <x:f>V142*'Inputs &amp; Summary'!$B$15</x:f>
        <x:v>1054.5224521739635</x:v>
      </x:c>
      <x:c r="X142" s="40" t="n">
        <x:f>IF(V142&lt;=0.00000001,0,MIN('Inputs &amp; Summary'!$B$18,V142+W142))</x:f>
        <x:v>2324.586407999052</x:v>
      </x:c>
      <x:c r="Y142" s="40" t="n">
        <x:f>IF(ABS(MAX(0,V142+W142-X142))&lt;0.00000001,0,MAX(0,V142+W142-X142))</x:f>
        <x:v>282560.8235200355</x:v>
      </x:c>
      <x:c r="Z142" s="40" t="n">
        <x:f>MAX(0,'Inputs &amp; Summary'!$B$18-X142)</x:f>
        <x:v>0</x:v>
      </x:c>
      <x:c r="AA142" s="40" t="n">
        <x:f>AC141</x:f>
        <x:v>61834.372442034546</x:v>
      </x:c>
      <x:c r="AB142" s="40" t="n">
        <x:f>J142</x:f>
        <x:v>838.9115547641323</x:v>
      </x:c>
      <x:c r="AC142" s="40" t="n">
        <x:f>AA142*(1+'Inputs &amp; Summary'!$B$17)+Z142+AB142</x:f>
        <x:v>62974.26593133654</x:v>
      </x:c>
      <x:c r="AD142" s="40" t="n">
        <x:f>F142+H142+J142</x:f>
        <x:v>3163.497962763184</x:v>
      </x:c>
      <x:c r="AE142" s="40" t="n">
        <x:f>X142+Z142+AB142</x:f>
        <x:v>3163.497962763184</x:v>
      </x:c>
      <x:c r="AF142" s="40" t="n">
        <x:f>AD142-AE142</x:f>
        <x:v>0</x:v>
      </x:c>
      <x:c r="AG142" s="42" t="n">
        <x:f>(O142+S142)/'Inputs &amp; Summary'!$B$4</x:f>
        <x:v>0.6</x:v>
      </x:c>
      <x:c r="AH142" s="40" t="n">
        <x:f>U142-O142-S142</x:f>
        <x:v>-207194.2226402715</x:v>
      </x:c>
      <x:c r="AI142" s="40" t="n">
        <x:f>AC142-Y142</x:f>
        <x:v>-219586.55758869895</x:v>
      </x:c>
      <x:c r="AJ142" s="40" t="n">
        <x:f>AH142-AI142</x:f>
        <x:v>12392.334948427451</x:v>
      </x:c>
    </x:row>
    <x:row r="143">
      <x:c r="A143" t="n">
        <x:f>A142+1</x:f>
        <x:v>139</x:v>
      </x:c>
      <x:c r="B143" t="n">
        <x:f>INT((A143-1)/12)+1</x:f>
        <x:v>12</x:v>
      </x:c>
      <x:c r="C143" t="n">
        <x:f>MOD(A143-1,12)+1</x:f>
        <x:v>7</x:v>
      </x:c>
      <x:c r="D143" s="40" t="n">
        <x:f>O142</x:f>
        <x:v>263784.4547146361</x:v>
      </x:c>
      <x:c r="E143" s="40" t="n">
        <x:f>D143*'Inputs &amp; Summary'!$B$15</x:f>
        <x:v>980.0435481311299</x:v>
      </x:c>
      <x:c r="F143" s="40" t="n">
        <x:f>IF(D143&lt;=0.00000001,0,MIN('Inputs &amp; Summary'!$B$18,D143+E143))</x:f>
        <x:v>2324.586407999052</x:v>
      </x:c>
      <x:c r="G143" s="40" t="n">
        <x:f>IF(ABS(MAX(0,D143+E143-F143))&lt;0.00000001,0,MAX(0,D143+E143-F143))</x:f>
        <x:v>262439.9118547682</x:v>
      </x:c>
      <x:c r="H143" s="40" t="n">
        <x:f>MAX(0,'Inputs &amp; Summary'!$B$18-F143)</x:f>
        <x:v>0</x:v>
      </x:c>
      <x:c r="I143" s="40" t="n">
        <x:f>S142</x:f>
        <x:v>156215.5452853639</x:v>
      </x:c>
      <x:c r="J143" s="40" t="n">
        <x:f>I143*'Inputs &amp; Summary'!$B$16</x:f>
        <x:v>846.1675369623879</x:v>
      </x:c>
      <x:c r="K143" s="40" t="n">
        <x:f>IF(C143=1,J143,K142+J143)</x:f>
        <x:v>5771.733708309274</x:v>
      </x:c>
      <x:c r="L143" s="40" t="n">
        <x:f>IF(C143=12,K143*'Inputs &amp; Summary'!$B$11*'Inputs &amp; Summary'!$B$12,0)</x:f>
        <x:v>0</x:v>
      </x:c>
      <x:c r="M143" s="40" t="n">
        <x:f>MIN(L143,G143)</x:f>
        <x:v>0</x:v>
      </x:c>
      <x:c r="N143" s="40" t="n">
        <x:f>MAX(0,L143-M143)</x:f>
        <x:v>0</x:v>
      </x:c>
      <x:c r="O143" s="40" t="n">
        <x:f>IF(ABS(MAX(0,G143-M143))&lt;0.00000001,0,MAX(0,G143-M143))</x:f>
        <x:v>262439.9118547682</x:v>
      </x:c>
      <x:c r="P143" s="40" t="n">
        <x:f>MAX(0,D143-O143)</x:f>
        <x:v>1344.5428598679136</x:v>
      </x:c>
      <x:c r="Q143" s="40" t="n">
        <x:f>MAX(0,'Inputs &amp; Summary'!$B$19*'Inputs &amp; Summary'!$B$4-O143-I143)</x:f>
        <x:v>36344.542859867914</x:v>
      </x:c>
      <x:c r="R143" s="40" t="n">
        <x:f>MIN(P143,Q143)</x:f>
        <x:v>1344.5428598679136</x:v>
      </x:c>
      <x:c r="S143" s="40" t="n">
        <x:f>I143+R143</x:f>
        <x:v>157560.08814523183</x:v>
      </x:c>
      <x:c r="T143" s="40" t="n">
        <x:f>U142</x:f>
        <x:v>212805.7773597285</x:v>
      </x:c>
      <x:c r="U143" s="40" t="n">
        <x:f>T143*(1+'Inputs &amp; Summary'!$B$17)+R143+N143+H143</x:f>
        <x:v>215186.163101492</x:v>
      </x:c>
      <x:c r="V143" s="40" t="n">
        <x:f>Y142</x:f>
        <x:v>282560.8235200355</x:v>
      </x:c>
      <x:c r="W143" s="40" t="n">
        <x:f>V143*'Inputs &amp; Summary'!$B$15</x:f>
        <x:v>1049.8037586976295</x:v>
      </x:c>
      <x:c r="X143" s="40" t="n">
        <x:f>IF(V143&lt;=0.00000001,0,MIN('Inputs &amp; Summary'!$B$18,V143+W143))</x:f>
        <x:v>2324.586407999052</x:v>
      </x:c>
      <x:c r="Y143" s="40" t="n">
        <x:f>IF(ABS(MAX(0,V143+W143-X143))&lt;0.00000001,0,MAX(0,V143+W143-X143))</x:f>
        <x:v>281286.0408707341</x:v>
      </x:c>
      <x:c r="Z143" s="40" t="n">
        <x:f>MAX(0,'Inputs &amp; Summary'!$B$18-X143)</x:f>
        <x:v>0</x:v>
      </x:c>
      <x:c r="AA143" s="40" t="n">
        <x:f>AC142</x:f>
        <x:v>62974.26593133654</x:v>
      </x:c>
      <x:c r="AB143" s="40" t="n">
        <x:f>J143</x:f>
        <x:v>846.1675369623879</x:v>
      </x:c>
      <x:c r="AC143" s="40" t="n">
        <x:f>AA143*(1+'Inputs &amp; Summary'!$B$17)+Z143+AB143</x:f>
        <x:v>64126.96389203506</x:v>
      </x:c>
      <x:c r="AD143" s="40" t="n">
        <x:f>F143+H143+J143</x:f>
        <x:v>3170.7539449614396</x:v>
      </x:c>
      <x:c r="AE143" s="40" t="n">
        <x:f>X143+Z143+AB143</x:f>
        <x:v>3170.7539449614396</x:v>
      </x:c>
      <x:c r="AF143" s="40" t="n">
        <x:f>AD143-AE143</x:f>
        <x:v>0</x:v>
      </x:c>
      <x:c r="AG143" s="42" t="n">
        <x:f>(O143+S143)/'Inputs &amp; Summary'!$B$4</x:f>
        <x:v>0.6</x:v>
      </x:c>
      <x:c r="AH143" s="40" t="n">
        <x:f>U143-O143-S143</x:f>
        <x:v>-204813.836898508</x:v>
      </x:c>
      <x:c r="AI143" s="40" t="n">
        <x:f>AC143-Y143</x:f>
        <x:v>-217159.076978699</x:v>
      </x:c>
      <x:c r="AJ143" s="40" t="n">
        <x:f>AH143-AI143</x:f>
        <x:v>12345.240080191026</x:v>
      </x:c>
    </x:row>
    <x:row r="144">
      <x:c r="A144" t="n">
        <x:f>A143+1</x:f>
        <x:v>140</x:v>
      </x:c>
      <x:c r="B144" t="n">
        <x:f>INT((A144-1)/12)+1</x:f>
        <x:v>12</x:v>
      </x:c>
      <x:c r="C144" t="n">
        <x:f>MOD(A144-1,12)+1</x:f>
        <x:v>8</x:v>
      </x:c>
      <x:c r="D144" s="40" t="n">
        <x:f>O143</x:f>
        <x:v>262439.9118547682</x:v>
      </x:c>
      <x:c r="E144" s="40" t="n">
        <x:f>D144*'Inputs &amp; Summary'!$B$15</x:f>
        <x:v>975.0481417246954</x:v>
      </x:c>
      <x:c r="F144" s="40" t="n">
        <x:f>IF(D144&lt;=0.00000001,0,MIN('Inputs &amp; Summary'!$B$18,D144+E144))</x:f>
        <x:v>2324.586407999052</x:v>
      </x:c>
      <x:c r="G144" s="40" t="n">
        <x:f>IF(ABS(MAX(0,D144+E144-F144))&lt;0.00000001,0,MAX(0,D144+E144-F144))</x:f>
        <x:v>261090.37358849385</x:v>
      </x:c>
      <x:c r="H144" s="40" t="n">
        <x:f>MAX(0,'Inputs &amp; Summary'!$B$18-F144)</x:f>
        <x:v>0</x:v>
      </x:c>
      <x:c r="I144" s="40" t="n">
        <x:f>S143</x:f>
        <x:v>157560.08814523183</x:v>
      </x:c>
      <x:c r="J144" s="40" t="n">
        <x:f>I144*'Inputs &amp; Summary'!$B$16</x:f>
        <x:v>853.4504774533391</x:v>
      </x:c>
      <x:c r="K144" s="40" t="n">
        <x:f>IF(C144=1,J144,K143+J144)</x:f>
        <x:v>6625.184185762613</x:v>
      </x:c>
      <x:c r="L144" s="40" t="n">
        <x:f>IF(C144=12,K144*'Inputs &amp; Summary'!$B$11*'Inputs &amp; Summary'!$B$12,0)</x:f>
        <x:v>0</x:v>
      </x:c>
      <x:c r="M144" s="40" t="n">
        <x:f>MIN(L144,G144)</x:f>
        <x:v>0</x:v>
      </x:c>
      <x:c r="N144" s="40" t="n">
        <x:f>MAX(0,L144-M144)</x:f>
        <x:v>0</x:v>
      </x:c>
      <x:c r="O144" s="40" t="n">
        <x:f>IF(ABS(MAX(0,G144-M144))&lt;0.00000001,0,MAX(0,G144-M144))</x:f>
        <x:v>261090.37358849385</x:v>
      </x:c>
      <x:c r="P144" s="40" t="n">
        <x:f>MAX(0,D144-O144)</x:f>
        <x:v>1349.5382662743214</x:v>
      </x:c>
      <x:c r="Q144" s="40" t="n">
        <x:f>MAX(0,'Inputs &amp; Summary'!$B$19*'Inputs &amp; Summary'!$B$4-O144-I144)</x:f>
        <x:v>36349.53826627432</x:v>
      </x:c>
      <x:c r="R144" s="40" t="n">
        <x:f>MIN(P144,Q144)</x:f>
        <x:v>1349.5382662743214</x:v>
      </x:c>
      <x:c r="S144" s="40" t="n">
        <x:f>I144+R144</x:f>
        <x:v>158909.62641150615</x:v>
      </x:c>
      <x:c r="T144" s="40" t="n">
        <x:f>U143</x:f>
        <x:v>215186.163101492</x:v>
      </x:c>
      <x:c r="U144" s="40" t="n">
        <x:f>T144*(1+'Inputs &amp; Summary'!$B$17)+R144+N144+H144</x:f>
        <x:v>217583.130897625</x:v>
      </x:c>
      <x:c r="V144" s="40" t="n">
        <x:f>Y143</x:f>
        <x:v>281286.0408707341</x:v>
      </x:c>
      <x:c r="W144" s="40" t="n">
        <x:f>V144*'Inputs &amp; Summary'!$B$15</x:f>
        <x:v>1045.0675337670555</x:v>
      </x:c>
      <x:c r="X144" s="40" t="n">
        <x:f>IF(V144&lt;=0.00000001,0,MIN('Inputs &amp; Summary'!$B$18,V144+W144))</x:f>
        <x:v>2324.586407999052</x:v>
      </x:c>
      <x:c r="Y144" s="40" t="n">
        <x:f>IF(ABS(MAX(0,V144+W144-X144))&lt;0.00000001,0,MAX(0,V144+W144-X144))</x:f>
        <x:v>280006.5219965021</x:v>
      </x:c>
      <x:c r="Z144" s="40" t="n">
        <x:f>MAX(0,'Inputs &amp; Summary'!$B$18-X144)</x:f>
        <x:v>0</x:v>
      </x:c>
      <x:c r="AA144" s="40" t="n">
        <x:f>AC143</x:f>
        <x:v>64126.96389203506</x:v>
      </x:c>
      <x:c r="AB144" s="40" t="n">
        <x:f>J144</x:f>
        <x:v>853.4504774533391</x:v>
      </x:c>
      <x:c r="AC144" s="40" t="n">
        <x:f>AA144*(1+'Inputs &amp; Summary'!$B$17)+Z144+AB144</x:f>
        <x:v>65292.55560883481</x:v>
      </x:c>
      <x:c r="AD144" s="40" t="n">
        <x:f>F144+H144+J144</x:f>
        <x:v>3178.0368854523913</x:v>
      </x:c>
      <x:c r="AE144" s="40" t="n">
        <x:f>X144+Z144+AB144</x:f>
        <x:v>3178.0368854523913</x:v>
      </x:c>
      <x:c r="AF144" s="40" t="n">
        <x:f>AD144-AE144</x:f>
        <x:v>0</x:v>
      </x:c>
      <x:c r="AG144" s="42" t="n">
        <x:f>(O144+S144)/'Inputs &amp; Summary'!$B$4</x:f>
        <x:v>0.6</x:v>
      </x:c>
      <x:c r="AH144" s="40" t="n">
        <x:f>U144-O144-S144</x:f>
        <x:v>-202416.869102375</x:v>
      </x:c>
      <x:c r="AI144" s="40" t="n">
        <x:f>AC144-Y144</x:f>
        <x:v>-214713.96638766731</x:v>
      </x:c>
      <x:c r="AJ144" s="40" t="n">
        <x:f>AH144-AI144</x:f>
        <x:v>12297.097285292315</x:v>
      </x:c>
    </x:row>
    <x:row r="145">
      <x:c r="A145" t="n">
        <x:f>A144+1</x:f>
        <x:v>141</x:v>
      </x:c>
      <x:c r="B145" t="n">
        <x:f>INT((A145-1)/12)+1</x:f>
        <x:v>12</x:v>
      </x:c>
      <x:c r="C145" t="n">
        <x:f>MOD(A145-1,12)+1</x:f>
        <x:v>9</x:v>
      </x:c>
      <x:c r="D145" s="40" t="n">
        <x:f>O144</x:f>
        <x:v>261090.37358849385</x:v>
      </x:c>
      <x:c r="E145" s="40" t="n">
        <x:f>D145*'Inputs &amp; Summary'!$B$15</x:f>
        <x:v>970.0341757870551</x:v>
      </x:c>
      <x:c r="F145" s="40" t="n">
        <x:f>IF(D145&lt;=0.00000001,0,MIN('Inputs &amp; Summary'!$B$18,D145+E145))</x:f>
        <x:v>2324.586407999052</x:v>
      </x:c>
      <x:c r="G145" s="40" t="n">
        <x:f>IF(ABS(MAX(0,D145+E145-F145))&lt;0.00000001,0,MAX(0,D145+E145-F145))</x:f>
        <x:v>259735.82135628187</x:v>
      </x:c>
      <x:c r="H145" s="40" t="n">
        <x:f>MAX(0,'Inputs &amp; Summary'!$B$18-F145)</x:f>
        <x:v>0</x:v>
      </x:c>
      <x:c r="I145" s="40" t="n">
        <x:f>S144</x:f>
        <x:v>158909.62641150615</x:v>
      </x:c>
      <x:c r="J145" s="40" t="n">
        <x:f>I145*'Inputs &amp; Summary'!$B$16</x:f>
        <x:v>860.7604763956583</x:v>
      </x:c>
      <x:c r="K145" s="40" t="n">
        <x:f>IF(C145=1,J145,K144+J145)</x:f>
        <x:v>7485.944662158272</x:v>
      </x:c>
      <x:c r="L145" s="40" t="n">
        <x:f>IF(C145=12,K145*'Inputs &amp; Summary'!$B$11*'Inputs &amp; Summary'!$B$12,0)</x:f>
        <x:v>0</x:v>
      </x:c>
      <x:c r="M145" s="40" t="n">
        <x:f>MIN(L145,G145)</x:f>
        <x:v>0</x:v>
      </x:c>
      <x:c r="N145" s="40" t="n">
        <x:f>MAX(0,L145-M145)</x:f>
        <x:v>0</x:v>
      </x:c>
      <x:c r="O145" s="40" t="n">
        <x:f>IF(ABS(MAX(0,G145-M145))&lt;0.00000001,0,MAX(0,G145-M145))</x:f>
        <x:v>259735.82135628187</x:v>
      </x:c>
      <x:c r="P145" s="40" t="n">
        <x:f>MAX(0,D145-O145)</x:f>
        <x:v>1354.5522322119796</x:v>
      </x:c>
      <x:c r="Q145" s="40" t="n">
        <x:f>MAX(0,'Inputs &amp; Summary'!$B$19*'Inputs &amp; Summary'!$B$4-O145-I145)</x:f>
        <x:v>36354.55223221198</x:v>
      </x:c>
      <x:c r="R145" s="40" t="n">
        <x:f>MIN(P145,Q145)</x:f>
        <x:v>1354.5522322119796</x:v>
      </x:c>
      <x:c r="S145" s="40" t="n">
        <x:f>I145+R145</x:f>
        <x:v>160264.17864371813</x:v>
      </x:c>
      <x:c r="T145" s="40" t="n">
        <x:f>U144</x:f>
        <x:v>217583.130897625</x:v>
      </x:c>
      <x:c r="U145" s="40" t="n">
        <x:f>T145*(1+'Inputs &amp; Summary'!$B$17)+R145+N145+H145</x:f>
        <x:v>219996.78002164682</x:v>
      </x:c>
      <x:c r="V145" s="40" t="n">
        <x:f>Y144</x:f>
        <x:v>280006.5219965021</x:v>
      </x:c>
      <x:c r="W145" s="40" t="n">
        <x:f>V145*'Inputs &amp; Summary'!$B$15</x:f>
        <x:v>1040.3137122472863</x:v>
      </x:c>
      <x:c r="X145" s="40" t="n">
        <x:f>IF(V145&lt;=0.00000001,0,MIN('Inputs &amp; Summary'!$B$18,V145+W145))</x:f>
        <x:v>2324.586407999052</x:v>
      </x:c>
      <x:c r="Y145" s="40" t="n">
        <x:f>IF(ABS(MAX(0,V145+W145-X145))&lt;0.00000001,0,MAX(0,V145+W145-X145))</x:f>
        <x:v>278722.2493007504</x:v>
      </x:c>
      <x:c r="Z145" s="40" t="n">
        <x:f>MAX(0,'Inputs &amp; Summary'!$B$18-X145)</x:f>
        <x:v>0</x:v>
      </x:c>
      <x:c r="AA145" s="40" t="n">
        <x:f>AC144</x:f>
        <x:v>65292.55560883481</x:v>
      </x:c>
      <x:c r="AB145" s="40" t="n">
        <x:f>J145</x:f>
        <x:v>860.7604763956583</x:v>
      </x:c>
      <x:c r="AC145" s="40" t="n">
        <x:f>AA145*(1+'Inputs &amp; Summary'!$B$17)+Z145+AB145</x:f>
        <x:v>66471.13090119694</x:v>
      </x:c>
      <x:c r="AD145" s="40" t="n">
        <x:f>F145+H145+J145</x:f>
        <x:v>3185.3468843947103</x:v>
      </x:c>
      <x:c r="AE145" s="40" t="n">
        <x:f>X145+Z145+AB145</x:f>
        <x:v>3185.3468843947103</x:v>
      </x:c>
      <x:c r="AF145" s="40" t="n">
        <x:f>AD145-AE145</x:f>
        <x:v>0</x:v>
      </x:c>
      <x:c r="AG145" s="42" t="n">
        <x:f>(O145+S145)/'Inputs &amp; Summary'!$B$4</x:f>
        <x:v>0.6</x:v>
      </x:c>
      <x:c r="AH145" s="40" t="n">
        <x:f>U145-O145-S145</x:f>
        <x:v>-200003.21997835318</x:v>
      </x:c>
      <x:c r="AI145" s="40" t="n">
        <x:f>AC145-Y145</x:f>
        <x:v>-212251.11839955344</x:v>
      </x:c>
      <x:c r="AJ145" s="40" t="n">
        <x:f>AH145-AI145</x:f>
        <x:v>12247.898421200254</x:v>
      </x:c>
    </x:row>
    <x:row r="146">
      <x:c r="A146" t="n">
        <x:f>A145+1</x:f>
        <x:v>142</x:v>
      </x:c>
      <x:c r="B146" t="n">
        <x:f>INT((A146-1)/12)+1</x:f>
        <x:v>12</x:v>
      </x:c>
      <x:c r="C146" t="n">
        <x:f>MOD(A146-1,12)+1</x:f>
        <x:v>10</x:v>
      </x:c>
      <x:c r="D146" s="40" t="n">
        <x:f>O145</x:f>
        <x:v>259735.82135628187</x:v>
      </x:c>
      <x:c r="E146" s="40" t="n">
        <x:f>D146*'Inputs &amp; Summary'!$B$15</x:f>
        <x:v>965.0015813636192</x:v>
      </x:c>
      <x:c r="F146" s="40" t="n">
        <x:f>IF(D146&lt;=0.00000001,0,MIN('Inputs &amp; Summary'!$B$18,D146+E146))</x:f>
        <x:v>2324.586407999052</x:v>
      </x:c>
      <x:c r="G146" s="40" t="n">
        <x:f>IF(ABS(MAX(0,D146+E146-F146))&lt;0.00000001,0,MAX(0,D146+E146-F146))</x:f>
        <x:v>258376.23652964644</x:v>
      </x:c>
      <x:c r="H146" s="40" t="n">
        <x:f>MAX(0,'Inputs &amp; Summary'!$B$18-F146)</x:f>
        <x:v>0</x:v>
      </x:c>
      <x:c r="I146" s="40" t="n">
        <x:f>S145</x:f>
        <x:v>160264.17864371813</x:v>
      </x:c>
      <x:c r="J146" s="40" t="n">
        <x:f>I146*'Inputs &amp; Summary'!$B$16</x:f>
        <x:v>868.09763432014</x:v>
      </x:c>
      <x:c r="K146" s="40" t="n">
        <x:f>IF(C146=1,J146,K145+J146)</x:f>
        <x:v>8354.042296478412</x:v>
      </x:c>
      <x:c r="L146" s="40" t="n">
        <x:f>IF(C146=12,K146*'Inputs &amp; Summary'!$B$11*'Inputs &amp; Summary'!$B$12,0)</x:f>
        <x:v>0</x:v>
      </x:c>
      <x:c r="M146" s="40" t="n">
        <x:f>MIN(L146,G146)</x:f>
        <x:v>0</x:v>
      </x:c>
      <x:c r="N146" s="40" t="n">
        <x:f>MAX(0,L146-M146)</x:f>
        <x:v>0</x:v>
      </x:c>
      <x:c r="O146" s="40" t="n">
        <x:f>IF(ABS(MAX(0,G146-M146))&lt;0.00000001,0,MAX(0,G146-M146))</x:f>
        <x:v>258376.23652964644</x:v>
      </x:c>
      <x:c r="P146" s="40" t="n">
        <x:f>MAX(0,D146-O146)</x:f>
        <x:v>1359.5848266354296</x:v>
      </x:c>
      <x:c r="Q146" s="40" t="n">
        <x:f>MAX(0,'Inputs &amp; Summary'!$B$19*'Inputs &amp; Summary'!$B$4-O146-I146)</x:f>
        <x:v>36359.58482663543</x:v>
      </x:c>
      <x:c r="R146" s="40" t="n">
        <x:f>MIN(P146,Q146)</x:f>
        <x:v>1359.5848266354296</x:v>
      </x:c>
      <x:c r="S146" s="40" t="n">
        <x:f>I146+R146</x:f>
        <x:v>161623.76347035356</x:v>
      </x:c>
      <x:c r="T146" s="40" t="n">
        <x:f>U145</x:f>
        <x:v>219996.78002164682</x:v>
      </x:c>
      <x:c r="U146" s="40" t="n">
        <x:f>T146*(1+'Inputs &amp; Summary'!$B$17)+R146+N146+H146</x:f>
        <x:v>222427.21029925026</x:v>
      </x:c>
      <x:c r="V146" s="40" t="n">
        <x:f>Y145</x:f>
        <x:v>278722.2493007504</x:v>
      </x:c>
      <x:c r="W146" s="40" t="n">
        <x:f>V146*'Inputs &amp; Summary'!$B$15</x:f>
        <x:v>1035.5422287613694</x:v>
      </x:c>
      <x:c r="X146" s="40" t="n">
        <x:f>IF(V146&lt;=0.00000001,0,MIN('Inputs &amp; Summary'!$B$18,V146+W146))</x:f>
        <x:v>2324.586407999052</x:v>
      </x:c>
      <x:c r="Y146" s="40" t="n">
        <x:f>IF(ABS(MAX(0,V146+W146-X146))&lt;0.00000001,0,MAX(0,V146+W146-X146))</x:f>
        <x:v>277433.2051215127</x:v>
      </x:c>
      <x:c r="Z146" s="40" t="n">
        <x:f>MAX(0,'Inputs &amp; Summary'!$B$18-X146)</x:f>
        <x:v>0</x:v>
      </x:c>
      <x:c r="AA146" s="40" t="n">
        <x:f>AC145</x:f>
        <x:v>66471.13090119694</x:v>
      </x:c>
      <x:c r="AB146" s="40" t="n">
        <x:f>J146</x:f>
        <x:v>868.09763432014</x:v>
      </x:c>
      <x:c r="AC146" s="40" t="n">
        <x:f>AA146*(1+'Inputs &amp; Summary'!$B$17)+Z146+AB146</x:f>
        <x:v>67662.78012631419</x:v>
      </x:c>
      <x:c r="AD146" s="40" t="n">
        <x:f>F146+H146+J146</x:f>
        <x:v>3192.684042319192</x:v>
      </x:c>
      <x:c r="AE146" s="40" t="n">
        <x:f>X146+Z146+AB146</x:f>
        <x:v>3192.684042319192</x:v>
      </x:c>
      <x:c r="AF146" s="40" t="n">
        <x:f>AD146-AE146</x:f>
        <x:v>0</x:v>
      </x:c>
      <x:c r="AG146" s="42" t="n">
        <x:f>(O146+S146)/'Inputs &amp; Summary'!$B$4</x:f>
        <x:v>0.6</x:v>
      </x:c>
      <x:c r="AH146" s="40" t="n">
        <x:f>U146-O146-S146</x:f>
        <x:v>-197572.78970074974</x:v>
      </x:c>
      <x:c r="AI146" s="40" t="n">
        <x:f>AC146-Y146</x:f>
        <x:v>-209770.4249951985</x:v>
      </x:c>
      <x:c r="AJ146" s="40" t="n">
        <x:f>AH146-AI146</x:f>
        <x:v>12197.635294448759</x:v>
      </x:c>
    </x:row>
    <x:row r="147">
      <x:c r="A147" t="n">
        <x:f>A146+1</x:f>
        <x:v>143</x:v>
      </x:c>
      <x:c r="B147" t="n">
        <x:f>INT((A147-1)/12)+1</x:f>
        <x:v>12</x:v>
      </x:c>
      <x:c r="C147" t="n">
        <x:f>MOD(A147-1,12)+1</x:f>
        <x:v>11</x:v>
      </x:c>
      <x:c r="D147" s="40" t="n">
        <x:f>O146</x:f>
        <x:v>258376.23652964644</x:v>
      </x:c>
      <x:c r="E147" s="40" t="n">
        <x:f>D147*'Inputs &amp; Summary'!$B$15</x:f>
        <x:v>959.9502892436096</x:v>
      </x:c>
      <x:c r="F147" s="40" t="n">
        <x:f>IF(D147&lt;=0.00000001,0,MIN('Inputs &amp; Summary'!$B$18,D147+E147))</x:f>
        <x:v>2324.586407999052</x:v>
      </x:c>
      <x:c r="G147" s="40" t="n">
        <x:f>IF(ABS(MAX(0,D147+E147-F147))&lt;0.00000001,0,MAX(0,D147+E147-F147))</x:f>
        <x:v>257011.600410891</x:v>
      </x:c>
      <x:c r="H147" s="40" t="n">
        <x:f>MAX(0,'Inputs &amp; Summary'!$B$18-F147)</x:f>
        <x:v>0</x:v>
      </x:c>
      <x:c r="I147" s="40" t="n">
        <x:f>S146</x:f>
        <x:v>161623.76347035356</x:v>
      </x:c>
      <x:c r="J147" s="40" t="n">
        <x:f>I147*'Inputs &amp; Summary'!$B$16</x:f>
        <x:v>875.4620521310818</x:v>
      </x:c>
      <x:c r="K147" s="40" t="n">
        <x:f>IF(C147=1,J147,K146+J147)</x:f>
        <x:v>9229.504348609495</x:v>
      </x:c>
      <x:c r="L147" s="40" t="n">
        <x:f>IF(C147=12,K147*'Inputs &amp; Summary'!$B$11*'Inputs &amp; Summary'!$B$12,0)</x:f>
        <x:v>0</x:v>
      </x:c>
      <x:c r="M147" s="40" t="n">
        <x:f>MIN(L147,G147)</x:f>
        <x:v>0</x:v>
      </x:c>
      <x:c r="N147" s="40" t="n">
        <x:f>MAX(0,L147-M147)</x:f>
        <x:v>0</x:v>
      </x:c>
      <x:c r="O147" s="40" t="n">
        <x:f>IF(ABS(MAX(0,G147-M147))&lt;0.00000001,0,MAX(0,G147-M147))</x:f>
        <x:v>257011.600410891</x:v>
      </x:c>
      <x:c r="P147" s="40" t="n">
        <x:f>MAX(0,D147-O147)</x:f>
        <x:v>1364.636118755443</x:v>
      </x:c>
      <x:c r="Q147" s="40" t="n">
        <x:f>MAX(0,'Inputs &amp; Summary'!$B$19*'Inputs &amp; Summary'!$B$4-O147-I147)</x:f>
        <x:v>36364.63611875544</x:v>
      </x:c>
      <x:c r="R147" s="40" t="n">
        <x:f>MIN(P147,Q147)</x:f>
        <x:v>1364.636118755443</x:v>
      </x:c>
      <x:c r="S147" s="40" t="n">
        <x:f>I147+R147</x:f>
        <x:v>162988.399589109</x:v>
      </x:c>
      <x:c r="T147" s="40" t="n">
        <x:f>U146</x:f>
        <x:v>222427.21029925026</x:v>
      </x:c>
      <x:c r="U147" s="40" t="n">
        <x:f>T147*(1+'Inputs &amp; Summary'!$B$17)+R147+N147+H147</x:f>
        <x:v>224874.5221112455</x:v>
      </x:c>
      <x:c r="V147" s="40" t="n">
        <x:f>Y146</x:f>
        <x:v>277433.2051215127</x:v>
      </x:c>
      <x:c r="W147" s="40" t="n">
        <x:f>V147*'Inputs &amp; Summary'!$B$15</x:f>
        <x:v>1030.7530176894563</x:v>
      </x:c>
      <x:c r="X147" s="40" t="n">
        <x:f>IF(V147&lt;=0.00000001,0,MIN('Inputs &amp; Summary'!$B$18,V147+W147))</x:f>
        <x:v>2324.586407999052</x:v>
      </x:c>
      <x:c r="Y147" s="40" t="n">
        <x:f>IF(ABS(MAX(0,V147+W147-X147))&lt;0.00000001,0,MAX(0,V147+W147-X147))</x:f>
        <x:v>276139.3717312031</x:v>
      </x:c>
      <x:c r="Z147" s="40" t="n">
        <x:f>MAX(0,'Inputs &amp; Summary'!$B$18-X147)</x:f>
        <x:v>0</x:v>
      </x:c>
      <x:c r="AA147" s="40" t="n">
        <x:f>AC146</x:f>
        <x:v>67662.78012631419</x:v>
      </x:c>
      <x:c r="AB147" s="40" t="n">
        <x:f>J147</x:f>
        <x:v>875.4620521310818</x:v>
      </x:c>
      <x:c r="AC147" s="40" t="n">
        <x:f>AA147*(1+'Inputs &amp; Summary'!$B$17)+Z147+AB147</x:f>
        <x:v>68867.59418210179</x:v>
      </x:c>
      <x:c r="AD147" s="40" t="n">
        <x:f>F147+H147+J147</x:f>
        <x:v>3200.0484601301337</x:v>
      </x:c>
      <x:c r="AE147" s="40" t="n">
        <x:f>X147+Z147+AB147</x:f>
        <x:v>3200.0484601301337</x:v>
      </x:c>
      <x:c r="AF147" s="40" t="n">
        <x:f>AD147-AE147</x:f>
        <x:v>0</x:v>
      </x:c>
      <x:c r="AG147" s="42" t="n">
        <x:f>(O147+S147)/'Inputs &amp; Summary'!$B$4</x:f>
        <x:v>0.6</x:v>
      </x:c>
      <x:c r="AH147" s="40" t="n">
        <x:f>U147-O147-S147</x:f>
        <x:v>-195125.4778887545</x:v>
      </x:c>
      <x:c r="AI147" s="40" t="n">
        <x:f>AC147-Y147</x:f>
        <x:v>-207271.77754910133</x:v>
      </x:c>
      <x:c r="AJ147" s="40" t="n">
        <x:f>AH147-AI147</x:f>
        <x:v>12146.29966034682</x:v>
      </x:c>
    </x:row>
    <x:row r="148">
      <x:c r="A148" t="n">
        <x:f>A147+1</x:f>
        <x:v>144</x:v>
      </x:c>
      <x:c r="B148" t="n">
        <x:f>INT((A148-1)/12)+1</x:f>
        <x:v>12</x:v>
      </x:c>
      <x:c r="C148" t="n">
        <x:f>MOD(A148-1,12)+1</x:f>
        <x:v>12</x:v>
      </x:c>
      <x:c r="D148" s="40" t="n">
        <x:f>O147</x:f>
        <x:v>257011.600410891</x:v>
      </x:c>
      <x:c r="E148" s="40" t="n">
        <x:f>D148*'Inputs &amp; Summary'!$B$15</x:f>
        <x:v>954.8802299591086</x:v>
      </x:c>
      <x:c r="F148" s="40" t="n">
        <x:f>IF(D148&lt;=0.00000001,0,MIN('Inputs &amp; Summary'!$B$18,D148+E148))</x:f>
        <x:v>2324.586407999052</x:v>
      </x:c>
      <x:c r="G148" s="40" t="n">
        <x:f>IF(ABS(MAX(0,D148+E148-F148))&lt;0.00000001,0,MAX(0,D148+E148-F148))</x:f>
        <x:v>255641.89423285107</x:v>
      </x:c>
      <x:c r="H148" s="40" t="n">
        <x:f>MAX(0,'Inputs &amp; Summary'!$B$18-F148)</x:f>
        <x:v>0</x:v>
      </x:c>
      <x:c r="I148" s="40" t="n">
        <x:f>S147</x:f>
        <x:v>162988.399589109</x:v>
      </x:c>
      <x:c r="J148" s="40" t="n">
        <x:f>I148*'Inputs &amp; Summary'!$B$16</x:f>
        <x:v>882.8538311076738</x:v>
      </x:c>
      <x:c r="K148" s="40" t="n">
        <x:f>IF(C148=1,J148,K147+J148)</x:f>
        <x:v>10112.358179717168</x:v>
      </x:c>
      <x:c r="L148" s="40" t="n">
        <x:f>IF(C148=12,K148*'Inputs &amp; Summary'!$B$11*'Inputs &amp; Summary'!$B$12,0)</x:f>
        <x:v>3539.3253629010087</x:v>
      </x:c>
      <x:c r="M148" s="40" t="n">
        <x:f>MIN(L148,G148)</x:f>
        <x:v>3539.3253629010087</x:v>
      </x:c>
      <x:c r="N148" s="40" t="n">
        <x:f>MAX(0,L148-M148)</x:f>
        <x:v>0</x:v>
      </x:c>
      <x:c r="O148" s="40" t="n">
        <x:f>IF(ABS(MAX(0,G148-M148))&lt;0.00000001,0,MAX(0,G148-M148))</x:f>
        <x:v>252102.56886995008</x:v>
      </x:c>
      <x:c r="P148" s="40" t="n">
        <x:f>MAX(0,D148-O148)</x:f>
        <x:v>4909.031540940923</x:v>
      </x:c>
      <x:c r="Q148" s="40" t="n">
        <x:f>MAX(0,'Inputs &amp; Summary'!$B$19*'Inputs &amp; Summary'!$B$4-O148-I148)</x:f>
        <x:v>39909.03154094092</x:v>
      </x:c>
      <x:c r="R148" s="40" t="n">
        <x:f>MIN(P148,Q148)</x:f>
        <x:v>4909.031540940923</x:v>
      </x:c>
      <x:c r="S148" s="40" t="n">
        <x:f>I148+R148</x:f>
        <x:v>167897.43113004992</x:v>
      </x:c>
      <x:c r="T148" s="40" t="n">
        <x:f>U147</x:f>
        <x:v>224874.5221112455</x:v>
      </x:c>
      <x:c r="U148" s="40" t="n">
        <x:f>T148*(1+'Inputs &amp; Summary'!$B$17)+R148+N148+H148</x:f>
        <x:v>230878.14175942025</x:v>
      </x:c>
      <x:c r="V148" s="40" t="n">
        <x:f>Y147</x:f>
        <x:v>276139.3717312031</x:v>
      </x:c>
      <x:c r="W148" s="40" t="n">
        <x:f>V148*'Inputs &amp; Summary'!$B$15</x:f>
        <x:v>1025.9460131679</x:v>
      </x:c>
      <x:c r="X148" s="40" t="n">
        <x:f>IF(V148&lt;=0.00000001,0,MIN('Inputs &amp; Summary'!$B$18,V148+W148))</x:f>
        <x:v>2324.586407999052</x:v>
      </x:c>
      <x:c r="Y148" s="40" t="n">
        <x:f>IF(ABS(MAX(0,V148+W148-X148))&lt;0.00000001,0,MAX(0,V148+W148-X148))</x:f>
        <x:v>274840.731336372</x:v>
      </x:c>
      <x:c r="Z148" s="40" t="n">
        <x:f>MAX(0,'Inputs &amp; Summary'!$B$18-X148)</x:f>
        <x:v>0</x:v>
      </x:c>
      <x:c r="AA148" s="40" t="n">
        <x:f>AC147</x:f>
        <x:v>68867.59418210179</x:v>
      </x:c>
      <x:c r="AB148" s="40" t="n">
        <x:f>J148</x:f>
        <x:v>882.8538311076738</x:v>
      </x:c>
      <x:c r="AC148" s="40" t="n">
        <x:f>AA148*(1+'Inputs &amp; Summary'!$B$17)+Z148+AB148</x:f>
        <x:v>70085.66451020437</x:v>
      </x:c>
      <x:c r="AD148" s="40" t="n">
        <x:f>F148+H148+J148</x:f>
        <x:v>3207.440239106726</x:v>
      </x:c>
      <x:c r="AE148" s="40" t="n">
        <x:f>X148+Z148+AB148</x:f>
        <x:v>3207.440239106726</x:v>
      </x:c>
      <x:c r="AF148" s="40" t="n">
        <x:f>AD148-AE148</x:f>
        <x:v>0</x:v>
      </x:c>
      <x:c r="AG148" s="42" t="n">
        <x:f>(O148+S148)/'Inputs &amp; Summary'!$B$4</x:f>
        <x:v>0.6</x:v>
      </x:c>
      <x:c r="AH148" s="40" t="n">
        <x:f>U148-O148-S148</x:f>
        <x:v>-189121.85824057975</x:v>
      </x:c>
      <x:c r="AI148" s="40" t="n">
        <x:f>AC148-Y148</x:f>
        <x:v>-204755.0668261676</x:v>
      </x:c>
      <x:c r="AJ148" s="40" t="n">
        <x:f>AH148-AI148</x:f>
        <x:v>15633.208585587854</x:v>
      </x:c>
    </x:row>
    <x:row r="149">
      <x:c r="A149" t="n">
        <x:f>A148+1</x:f>
        <x:v>145</x:v>
      </x:c>
      <x:c r="B149" t="n">
        <x:f>INT((A149-1)/12)+1</x:f>
        <x:v>13</x:v>
      </x:c>
      <x:c r="C149" t="n">
        <x:f>MOD(A149-1,12)+1</x:f>
        <x:v>1</x:v>
      </x:c>
      <x:c r="D149" s="40" t="n">
        <x:f>O148</x:f>
        <x:v>252102.56886995008</x:v>
      </x:c>
      <x:c r="E149" s="40" t="n">
        <x:f>D149*'Inputs &amp; Summary'!$B$15</x:f>
        <x:v>936.6416089817048</x:v>
      </x:c>
      <x:c r="F149" s="40" t="n">
        <x:f>IF(D149&lt;=0.00000001,0,MIN('Inputs &amp; Summary'!$B$18,D149+E149))</x:f>
        <x:v>2324.586407999052</x:v>
      </x:c>
      <x:c r="G149" s="40" t="n">
        <x:f>IF(ABS(MAX(0,D149+E149-F149))&lt;0.00000001,0,MAX(0,D149+E149-F149))</x:f>
        <x:v>250714.62407093274</x:v>
      </x:c>
      <x:c r="H149" s="40" t="n">
        <x:f>MAX(0,'Inputs &amp; Summary'!$B$18-F149)</x:f>
        <x:v>0</x:v>
      </x:c>
      <x:c r="I149" s="40" t="n">
        <x:f>S148</x:f>
        <x:v>167897.43113004992</x:v>
      </x:c>
      <x:c r="J149" s="40" t="n">
        <x:f>I149*'Inputs &amp; Summary'!$B$16</x:f>
        <x:v>909.4444186211038</x:v>
      </x:c>
      <x:c r="K149" s="40" t="n">
        <x:f>IF(C149=1,J149,K148+J149)</x:f>
        <x:v>909.4444186211038</x:v>
      </x:c>
      <x:c r="L149" s="40" t="n">
        <x:f>IF(C149=12,K149*'Inputs &amp; Summary'!$B$11*'Inputs &amp; Summary'!$B$12,0)</x:f>
        <x:v>0</x:v>
      </x:c>
      <x:c r="M149" s="40" t="n">
        <x:f>MIN(L149,G149)</x:f>
        <x:v>0</x:v>
      </x:c>
      <x:c r="N149" s="40" t="n">
        <x:f>MAX(0,L149-M149)</x:f>
        <x:v>0</x:v>
      </x:c>
      <x:c r="O149" s="40" t="n">
        <x:f>IF(ABS(MAX(0,G149-M149))&lt;0.00000001,0,MAX(0,G149-M149))</x:f>
        <x:v>250714.62407093274</x:v>
      </x:c>
      <x:c r="P149" s="40" t="n">
        <x:f>MAX(0,D149-O149)</x:f>
        <x:v>1387.9447990173358</x:v>
      </x:c>
      <x:c r="Q149" s="40" t="n">
        <x:f>MAX(0,'Inputs &amp; Summary'!$B$19*'Inputs &amp; Summary'!$B$4-O149-I149)</x:f>
        <x:v>36387.944799017336</x:v>
      </x:c>
      <x:c r="R149" s="40" t="n">
        <x:f>MIN(P149,Q149)</x:f>
        <x:v>1387.9447990173358</x:v>
      </x:c>
      <x:c r="S149" s="40" t="n">
        <x:f>I149+R149</x:f>
        <x:v>169285.37592906726</x:v>
      </x:c>
      <x:c r="T149" s="40" t="n">
        <x:f>U148</x:f>
        <x:v>230878.14175942025</x:v>
      </x:c>
      <x:c r="U149" s="40" t="n">
        <x:f>T149*(1+'Inputs &amp; Summary'!$B$17)+R149+N149+H149</x:f>
        <x:v>233389.897587884</x:v>
      </x:c>
      <x:c r="V149" s="40" t="n">
        <x:f>Y148</x:f>
        <x:v>274840.731336372</x:v>
      </x:c>
      <x:c r="W149" s="40" t="n">
        <x:f>V149*'Inputs &amp; Summary'!$B$15</x:f>
        <x:v>1021.1211490883485</x:v>
      </x:c>
      <x:c r="X149" s="40" t="n">
        <x:f>IF(V149&lt;=0.00000001,0,MIN('Inputs &amp; Summary'!$B$18,V149+W149))</x:f>
        <x:v>2324.586407999052</x:v>
      </x:c>
      <x:c r="Y149" s="40" t="n">
        <x:f>IF(ABS(MAX(0,V149+W149-X149))&lt;0.00000001,0,MAX(0,V149+W149-X149))</x:f>
        <x:v>273537.2660774613</x:v>
      </x:c>
      <x:c r="Z149" s="40" t="n">
        <x:f>MAX(0,'Inputs &amp; Summary'!$B$18-X149)</x:f>
        <x:v>0</x:v>
      </x:c>
      <x:c r="AA149" s="40" t="n">
        <x:f>AC148</x:f>
        <x:v>70085.66451020437</x:v>
      </x:c>
      <x:c r="AB149" s="40" t="n">
        <x:f>J149</x:f>
        <x:v>909.4444186211038</x:v>
      </x:c>
      <x:c r="AC149" s="40" t="n">
        <x:f>AA149*(1+'Inputs &amp; Summary'!$B$17)+Z149+AB149</x:f>
        <x:v>71336.25444473456</x:v>
      </x:c>
      <x:c r="AD149" s="40" t="n">
        <x:f>F149+H149+J149</x:f>
        <x:v>3234.0308266201555</x:v>
      </x:c>
      <x:c r="AE149" s="40" t="n">
        <x:f>X149+Z149+AB149</x:f>
        <x:v>3234.0308266201555</x:v>
      </x:c>
      <x:c r="AF149" s="40" t="n">
        <x:f>AD149-AE149</x:f>
        <x:v>0</x:v>
      </x:c>
      <x:c r="AG149" s="42" t="n">
        <x:f>(O149+S149)/'Inputs &amp; Summary'!$B$4</x:f>
        <x:v>0.6</x:v>
      </x:c>
      <x:c r="AH149" s="40" t="n">
        <x:f>U149-O149-S149</x:f>
        <x:v>-186610.102412116</x:v>
      </x:c>
      <x:c r="AI149" s="40" t="n">
        <x:f>AC149-Y149</x:f>
        <x:v>-202201.01163272676</x:v>
      </x:c>
      <x:c r="AJ149" s="40" t="n">
        <x:f>AH149-AI149</x:f>
        <x:v>15590.909220610774</x:v>
      </x:c>
    </x:row>
    <x:row r="150">
      <x:c r="A150" t="n">
        <x:f>A149+1</x:f>
        <x:v>146</x:v>
      </x:c>
      <x:c r="B150" t="n">
        <x:f>INT((A150-1)/12)+1</x:f>
        <x:v>13</x:v>
      </x:c>
      <x:c r="C150" t="n">
        <x:f>MOD(A150-1,12)+1</x:f>
        <x:v>2</x:v>
      </x:c>
      <x:c r="D150" s="40" t="n">
        <x:f>O149</x:f>
        <x:v>250714.62407093274</x:v>
      </x:c>
      <x:c r="E150" s="40" t="n">
        <x:f>D150*'Inputs &amp; Summary'!$B$15</x:f>
        <x:v>931.4849505011639</x:v>
      </x:c>
      <x:c r="F150" s="40" t="n">
        <x:f>IF(D150&lt;=0.00000001,0,MIN('Inputs &amp; Summary'!$B$18,D150+E150))</x:f>
        <x:v>2324.586407999052</x:v>
      </x:c>
      <x:c r="G150" s="40" t="n">
        <x:f>IF(ABS(MAX(0,D150+E150-F150))&lt;0.00000001,0,MAX(0,D150+E150-F150))</x:f>
        <x:v>249321.52261343485</x:v>
      </x:c>
      <x:c r="H150" s="40" t="n">
        <x:f>MAX(0,'Inputs &amp; Summary'!$B$18-F150)</x:f>
        <x:v>0</x:v>
      </x:c>
      <x:c r="I150" s="40" t="n">
        <x:f>S149</x:f>
        <x:v>169285.37592906726</x:v>
      </x:c>
      <x:c r="J150" s="40" t="n">
        <x:f>I150*'Inputs &amp; Summary'!$B$16</x:f>
        <x:v>916.9624529491143</x:v>
      </x:c>
      <x:c r="K150" s="40" t="n">
        <x:f>IF(C150=1,J150,K149+J150)</x:f>
        <x:v>1826.406871570218</x:v>
      </x:c>
      <x:c r="L150" s="40" t="n">
        <x:f>IF(C150=12,K150*'Inputs &amp; Summary'!$B$11*'Inputs &amp; Summary'!$B$12,0)</x:f>
        <x:v>0</x:v>
      </x:c>
      <x:c r="M150" s="40" t="n">
        <x:f>MIN(L150,G150)</x:f>
        <x:v>0</x:v>
      </x:c>
      <x:c r="N150" s="40" t="n">
        <x:f>MAX(0,L150-M150)</x:f>
        <x:v>0</x:v>
      </x:c>
      <x:c r="O150" s="40" t="n">
        <x:f>IF(ABS(MAX(0,G150-M150))&lt;0.00000001,0,MAX(0,G150-M150))</x:f>
        <x:v>249321.52261343485</x:v>
      </x:c>
      <x:c r="P150" s="40" t="n">
        <x:f>MAX(0,D150-O150)</x:f>
        <x:v>1393.1014574978908</x:v>
      </x:c>
      <x:c r="Q150" s="40" t="n">
        <x:f>MAX(0,'Inputs &amp; Summary'!$B$19*'Inputs &amp; Summary'!$B$4-O150-I150)</x:f>
        <x:v>36393.10145749789</x:v>
      </x:c>
      <x:c r="R150" s="40" t="n">
        <x:f>MIN(P150,Q150)</x:f>
        <x:v>1393.1014574978908</x:v>
      </x:c>
      <x:c r="S150" s="40" t="n">
        <x:f>I150+R150</x:f>
        <x:v>170678.47738656515</x:v>
      </x:c>
      <x:c r="T150" s="40" t="n">
        <x:f>U149</x:f>
        <x:v>233389.897587884</x:v>
      </x:c>
      <x:c r="U150" s="40" t="n">
        <x:f>T150*(1+'Inputs &amp; Summary'!$B$17)+R150+N150+H150</x:f>
        <x:v>235919.03617333117</x:v>
      </x:c>
      <x:c r="V150" s="40" t="n">
        <x:f>Y149</x:f>
        <x:v>273537.2660774613</x:v>
      </x:c>
      <x:c r="W150" s="40" t="n">
        <x:f>V150*'Inputs &amp; Summary'!$B$15</x:f>
        <x:v>1016.2783590968365</x:v>
      </x:c>
      <x:c r="X150" s="40" t="n">
        <x:f>IF(V150&lt;=0.00000001,0,MIN('Inputs &amp; Summary'!$B$18,V150+W150))</x:f>
        <x:v>2324.586407999052</x:v>
      </x:c>
      <x:c r="Y150" s="40" t="n">
        <x:f>IF(ABS(MAX(0,V150+W150-X150))&lt;0.00000001,0,MAX(0,V150+W150-X150))</x:f>
        <x:v>272228.9580285591</x:v>
      </x:c>
      <x:c r="Z150" s="40" t="n">
        <x:f>MAX(0,'Inputs &amp; Summary'!$B$18-X150)</x:f>
        <x:v>0</x:v>
      </x:c>
      <x:c r="AA150" s="40" t="n">
        <x:f>AC149</x:f>
        <x:v>71336.25444473456</x:v>
      </x:c>
      <x:c r="AB150" s="40" t="n">
        <x:f>J150</x:f>
        <x:v>916.9624529491143</x:v>
      </x:c>
      <x:c r="AC150" s="40" t="n">
        <x:f>AA150*(1+'Inputs &amp; Summary'!$B$17)+Z150+AB150</x:f>
        <x:v>72600.4497233356</x:v>
      </x:c>
      <x:c r="AD150" s="40" t="n">
        <x:f>F150+H150+J150</x:f>
        <x:v>3241.5488609481663</x:v>
      </x:c>
      <x:c r="AE150" s="40" t="n">
        <x:f>X150+Z150+AB150</x:f>
        <x:v>3241.5488609481663</x:v>
      </x:c>
      <x:c r="AF150" s="40" t="n">
        <x:f>AD150-AE150</x:f>
        <x:v>0</x:v>
      </x:c>
      <x:c r="AG150" s="42" t="n">
        <x:f>(O150+S150)/'Inputs &amp; Summary'!$B$4</x:f>
        <x:v>0.6</x:v>
      </x:c>
      <x:c r="AH150" s="40" t="n">
        <x:f>U150-O150-S150</x:f>
        <x:v>-184080.96382666883</x:v>
      </x:c>
      <x:c r="AI150" s="40" t="n">
        <x:f>AC150-Y150</x:f>
        <x:v>-199628.5083052235</x:v>
      </x:c>
      <x:c r="AJ150" s="40" t="n">
        <x:f>AH150-AI150</x:f>
        <x:v>15547.544478554686</x:v>
      </x:c>
    </x:row>
    <x:row r="151">
      <x:c r="A151" t="n">
        <x:f>A150+1</x:f>
        <x:v>147</x:v>
      </x:c>
      <x:c r="B151" t="n">
        <x:f>INT((A151-1)/12)+1</x:f>
        <x:v>13</x:v>
      </x:c>
      <x:c r="C151" t="n">
        <x:f>MOD(A151-1,12)+1</x:f>
        <x:v>3</x:v>
      </x:c>
      <x:c r="D151" s="40" t="n">
        <x:f>O150</x:f>
        <x:v>249321.52261343485</x:v>
      </x:c>
      <x:c r="E151" s="40" t="n">
        <x:f>D151*'Inputs &amp; Summary'!$B$15</x:f>
        <x:v>926.3091333864296</x:v>
      </x:c>
      <x:c r="F151" s="40" t="n">
        <x:f>IF(D151&lt;=0.00000001,0,MIN('Inputs &amp; Summary'!$B$18,D151+E151))</x:f>
        <x:v>2324.586407999052</x:v>
      </x:c>
      <x:c r="G151" s="40" t="n">
        <x:f>IF(ABS(MAX(0,D151+E151-F151))&lt;0.00000001,0,MAX(0,D151+E151-F151))</x:f>
        <x:v>247923.24533882225</x:v>
      </x:c>
      <x:c r="H151" s="40" t="n">
        <x:f>MAX(0,'Inputs &amp; Summary'!$B$18-F151)</x:f>
        <x:v>0</x:v>
      </x:c>
      <x:c r="I151" s="40" t="n">
        <x:f>S150</x:f>
        <x:v>170678.47738656515</x:v>
      </x:c>
      <x:c r="J151" s="40" t="n">
        <x:f>I151*'Inputs &amp; Summary'!$B$16</x:f>
        <x:v>924.5084191772279</x:v>
      </x:c>
      <x:c r="K151" s="40" t="n">
        <x:f>IF(C151=1,J151,K150+J151)</x:f>
        <x:v>2750.915290747446</x:v>
      </x:c>
      <x:c r="L151" s="40" t="n">
        <x:f>IF(C151=12,K151*'Inputs &amp; Summary'!$B$11*'Inputs &amp; Summary'!$B$12,0)</x:f>
        <x:v>0</x:v>
      </x:c>
      <x:c r="M151" s="40" t="n">
        <x:f>MIN(L151,G151)</x:f>
        <x:v>0</x:v>
      </x:c>
      <x:c r="N151" s="40" t="n">
        <x:f>MAX(0,L151-M151)</x:f>
        <x:v>0</x:v>
      </x:c>
      <x:c r="O151" s="40" t="n">
        <x:f>IF(ABS(MAX(0,G151-M151))&lt;0.00000001,0,MAX(0,G151-M151))</x:f>
        <x:v>247923.24533882225</x:v>
      </x:c>
      <x:c r="P151" s="40" t="n">
        <x:f>MAX(0,D151-O151)</x:f>
        <x:v>1398.2772746125993</x:v>
      </x:c>
      <x:c r="Q151" s="40" t="n">
        <x:f>MAX(0,'Inputs &amp; Summary'!$B$19*'Inputs &amp; Summary'!$B$4-O151-I151)</x:f>
        <x:v>36398.2772746126</x:v>
      </x:c>
      <x:c r="R151" s="40" t="n">
        <x:f>MIN(P151,Q151)</x:f>
        <x:v>1398.2772746125993</x:v>
      </x:c>
      <x:c r="S151" s="40" t="n">
        <x:f>I151+R151</x:f>
        <x:v>172076.75466117775</x:v>
      </x:c>
      <x:c r="T151" s="40" t="n">
        <x:f>U150</x:f>
        <x:v>235919.03617333117</x:v>
      </x:c>
      <x:c r="U151" s="40" t="n">
        <x:f>T151*(1+'Inputs &amp; Summary'!$B$17)+R151+N151+H151</x:f>
        <x:v>238465.66128584446</x:v>
      </x:c>
      <x:c r="V151" s="40" t="n">
        <x:f>Y150</x:f>
        <x:v>272228.9580285591</x:v>
      </x:c>
      <x:c r="W151" s="40" t="n">
        <x:f>V151*'Inputs &amp; Summary'!$B$15</x:f>
        <x:v>1011.4175765928724</x:v>
      </x:c>
      <x:c r="X151" s="40" t="n">
        <x:f>IF(V151&lt;=0.00000001,0,MIN('Inputs &amp; Summary'!$B$18,V151+W151))</x:f>
        <x:v>2324.586407999052</x:v>
      </x:c>
      <x:c r="Y151" s="40" t="n">
        <x:f>IF(ABS(MAX(0,V151+W151-X151))&lt;0.00000001,0,MAX(0,V151+W151-X151))</x:f>
        <x:v>270915.78919715295</x:v>
      </x:c>
      <x:c r="Z151" s="40" t="n">
        <x:f>MAX(0,'Inputs &amp; Summary'!$B$18-X151)</x:f>
        <x:v>0</x:v>
      </x:c>
      <x:c r="AA151" s="40" t="n">
        <x:f>AC150</x:f>
        <x:v>72600.4497233356</x:v>
      </x:c>
      <x:c r="AB151" s="40" t="n">
        <x:f>J151</x:f>
        <x:v>924.5084191772279</x:v>
      </x:c>
      <x:c r="AC151" s="40" t="n">
        <x:f>AA151*(1+'Inputs &amp; Summary'!$B$17)+Z151+AB151</x:f>
        <x:v>73878.34450260781</x:v>
      </x:c>
      <x:c r="AD151" s="40" t="n">
        <x:f>F151+H151+J151</x:f>
        <x:v>3249.09482717628</x:v>
      </x:c>
      <x:c r="AE151" s="40" t="n">
        <x:f>X151+Z151+AB151</x:f>
        <x:v>3249.09482717628</x:v>
      </x:c>
      <x:c r="AF151" s="40" t="n">
        <x:f>AD151-AE151</x:f>
        <x:v>0</x:v>
      </x:c>
      <x:c r="AG151" s="42" t="n">
        <x:f>(O151+S151)/'Inputs &amp; Summary'!$B$4</x:f>
        <x:v>0.6</x:v>
      </x:c>
      <x:c r="AH151" s="40" t="n">
        <x:f>U151-O151-S151</x:f>
        <x:v>-181534.33871415554</x:v>
      </x:c>
      <x:c r="AI151" s="40" t="n">
        <x:f>AC151-Y151</x:f>
        <x:v>-197037.44469454512</x:v>
      </x:c>
      <x:c r="AJ151" s="40" t="n">
        <x:f>AH151-AI151</x:f>
        <x:v>15503.105980389577</x:v>
      </x:c>
    </x:row>
    <x:row r="152">
      <x:c r="A152" t="n">
        <x:f>A151+1</x:f>
        <x:v>148</x:v>
      </x:c>
      <x:c r="B152" t="n">
        <x:f>INT((A152-1)/12)+1</x:f>
        <x:v>13</x:v>
      </x:c>
      <x:c r="C152" t="n">
        <x:f>MOD(A152-1,12)+1</x:f>
        <x:v>4</x:v>
      </x:c>
      <x:c r="D152" s="40" t="n">
        <x:f>O151</x:f>
        <x:v>247923.24533882225</x:v>
      </x:c>
      <x:c r="E152" s="40" t="n">
        <x:f>D152*'Inputs &amp; Summary'!$B$15</x:f>
        <x:v>921.1140864570533</x:v>
      </x:c>
      <x:c r="F152" s="40" t="n">
        <x:f>IF(D152&lt;=0.00000001,0,MIN('Inputs &amp; Summary'!$B$18,D152+E152))</x:f>
        <x:v>2324.586407999052</x:v>
      </x:c>
      <x:c r="G152" s="40" t="n">
        <x:f>IF(ABS(MAX(0,D152+E152-F152))&lt;0.00000001,0,MAX(0,D152+E152-F152))</x:f>
        <x:v>246519.77301728027</x:v>
      </x:c>
      <x:c r="H152" s="40" t="n">
        <x:f>MAX(0,'Inputs &amp; Summary'!$B$18-F152)</x:f>
        <x:v>0</x:v>
      </x:c>
      <x:c r="I152" s="40" t="n">
        <x:f>S151</x:f>
        <x:v>172076.75466117775</x:v>
      </x:c>
      <x:c r="J152" s="40" t="n">
        <x:f>I152*'Inputs &amp; Summary'!$B$16</x:f>
        <x:v>932.0824210813795</x:v>
      </x:c>
      <x:c r="K152" s="40" t="n">
        <x:f>IF(C152=1,J152,K151+J152)</x:f>
        <x:v>3682.9977118288252</x:v>
      </x:c>
      <x:c r="L152" s="40" t="n">
        <x:f>IF(C152=12,K152*'Inputs &amp; Summary'!$B$11*'Inputs &amp; Summary'!$B$12,0)</x:f>
        <x:v>0</x:v>
      </x:c>
      <x:c r="M152" s="40" t="n">
        <x:f>MIN(L152,G152)</x:f>
        <x:v>0</x:v>
      </x:c>
      <x:c r="N152" s="40" t="n">
        <x:f>MAX(0,L152-M152)</x:f>
        <x:v>0</x:v>
      </x:c>
      <x:c r="O152" s="40" t="n">
        <x:f>IF(ABS(MAX(0,G152-M152))&lt;0.00000001,0,MAX(0,G152-M152))</x:f>
        <x:v>246519.77301728027</x:v>
      </x:c>
      <x:c r="P152" s="40" t="n">
        <x:f>MAX(0,D152-O152)</x:f>
        <x:v>1403.47232154198</x:v>
      </x:c>
      <x:c r="Q152" s="40" t="n">
        <x:f>MAX(0,'Inputs &amp; Summary'!$B$19*'Inputs &amp; Summary'!$B$4-O152-I152)</x:f>
        <x:v>36403.47232154198</x:v>
      </x:c>
      <x:c r="R152" s="40" t="n">
        <x:f>MIN(P152,Q152)</x:f>
        <x:v>1403.47232154198</x:v>
      </x:c>
      <x:c r="S152" s="40" t="n">
        <x:f>I152+R152</x:f>
        <x:v>173480.22698271973</x:v>
      </x:c>
      <x:c r="T152" s="40" t="n">
        <x:f>U151</x:f>
        <x:v>238465.66128584446</x:v>
      </x:c>
      <x:c r="U152" s="40" t="n">
        <x:f>T152*(1+'Inputs &amp; Summary'!$B$17)+R152+N152+H152</x:f>
        <x:v>241029.87727179326</x:v>
      </x:c>
      <x:c r="V152" s="40" t="n">
        <x:f>Y151</x:f>
        <x:v>270915.78919715295</x:v>
      </x:c>
      <x:c r="W152" s="40" t="n">
        <x:f>V152*'Inputs &amp; Summary'!$B$15</x:f>
        <x:v>1006.5387347285224</x:v>
      </x:c>
      <x:c r="X152" s="40" t="n">
        <x:f>IF(V152&lt;=0.00000001,0,MIN('Inputs &amp; Summary'!$B$18,V152+W152))</x:f>
        <x:v>2324.586407999052</x:v>
      </x:c>
      <x:c r="Y152" s="40" t="n">
        <x:f>IF(ABS(MAX(0,V152+W152-X152))&lt;0.00000001,0,MAX(0,V152+W152-X152))</x:f>
        <x:v>269597.74152388243</x:v>
      </x:c>
      <x:c r="Z152" s="40" t="n">
        <x:f>MAX(0,'Inputs &amp; Summary'!$B$18-X152)</x:f>
        <x:v>0</x:v>
      </x:c>
      <x:c r="AA152" s="40" t="n">
        <x:f>AC151</x:f>
        <x:v>73878.34450260781</x:v>
      </x:c>
      <x:c r="AB152" s="40" t="n">
        <x:f>J152</x:f>
        <x:v>932.0824210813795</x:v>
      </x:c>
      <x:c r="AC152" s="40" t="n">
        <x:f>AA152*(1+'Inputs &amp; Summary'!$B$17)+Z152+AB152</x:f>
        <x:v>75170.03350123946</x:v>
      </x:c>
      <x:c r="AD152" s="40" t="n">
        <x:f>F152+H152+J152</x:f>
        <x:v>3256.6688290804314</x:v>
      </x:c>
      <x:c r="AE152" s="40" t="n">
        <x:f>X152+Z152+AB152</x:f>
        <x:v>3256.6688290804314</x:v>
      </x:c>
      <x:c r="AF152" s="40" t="n">
        <x:f>AD152-AE152</x:f>
        <x:v>0</x:v>
      </x:c>
      <x:c r="AG152" s="42" t="n">
        <x:f>(O152+S152)/'Inputs &amp; Summary'!$B$4</x:f>
        <x:v>0.6</x:v>
      </x:c>
      <x:c r="AH152" s="40" t="n">
        <x:f>U152-O152-S152</x:f>
        <x:v>-178970.12272820674</x:v>
      </x:c>
      <x:c r="AI152" s="40" t="n">
        <x:f>AC152-Y152</x:f>
        <x:v>-194427.70802264297</x:v>
      </x:c>
      <x:c r="AJ152" s="40" t="n">
        <x:f>AH152-AI152</x:f>
        <x:v>15457.585294436227</x:v>
      </x:c>
    </x:row>
    <x:row r="153">
      <x:c r="A153" t="n">
        <x:f>A152+1</x:f>
        <x:v>149</x:v>
      </x:c>
      <x:c r="B153" t="n">
        <x:f>INT((A153-1)/12)+1</x:f>
        <x:v>13</x:v>
      </x:c>
      <x:c r="C153" t="n">
        <x:f>MOD(A153-1,12)+1</x:f>
        <x:v>5</x:v>
      </x:c>
      <x:c r="D153" s="40" t="n">
        <x:f>O152</x:f>
        <x:v>246519.77301728027</x:v>
      </x:c>
      <x:c r="E153" s="40" t="n">
        <x:f>D153*'Inputs &amp; Summary'!$B$15</x:f>
        <x:v>915.8997382681283</x:v>
      </x:c>
      <x:c r="F153" s="40" t="n">
        <x:f>IF(D153&lt;=0.00000001,0,MIN('Inputs &amp; Summary'!$B$18,D153+E153))</x:f>
        <x:v>2324.586407999052</x:v>
      </x:c>
      <x:c r="G153" s="40" t="n">
        <x:f>IF(ABS(MAX(0,D153+E153-F153))&lt;0.00000001,0,MAX(0,D153+E153-F153))</x:f>
        <x:v>245111.08634754937</x:v>
      </x:c>
      <x:c r="H153" s="40" t="n">
        <x:f>MAX(0,'Inputs &amp; Summary'!$B$18-F153)</x:f>
        <x:v>0</x:v>
      </x:c>
      <x:c r="I153" s="40" t="n">
        <x:f>S152</x:f>
        <x:v>173480.22698271973</x:v>
      </x:c>
      <x:c r="J153" s="40" t="n">
        <x:f>I153*'Inputs &amp; Summary'!$B$16</x:f>
        <x:v>939.6845628230652</x:v>
      </x:c>
      <x:c r="K153" s="40" t="n">
        <x:f>IF(C153=1,J153,K152+J153)</x:f>
        <x:v>4622.68227465189</x:v>
      </x:c>
      <x:c r="L153" s="40" t="n">
        <x:f>IF(C153=12,K153*'Inputs &amp; Summary'!$B$11*'Inputs &amp; Summary'!$B$12,0)</x:f>
        <x:v>0</x:v>
      </x:c>
      <x:c r="M153" s="40" t="n">
        <x:f>MIN(L153,G153)</x:f>
        <x:v>0</x:v>
      </x:c>
      <x:c r="N153" s="40" t="n">
        <x:f>MAX(0,L153-M153)</x:f>
        <x:v>0</x:v>
      </x:c>
      <x:c r="O153" s="40" t="n">
        <x:f>IF(ABS(MAX(0,G153-M153))&lt;0.00000001,0,MAX(0,G153-M153))</x:f>
        <x:v>245111.08634754937</x:v>
      </x:c>
      <x:c r="P153" s="40" t="n">
        <x:f>MAX(0,D153-O153)</x:f>
        <x:v>1408.6866697309015</x:v>
      </x:c>
      <x:c r="Q153" s="40" t="n">
        <x:f>MAX(0,'Inputs &amp; Summary'!$B$19*'Inputs &amp; Summary'!$B$4-O153-I153)</x:f>
        <x:v>36408.6866697309</x:v>
      </x:c>
      <x:c r="R153" s="40" t="n">
        <x:f>MIN(P153,Q153)</x:f>
        <x:v>1408.6866697309015</x:v>
      </x:c>
      <x:c r="S153" s="40" t="n">
        <x:f>I153+R153</x:f>
        <x:v>174888.91365245063</x:v>
      </x:c>
      <x:c r="T153" s="40" t="n">
        <x:f>U152</x:f>
        <x:v>241029.87727179326</x:v>
      </x:c>
      <x:c r="U153" s="40" t="n">
        <x:f>T153*(1+'Inputs &amp; Summary'!$B$17)+R153+N153+H153</x:f>
        <x:v>243611.78905690304</x:v>
      </x:c>
      <x:c r="V153" s="40" t="n">
        <x:f>Y152</x:f>
        <x:v>269597.74152388243</x:v>
      </x:c>
      <x:c r="W153" s="40" t="n">
        <x:f>V153*'Inputs &amp; Summary'!$B$15</x:f>
        <x:v>1001.6417664074913</x:v>
      </x:c>
      <x:c r="X153" s="40" t="n">
        <x:f>IF(V153&lt;=0.00000001,0,MIN('Inputs &amp; Summary'!$B$18,V153+W153))</x:f>
        <x:v>2324.586407999052</x:v>
      </x:c>
      <x:c r="Y153" s="40" t="n">
        <x:f>IF(ABS(MAX(0,V153+W153-X153))&lt;0.00000001,0,MAX(0,V153+W153-X153))</x:f>
        <x:v>268274.79688229086</x:v>
      </x:c>
      <x:c r="Z153" s="40" t="n">
        <x:f>MAX(0,'Inputs &amp; Summary'!$B$18-X153)</x:f>
        <x:v>0</x:v>
      </x:c>
      <x:c r="AA153" s="40" t="n">
        <x:f>AC152</x:f>
        <x:v>75170.03350123946</x:v>
      </x:c>
      <x:c r="AB153" s="40" t="n">
        <x:f>J153</x:f>
        <x:v>939.6845628230652</x:v>
      </x:c>
      <x:c r="AC153" s="40" t="n">
        <x:f>AA153*(1+'Inputs &amp; Summary'!$B$17)+Z153+AB153</x:f>
        <x:v>76475.61200312835</x:v>
      </x:c>
      <x:c r="AD153" s="40" t="n">
        <x:f>F153+H153+J153</x:f>
        <x:v>3264.2709708221173</x:v>
      </x:c>
      <x:c r="AE153" s="40" t="n">
        <x:f>X153+Z153+AB153</x:f>
        <x:v>3264.2709708221173</x:v>
      </x:c>
      <x:c r="AF153" s="40" t="n">
        <x:f>AD153-AE153</x:f>
        <x:v>0</x:v>
      </x:c>
      <x:c r="AG153" s="42" t="n">
        <x:f>(O153+S153)/'Inputs &amp; Summary'!$B$4</x:f>
        <x:v>0.6</x:v>
      </x:c>
      <x:c r="AH153" s="40" t="n">
        <x:f>U153-O153-S153</x:f>
        <x:v>-176388.21094309696</x:v>
      </x:c>
      <x:c r="AI153" s="40" t="n">
        <x:f>AC153-Y153</x:f>
        <x:v>-191799.18487916252</x:v>
      </x:c>
      <x:c r="AJ153" s="40" t="n">
        <x:f>AH153-AI153</x:f>
        <x:v>15410.973936065566</x:v>
      </x:c>
    </x:row>
    <x:row r="154">
      <x:c r="A154" t="n">
        <x:f>A153+1</x:f>
        <x:v>150</x:v>
      </x:c>
      <x:c r="B154" t="n">
        <x:f>INT((A154-1)/12)+1</x:f>
        <x:v>13</x:v>
      </x:c>
      <x:c r="C154" t="n">
        <x:f>MOD(A154-1,12)+1</x:f>
        <x:v>6</x:v>
      </x:c>
      <x:c r="D154" s="40" t="n">
        <x:f>O153</x:f>
        <x:v>245111.08634754937</x:v>
      </x:c>
      <x:c r="E154" s="40" t="n">
        <x:f>D154*'Inputs &amp; Summary'!$B$15</x:f>
        <x:v>910.6660171093072</x:v>
      </x:c>
      <x:c r="F154" s="40" t="n">
        <x:f>IF(D154&lt;=0.00000001,0,MIN('Inputs &amp; Summary'!$B$18,D154+E154))</x:f>
        <x:v>2324.586407999052</x:v>
      </x:c>
      <x:c r="G154" s="40" t="n">
        <x:f>IF(ABS(MAX(0,D154+E154-F154))&lt;0.00000001,0,MAX(0,D154+E154-F154))</x:f>
        <x:v>243697.16595665962</x:v>
      </x:c>
      <x:c r="H154" s="40" t="n">
        <x:f>MAX(0,'Inputs &amp; Summary'!$B$18-F154)</x:f>
        <x:v>0</x:v>
      </x:c>
      <x:c r="I154" s="40" t="n">
        <x:f>S153</x:f>
        <x:v>174888.91365245063</x:v>
      </x:c>
      <x:c r="J154" s="40" t="n">
        <x:f>I154*'Inputs &amp; Summary'!$B$16</x:f>
        <x:v>947.3149489507742</x:v>
      </x:c>
      <x:c r="K154" s="40" t="n">
        <x:f>IF(C154=1,J154,K153+J154)</x:f>
        <x:v>5569.997223602664</x:v>
      </x:c>
      <x:c r="L154" s="40" t="n">
        <x:f>IF(C154=12,K154*'Inputs &amp; Summary'!$B$11*'Inputs &amp; Summary'!$B$12,0)</x:f>
        <x:v>0</x:v>
      </x:c>
      <x:c r="M154" s="40" t="n">
        <x:f>MIN(L154,G154)</x:f>
        <x:v>0</x:v>
      </x:c>
      <x:c r="N154" s="40" t="n">
        <x:f>MAX(0,L154-M154)</x:f>
        <x:v>0</x:v>
      </x:c>
      <x:c r="O154" s="40" t="n">
        <x:f>IF(ABS(MAX(0,G154-M154))&lt;0.00000001,0,MAX(0,G154-M154))</x:f>
        <x:v>243697.16595665962</x:v>
      </x:c>
      <x:c r="P154" s="40" t="n">
        <x:f>MAX(0,D154-O154)</x:f>
        <x:v>1413.920390889747</x:v>
      </x:c>
      <x:c r="Q154" s="40" t="n">
        <x:f>MAX(0,'Inputs &amp; Summary'!$B$19*'Inputs &amp; Summary'!$B$4-O154-I154)</x:f>
        <x:v>36413.92039088975</x:v>
      </x:c>
      <x:c r="R154" s="40" t="n">
        <x:f>MIN(P154,Q154)</x:f>
        <x:v>1413.920390889747</x:v>
      </x:c>
      <x:c r="S154" s="40" t="n">
        <x:f>I154+R154</x:f>
        <x:v>176302.83404334038</x:v>
      </x:c>
      <x:c r="T154" s="40" t="n">
        <x:f>U153</x:f>
        <x:v>243611.78905690304</x:v>
      </x:c>
      <x:c r="U154" s="40" t="n">
        <x:f>T154*(1+'Inputs &amp; Summary'!$B$17)+R154+N154+H154</x:f>
        <x:v>246211.50214934096</x:v>
      </x:c>
      <x:c r="V154" s="40" t="n">
        <x:f>Y153</x:f>
        <x:v>268274.79688229086</x:v>
      </x:c>
      <x:c r="W154" s="40" t="n">
        <x:f>V154*'Inputs &amp; Summary'!$B$15</x:f>
        <x:v>996.7266042841999</x:v>
      </x:c>
      <x:c r="X154" s="40" t="n">
        <x:f>IF(V154&lt;=0.00000001,0,MIN('Inputs &amp; Summary'!$B$18,V154+W154))</x:f>
        <x:v>2324.586407999052</x:v>
      </x:c>
      <x:c r="Y154" s="40" t="n">
        <x:f>IF(ABS(MAX(0,V154+W154-X154))&lt;0.00000001,0,MAX(0,V154+W154-X154))</x:f>
        <x:v>266946.937078576</x:v>
      </x:c>
      <x:c r="Z154" s="40" t="n">
        <x:f>MAX(0,'Inputs &amp; Summary'!$B$18-X154)</x:f>
        <x:v>0</x:v>
      </x:c>
      <x:c r="AA154" s="40" t="n">
        <x:f>AC153</x:f>
        <x:v>76475.61200312835</x:v>
      </x:c>
      <x:c r="AB154" s="40" t="n">
        <x:f>J154</x:f>
        <x:v>947.3149489507742</x:v>
      </x:c>
      <x:c r="AC154" s="40" t="n">
        <x:f>AA154*(1+'Inputs &amp; Summary'!$B$17)+Z154+AB154</x:f>
        <x:v>77795.17586051991</x:v>
      </x:c>
      <x:c r="AD154" s="40" t="n">
        <x:f>F154+H154+J154</x:f>
        <x:v>3271.901356949826</x:v>
      </x:c>
      <x:c r="AE154" s="40" t="n">
        <x:f>X154+Z154+AB154</x:f>
        <x:v>3271.901356949826</x:v>
      </x:c>
      <x:c r="AF154" s="40" t="n">
        <x:f>AD154-AE154</x:f>
        <x:v>0</x:v>
      </x:c>
      <x:c r="AG154" s="42" t="n">
        <x:f>(O154+S154)/'Inputs &amp; Summary'!$B$4</x:f>
        <x:v>0.6</x:v>
      </x:c>
      <x:c r="AH154" s="40" t="n">
        <x:f>U154-O154-S154</x:f>
        <x:v>-173788.49785065904</x:v>
      </x:c>
      <x:c r="AI154" s="40" t="n">
        <x:f>AC154-Y154</x:f>
        <x:v>-189151.76121805608</x:v>
      </x:c>
      <x:c r="AJ154" s="40" t="n">
        <x:f>AH154-AI154</x:f>
        <x:v>15363.263367397041</x:v>
      </x:c>
    </x:row>
    <x:row r="155">
      <x:c r="A155" t="n">
        <x:f>A154+1</x:f>
        <x:v>151</x:v>
      </x:c>
      <x:c r="B155" t="n">
        <x:f>INT((A155-1)/12)+1</x:f>
        <x:v>13</x:v>
      </x:c>
      <x:c r="C155" t="n">
        <x:f>MOD(A155-1,12)+1</x:f>
        <x:v>7</x:v>
      </x:c>
      <x:c r="D155" s="40" t="n">
        <x:f>O154</x:f>
        <x:v>243697.16595665962</x:v>
      </x:c>
      <x:c r="E155" s="40" t="n">
        <x:f>D155*'Inputs &amp; Summary'!$B$15</x:f>
        <x:v>905.4128510038155</x:v>
      </x:c>
      <x:c r="F155" s="40" t="n">
        <x:f>IF(D155&lt;=0.00000001,0,MIN('Inputs &amp; Summary'!$B$18,D155+E155))</x:f>
        <x:v>2324.586407999052</x:v>
      </x:c>
      <x:c r="G155" s="40" t="n">
        <x:f>IF(ABS(MAX(0,D155+E155-F155))&lt;0.00000001,0,MAX(0,D155+E155-F155))</x:f>
        <x:v>242277.9923996644</x:v>
      </x:c>
      <x:c r="H155" s="40" t="n">
        <x:f>MAX(0,'Inputs &amp; Summary'!$B$18-F155)</x:f>
        <x:v>0</x:v>
      </x:c>
      <x:c r="I155" s="40" t="n">
        <x:f>S154</x:f>
        <x:v>176302.83404334038</x:v>
      </x:c>
      <x:c r="J155" s="40" t="n">
        <x:f>I155*'Inputs &amp; Summary'!$B$16</x:f>
        <x:v>954.9736844014271</x:v>
      </x:c>
      <x:c r="K155" s="40" t="n">
        <x:f>IF(C155=1,J155,K154+J155)</x:f>
        <x:v>6524.970908004091</x:v>
      </x:c>
      <x:c r="L155" s="40" t="n">
        <x:f>IF(C155=12,K155*'Inputs &amp; Summary'!$B$11*'Inputs &amp; Summary'!$B$12,0)</x:f>
        <x:v>0</x:v>
      </x:c>
      <x:c r="M155" s="40" t="n">
        <x:f>MIN(L155,G155)</x:f>
        <x:v>0</x:v>
      </x:c>
      <x:c r="N155" s="40" t="n">
        <x:f>MAX(0,L155-M155)</x:f>
        <x:v>0</x:v>
      </x:c>
      <x:c r="O155" s="40" t="n">
        <x:f>IF(ABS(MAX(0,G155-M155))&lt;0.00000001,0,MAX(0,G155-M155))</x:f>
        <x:v>242277.9923996644</x:v>
      </x:c>
      <x:c r="P155" s="40" t="n">
        <x:f>MAX(0,D155-O155)</x:f>
        <x:v>1419.1735569952289</x:v>
      </x:c>
      <x:c r="Q155" s="40" t="n">
        <x:f>MAX(0,'Inputs &amp; Summary'!$B$19*'Inputs &amp; Summary'!$B$4-O155-I155)</x:f>
        <x:v>36419.17355699523</x:v>
      </x:c>
      <x:c r="R155" s="40" t="n">
        <x:f>MIN(P155,Q155)</x:f>
        <x:v>1419.1735569952289</x:v>
      </x:c>
      <x:c r="S155" s="40" t="n">
        <x:f>I155+R155</x:f>
        <x:v>177722.0076003356</x:v>
      </x:c>
      <x:c r="T155" s="40" t="n">
        <x:f>U154</x:f>
        <x:v>246211.50214934096</x:v>
      </x:c>
      <x:c r="U155" s="40" t="n">
        <x:f>T155*(1+'Inputs &amp; Summary'!$B$17)+R155+N155+H155</x:f>
        <x:v>248829.12264281718</x:v>
      </x:c>
      <x:c r="V155" s="40" t="n">
        <x:f>Y154</x:f>
        <x:v>266946.937078576</x:v>
      </x:c>
      <x:c r="W155" s="40" t="n">
        <x:f>V155*'Inputs &amp; Summary'!$B$15</x:f>
        <x:v>991.7931807628585</x:v>
      </x:c>
      <x:c r="X155" s="40" t="n">
        <x:f>IF(V155&lt;=0.00000001,0,MIN('Inputs &amp; Summary'!$B$18,V155+W155))</x:f>
        <x:v>2324.586407999052</x:v>
      </x:c>
      <x:c r="Y155" s="40" t="n">
        <x:f>IF(ABS(MAX(0,V155+W155-X155))&lt;0.00000001,0,MAX(0,V155+W155-X155))</x:f>
        <x:v>265614.1438513398</x:v>
      </x:c>
      <x:c r="Z155" s="40" t="n">
        <x:f>MAX(0,'Inputs &amp; Summary'!$B$18-X155)</x:f>
        <x:v>0</x:v>
      </x:c>
      <x:c r="AA155" s="40" t="n">
        <x:f>AC154</x:f>
        <x:v>77795.17586051991</x:v>
      </x:c>
      <x:c r="AB155" s="40" t="n">
        <x:f>J155</x:f>
        <x:v>954.9736844014271</x:v>
      </x:c>
      <x:c r="AC155" s="40" t="n">
        <x:f>AA155*(1+'Inputs &amp; Summary'!$B$17)+Z155+AB155</x:f>
        <x:v>79128.82149716218</x:v>
      </x:c>
      <x:c r="AD155" s="40" t="n">
        <x:f>F155+H155+J155</x:f>
        <x:v>3279.5600924004793</x:v>
      </x:c>
      <x:c r="AE155" s="40" t="n">
        <x:f>X155+Z155+AB155</x:f>
        <x:v>3279.5600924004793</x:v>
      </x:c>
      <x:c r="AF155" s="40" t="n">
        <x:f>AD155-AE155</x:f>
        <x:v>0</x:v>
      </x:c>
      <x:c r="AG155" s="42" t="n">
        <x:f>(O155+S155)/'Inputs &amp; Summary'!$B$4</x:f>
        <x:v>0.6</x:v>
      </x:c>
      <x:c r="AH155" s="40" t="n">
        <x:f>U155-O155-S155</x:f>
        <x:v>-171170.87735718282</x:v>
      </x:c>
      <x:c r="AI155" s="40" t="n">
        <x:f>AC155-Y155</x:f>
        <x:v>-186485.32235417765</x:v>
      </x:c>
      <x:c r="AJ155" s="40" t="n">
        <x:f>AH155-AI155</x:f>
        <x:v>15314.444996994833</x:v>
      </x:c>
    </x:row>
    <x:row r="156">
      <x:c r="A156" t="n">
        <x:f>A155+1</x:f>
        <x:v>152</x:v>
      </x:c>
      <x:c r="B156" t="n">
        <x:f>INT((A156-1)/12)+1</x:f>
        <x:v>13</x:v>
      </x:c>
      <x:c r="C156" t="n">
        <x:f>MOD(A156-1,12)+1</x:f>
        <x:v>8</x:v>
      </x:c>
      <x:c r="D156" s="40" t="n">
        <x:f>O155</x:f>
        <x:v>242277.9923996644</x:v>
      </x:c>
      <x:c r="E156" s="40" t="n">
        <x:f>D156*'Inputs &amp; Summary'!$B$15</x:f>
        <x:v>900.1401677074623</x:v>
      </x:c>
      <x:c r="F156" s="40" t="n">
        <x:f>IF(D156&lt;=0.00000001,0,MIN('Inputs &amp; Summary'!$B$18,D156+E156))</x:f>
        <x:v>2324.586407999052</x:v>
      </x:c>
      <x:c r="G156" s="40" t="n">
        <x:f>IF(ABS(MAX(0,D156+E156-F156))&lt;0.00000001,0,MAX(0,D156+E156-F156))</x:f>
        <x:v>240853.5461593728</x:v>
      </x:c>
      <x:c r="H156" s="40" t="n">
        <x:f>MAX(0,'Inputs &amp; Summary'!$B$18-F156)</x:f>
        <x:v>0</x:v>
      </x:c>
      <x:c r="I156" s="40" t="n">
        <x:f>S155</x:f>
        <x:v>177722.0076003356</x:v>
      </x:c>
      <x:c r="J156" s="40" t="n">
        <x:f>I156*'Inputs &amp; Summary'!$B$16</x:f>
        <x:v>962.660874501818</x:v>
      </x:c>
      <x:c r="K156" s="40" t="n">
        <x:f>IF(C156=1,J156,K155+J156)</x:f>
        <x:v>7487.631782505909</x:v>
      </x:c>
      <x:c r="L156" s="40" t="n">
        <x:f>IF(C156=12,K156*'Inputs &amp; Summary'!$B$11*'Inputs &amp; Summary'!$B$12,0)</x:f>
        <x:v>0</x:v>
      </x:c>
      <x:c r="M156" s="40" t="n">
        <x:f>MIN(L156,G156)</x:f>
        <x:v>0</x:v>
      </x:c>
      <x:c r="N156" s="40" t="n">
        <x:f>MAX(0,L156-M156)</x:f>
        <x:v>0</x:v>
      </x:c>
      <x:c r="O156" s="40" t="n">
        <x:f>IF(ABS(MAX(0,G156-M156))&lt;0.00000001,0,MAX(0,G156-M156))</x:f>
        <x:v>240853.5461593728</x:v>
      </x:c>
      <x:c r="P156" s="40" t="n">
        <x:f>MAX(0,D156-O156)</x:f>
        <x:v>1424.4462402915815</x:v>
      </x:c>
      <x:c r="Q156" s="40" t="n">
        <x:f>MAX(0,'Inputs &amp; Summary'!$B$19*'Inputs &amp; Summary'!$B$4-O156-I156)</x:f>
        <x:v>36424.44624029158</x:v>
      </x:c>
      <x:c r="R156" s="40" t="n">
        <x:f>MIN(P156,Q156)</x:f>
        <x:v>1424.4462402915815</x:v>
      </x:c>
      <x:c r="S156" s="40" t="n">
        <x:f>I156+R156</x:f>
        <x:v>179146.4538406272</x:v>
      </x:c>
      <x:c r="T156" s="40" t="n">
        <x:f>U155</x:f>
        <x:v>248829.12264281718</x:v>
      </x:c>
      <x:c r="U156" s="40" t="n">
        <x:f>T156*(1+'Inputs &amp; Summary'!$B$17)+R156+N156+H156</x:f>
        <x:v>251464.75721970262</x:v>
      </x:c>
      <x:c r="V156" s="40" t="n">
        <x:f>Y155</x:f>
        <x:v>265614.1438513398</x:v>
      </x:c>
      <x:c r="W156" s="40" t="n">
        <x:f>V156*'Inputs &amp; Summary'!$B$15</x:f>
        <x:v>986.8414279965374</x:v>
      </x:c>
      <x:c r="X156" s="40" t="n">
        <x:f>IF(V156&lt;=0.00000001,0,MIN('Inputs &amp; Summary'!$B$18,V156+W156))</x:f>
        <x:v>2324.586407999052</x:v>
      </x:c>
      <x:c r="Y156" s="40" t="n">
        <x:f>IF(ABS(MAX(0,V156+W156-X156))&lt;0.00000001,0,MAX(0,V156+W156-X156))</x:f>
        <x:v>264276.3988713373</x:v>
      </x:c>
      <x:c r="Z156" s="40" t="n">
        <x:f>MAX(0,'Inputs &amp; Summary'!$B$18-X156)</x:f>
        <x:v>0</x:v>
      </x:c>
      <x:c r="AA156" s="40" t="n">
        <x:f>AC155</x:f>
        <x:v>79128.82149716218</x:v>
      </x:c>
      <x:c r="AB156" s="40" t="n">
        <x:f>J156</x:f>
        <x:v>962.660874501818</x:v>
      </x:c>
      <x:c r="AC156" s="40" t="n">
        <x:f>AA156*(1+'Inputs &amp; Summary'!$B$17)+Z156+AB156</x:f>
        <x:v>80476.64591147743</x:v>
      </x:c>
      <x:c r="AD156" s="40" t="n">
        <x:f>F156+H156+J156</x:f>
        <x:v>3287.24728250087</x:v>
      </x:c>
      <x:c r="AE156" s="40" t="n">
        <x:f>X156+Z156+AB156</x:f>
        <x:v>3287.24728250087</x:v>
      </x:c>
      <x:c r="AF156" s="40" t="n">
        <x:f>AD156-AE156</x:f>
        <x:v>0</x:v>
      </x:c>
      <x:c r="AG156" s="42" t="n">
        <x:f>(O156+S156)/'Inputs &amp; Summary'!$B$4</x:f>
        <x:v>0.6</x:v>
      </x:c>
      <x:c r="AH156" s="40" t="n">
        <x:f>U156-O156-S156</x:f>
        <x:v>-168535.24278029738</x:v>
      </x:c>
      <x:c r="AI156" s="40" t="n">
        <x:f>AC156-Y156</x:f>
        <x:v>-183799.75295985985</x:v>
      </x:c>
      <x:c r="AJ156" s="40" t="n">
        <x:f>AH156-AI156</x:f>
        <x:v>15264.510179562465</x:v>
      </x:c>
    </x:row>
    <x:row r="157">
      <x:c r="A157" t="n">
        <x:f>A156+1</x:f>
        <x:v>153</x:v>
      </x:c>
      <x:c r="B157" t="n">
        <x:f>INT((A157-1)/12)+1</x:f>
        <x:v>13</x:v>
      </x:c>
      <x:c r="C157" t="n">
        <x:f>MOD(A157-1,12)+1</x:f>
        <x:v>9</x:v>
      </x:c>
      <x:c r="D157" s="40" t="n">
        <x:f>O156</x:f>
        <x:v>240853.5461593728</x:v>
      </x:c>
      <x:c r="E157" s="40" t="n">
        <x:f>D157*'Inputs &amp; Summary'!$B$15</x:f>
        <x:v>894.8478947076464</x:v>
      </x:c>
      <x:c r="F157" s="40" t="n">
        <x:f>IF(D157&lt;=0.00000001,0,MIN('Inputs &amp; Summary'!$B$18,D157+E157))</x:f>
        <x:v>2324.586407999052</x:v>
      </x:c>
      <x:c r="G157" s="40" t="n">
        <x:f>IF(ABS(MAX(0,D157+E157-F157))&lt;0.00000001,0,MAX(0,D157+E157-F157))</x:f>
        <x:v>239423.8076460814</x:v>
      </x:c>
      <x:c r="H157" s="40" t="n">
        <x:f>MAX(0,'Inputs &amp; Summary'!$B$18-F157)</x:f>
        <x:v>0</x:v>
      </x:c>
      <x:c r="I157" s="40" t="n">
        <x:f>S156</x:f>
        <x:v>179146.4538406272</x:v>
      </x:c>
      <x:c r="J157" s="40" t="n">
        <x:f>I157*'Inputs &amp; Summary'!$B$16</x:f>
        <x:v>970.376624970064</x:v>
      </x:c>
      <x:c r="K157" s="40" t="n">
        <x:f>IF(C157=1,J157,K156+J157)</x:f>
        <x:v>8458.008407475972</x:v>
      </x:c>
      <x:c r="L157" s="40" t="n">
        <x:f>IF(C157=12,K157*'Inputs &amp; Summary'!$B$11*'Inputs &amp; Summary'!$B$12,0)</x:f>
        <x:v>0</x:v>
      </x:c>
      <x:c r="M157" s="40" t="n">
        <x:f>MIN(L157,G157)</x:f>
        <x:v>0</x:v>
      </x:c>
      <x:c r="N157" s="40" t="n">
        <x:f>MAX(0,L157-M157)</x:f>
        <x:v>0</x:v>
      </x:c>
      <x:c r="O157" s="40" t="n">
        <x:f>IF(ABS(MAX(0,G157-M157))&lt;0.00000001,0,MAX(0,G157-M157))</x:f>
        <x:v>239423.8076460814</x:v>
      </x:c>
      <x:c r="P157" s="40" t="n">
        <x:f>MAX(0,D157-O157)</x:f>
        <x:v>1429.738513291406</x:v>
      </x:c>
      <x:c r="Q157" s="40" t="n">
        <x:f>MAX(0,'Inputs &amp; Summary'!$B$19*'Inputs &amp; Summary'!$B$4-O157-I157)</x:f>
        <x:v>36429.738513291406</x:v>
      </x:c>
      <x:c r="R157" s="40" t="n">
        <x:f>MIN(P157,Q157)</x:f>
        <x:v>1429.738513291406</x:v>
      </x:c>
      <x:c r="S157" s="40" t="n">
        <x:f>I157+R157</x:f>
        <x:v>180576.1923539186</x:v>
      </x:c>
      <x:c r="T157" s="40" t="n">
        <x:f>U156</x:f>
        <x:v>251464.75721970262</x:v>
      </x:c>
      <x:c r="U157" s="40" t="n">
        <x:f>T157*(1+'Inputs &amp; Summary'!$B$17)+R157+N157+H157</x:f>
        <x:v>254118.51315416265</x:v>
      </x:c>
      <x:c r="V157" s="40" t="n">
        <x:f>Y156</x:f>
        <x:v>264276.3988713373</x:v>
      </x:c>
      <x:c r="W157" s="40" t="n">
        <x:f>V157*'Inputs &amp; Summary'!$B$15</x:f>
        <x:v>981.871277886234</x:v>
      </x:c>
      <x:c r="X157" s="40" t="n">
        <x:f>IF(V157&lt;=0.00000001,0,MIN('Inputs &amp; Summary'!$B$18,V157+W157))</x:f>
        <x:v>2324.586407999052</x:v>
      </x:c>
      <x:c r="Y157" s="40" t="n">
        <x:f>IF(ABS(MAX(0,V157+W157-X157))&lt;0.00000001,0,MAX(0,V157+W157-X157))</x:f>
        <x:v>262933.68374122446</x:v>
      </x:c>
      <x:c r="Z157" s="40" t="n">
        <x:f>MAX(0,'Inputs &amp; Summary'!$B$18-X157)</x:f>
        <x:v>0</x:v>
      </x:c>
      <x:c r="AA157" s="40" t="n">
        <x:f>AC156</x:f>
        <x:v>80476.64591147743</x:v>
      </x:c>
      <x:c r="AB157" s="40" t="n">
        <x:f>J157</x:f>
        <x:v>970.376624970064</x:v>
      </x:c>
      <x:c r="AC157" s="40" t="n">
        <x:f>AA157*(1+'Inputs &amp; Summary'!$B$17)+Z157+AB157</x:f>
        <x:v>81838.74667975082</x:v>
      </x:c>
      <x:c r="AD157" s="40" t="n">
        <x:f>F157+H157+J157</x:f>
        <x:v>3294.963032969116</x:v>
      </x:c>
      <x:c r="AE157" s="40" t="n">
        <x:f>X157+Z157+AB157</x:f>
        <x:v>3294.963032969116</x:v>
      </x:c>
      <x:c r="AF157" s="40" t="n">
        <x:f>AD157-AE157</x:f>
        <x:v>0</x:v>
      </x:c>
      <x:c r="AG157" s="42" t="n">
        <x:f>(O157+S157)/'Inputs &amp; Summary'!$B$4</x:f>
        <x:v>0.6</x:v>
      </x:c>
      <x:c r="AH157" s="40" t="n">
        <x:f>U157-O157-S157</x:f>
        <x:v>-165881.48684583735</x:v>
      </x:c>
      <x:c r="AI157" s="40" t="n">
        <x:f>AC157-Y157</x:f>
        <x:v>-181094.93706147364</x:v>
      </x:c>
      <x:c r="AJ157" s="40" t="n">
        <x:f>AH157-AI157</x:f>
        <x:v>15213.450215636287</x:v>
      </x:c>
    </x:row>
    <x:row r="158">
      <x:c r="A158" t="n">
        <x:f>A157+1</x:f>
        <x:v>154</x:v>
      </x:c>
      <x:c r="B158" t="n">
        <x:f>INT((A158-1)/12)+1</x:f>
        <x:v>13</x:v>
      </x:c>
      <x:c r="C158" t="n">
        <x:f>MOD(A158-1,12)+1</x:f>
        <x:v>10</x:v>
      </x:c>
      <x:c r="D158" s="40" t="n">
        <x:f>O157</x:f>
        <x:v>239423.8076460814</x:v>
      </x:c>
      <x:c r="E158" s="40" t="n">
        <x:f>D158*'Inputs &amp; Summary'!$B$15</x:f>
        <x:v>889.5359592223592</x:v>
      </x:c>
      <x:c r="F158" s="40" t="n">
        <x:f>IF(D158&lt;=0.00000001,0,MIN('Inputs &amp; Summary'!$B$18,D158+E158))</x:f>
        <x:v>2324.586407999052</x:v>
      </x:c>
      <x:c r="G158" s="40" t="n">
        <x:f>IF(ABS(MAX(0,D158+E158-F158))&lt;0.00000001,0,MAX(0,D158+E158-F158))</x:f>
        <x:v>237988.75719730472</x:v>
      </x:c>
      <x:c r="H158" s="40" t="n">
        <x:f>MAX(0,'Inputs &amp; Summary'!$B$18-F158)</x:f>
        <x:v>0</x:v>
      </x:c>
      <x:c r="I158" s="40" t="n">
        <x:f>S157</x:f>
        <x:v>180576.1923539186</x:v>
      </x:c>
      <x:c r="J158" s="40" t="n">
        <x:f>I158*'Inputs &amp; Summary'!$B$16</x:f>
        <x:v>978.1210419170591</x:v>
      </x:c>
      <x:c r="K158" s="40" t="n">
        <x:f>IF(C158=1,J158,K157+J158)</x:f>
        <x:v>9436.12944939303</x:v>
      </x:c>
      <x:c r="L158" s="40" t="n">
        <x:f>IF(C158=12,K158*'Inputs &amp; Summary'!$B$11*'Inputs &amp; Summary'!$B$12,0)</x:f>
        <x:v>0</x:v>
      </x:c>
      <x:c r="M158" s="40" t="n">
        <x:f>MIN(L158,G158)</x:f>
        <x:v>0</x:v>
      </x:c>
      <x:c r="N158" s="40" t="n">
        <x:f>MAX(0,L158-M158)</x:f>
        <x:v>0</x:v>
      </x:c>
      <x:c r="O158" s="40" t="n">
        <x:f>IF(ABS(MAX(0,G158-M158))&lt;0.00000001,0,MAX(0,G158-M158))</x:f>
        <x:v>237988.75719730472</x:v>
      </x:c>
      <x:c r="P158" s="40" t="n">
        <x:f>MAX(0,D158-O158)</x:f>
        <x:v>1435.0504487766884</x:v>
      </x:c>
      <x:c r="Q158" s="40" t="n">
        <x:f>MAX(0,'Inputs &amp; Summary'!$B$19*'Inputs &amp; Summary'!$B$4-O158-I158)</x:f>
        <x:v>36435.05044877669</x:v>
      </x:c>
      <x:c r="R158" s="40" t="n">
        <x:f>MIN(P158,Q158)</x:f>
        <x:v>1435.0504487766884</x:v>
      </x:c>
      <x:c r="S158" s="40" t="n">
        <x:f>I158+R158</x:f>
        <x:v>182011.24280269528</x:v>
      </x:c>
      <x:c r="T158" s="40" t="n">
        <x:f>U157</x:f>
        <x:v>254118.51315416265</x:v>
      </x:c>
      <x:c r="U158" s="40" t="n">
        <x:f>T158*(1+'Inputs &amp; Summary'!$B$17)+R158+N158+H158</x:f>
        <x:v>256790.49831530702</x:v>
      </x:c>
      <x:c r="V158" s="40" t="n">
        <x:f>Y157</x:f>
        <x:v>262933.68374122446</x:v>
      </x:c>
      <x:c r="W158" s="40" t="n">
        <x:f>V158*'Inputs &amp; Summary'!$B$15</x:f>
        <x:v>976.8826620799359</x:v>
      </x:c>
      <x:c r="X158" s="40" t="n">
        <x:f>IF(V158&lt;=0.00000001,0,MIN('Inputs &amp; Summary'!$B$18,V158+W158))</x:f>
        <x:v>2324.586407999052</x:v>
      </x:c>
      <x:c r="Y158" s="40" t="n">
        <x:f>IF(ABS(MAX(0,V158+W158-X158))&lt;0.00000001,0,MAX(0,V158+W158-X158))</x:f>
        <x:v>261585.97999530536</x:v>
      </x:c>
      <x:c r="Z158" s="40" t="n">
        <x:f>MAX(0,'Inputs &amp; Summary'!$B$18-X158)</x:f>
        <x:v>0</x:v>
      </x:c>
      <x:c r="AA158" s="40" t="n">
        <x:f>AC157</x:f>
        <x:v>81838.74667975082</x:v>
      </x:c>
      <x:c r="AB158" s="40" t="n">
        <x:f>J158</x:f>
        <x:v>978.1210419170591</x:v>
      </x:c>
      <x:c r="AC158" s="40" t="n">
        <x:f>AA158*(1+'Inputs &amp; Summary'!$B$17)+Z158+AB158</x:f>
        <x:v>83215.22195933586</x:v>
      </x:c>
      <x:c r="AD158" s="40" t="n">
        <x:f>F158+H158+J158</x:f>
        <x:v>3302.707449916111</x:v>
      </x:c>
      <x:c r="AE158" s="40" t="n">
        <x:f>X158+Z158+AB158</x:f>
        <x:v>3302.707449916111</x:v>
      </x:c>
      <x:c r="AF158" s="40" t="n">
        <x:f>AD158-AE158</x:f>
        <x:v>0</x:v>
      </x:c>
      <x:c r="AG158" s="42" t="n">
        <x:f>(O158+S158)/'Inputs &amp; Summary'!$B$4</x:f>
        <x:v>0.6</x:v>
      </x:c>
      <x:c r="AH158" s="40" t="n">
        <x:f>U158-O158-S158</x:f>
        <x:v>-163209.50168469298</x:v>
      </x:c>
      <x:c r="AI158" s="40" t="n">
        <x:f>AC158-Y158</x:f>
        <x:v>-178370.7580359695</x:v>
      </x:c>
      <x:c r="AJ158" s="40" t="n">
        <x:f>AH158-AI158</x:f>
        <x:v>15161.256351276534</x:v>
      </x:c>
    </x:row>
    <x:row r="159">
      <x:c r="A159" t="n">
        <x:f>A158+1</x:f>
        <x:v>155</x:v>
      </x:c>
      <x:c r="B159" t="n">
        <x:f>INT((A159-1)/12)+1</x:f>
        <x:v>13</x:v>
      </x:c>
      <x:c r="C159" t="n">
        <x:f>MOD(A159-1,12)+1</x:f>
        <x:v>11</x:v>
      </x:c>
      <x:c r="D159" s="40" t="n">
        <x:f>O158</x:f>
        <x:v>237988.75719730472</x:v>
      </x:c>
      <x:c r="E159" s="40" t="n">
        <x:f>D159*'Inputs &amp; Summary'!$B$15</x:f>
        <x:v>884.2042881991833</x:v>
      </x:c>
      <x:c r="F159" s="40" t="n">
        <x:f>IF(D159&lt;=0.00000001,0,MIN('Inputs &amp; Summary'!$B$18,D159+E159))</x:f>
        <x:v>2324.586407999052</x:v>
      </x:c>
      <x:c r="G159" s="40" t="n">
        <x:f>IF(ABS(MAX(0,D159+E159-F159))&lt;0.00000001,0,MAX(0,D159+E159-F159))</x:f>
        <x:v>236548.37507750487</x:v>
      </x:c>
      <x:c r="H159" s="40" t="n">
        <x:f>MAX(0,'Inputs &amp; Summary'!$B$18-F159)</x:f>
        <x:v>0</x:v>
      </x:c>
      <x:c r="I159" s="40" t="n">
        <x:f>S158</x:f>
        <x:v>182011.24280269528</x:v>
      </x:c>
      <x:c r="J159" s="40" t="n">
        <x:f>I159*'Inputs &amp; Summary'!$B$16</x:f>
        <x:v>985.8942318479328</x:v>
      </x:c>
      <x:c r="K159" s="40" t="n">
        <x:f>IF(C159=1,J159,K158+J159)</x:f>
        <x:v>10422.023681240964</x:v>
      </x:c>
      <x:c r="L159" s="40" t="n">
        <x:f>IF(C159=12,K159*'Inputs &amp; Summary'!$B$11*'Inputs &amp; Summary'!$B$12,0)</x:f>
        <x:v>0</x:v>
      </x:c>
      <x:c r="M159" s="40" t="n">
        <x:f>MIN(L159,G159)</x:f>
        <x:v>0</x:v>
      </x:c>
      <x:c r="N159" s="40" t="n">
        <x:f>MAX(0,L159-M159)</x:f>
        <x:v>0</x:v>
      </x:c>
      <x:c r="O159" s="40" t="n">
        <x:f>IF(ABS(MAX(0,G159-M159))&lt;0.00000001,0,MAX(0,G159-M159))</x:f>
        <x:v>236548.37507750487</x:v>
      </x:c>
      <x:c r="P159" s="40" t="n">
        <x:f>MAX(0,D159-O159)</x:f>
        <x:v>1440.3821197998477</x:v>
      </x:c>
      <x:c r="Q159" s="40" t="n">
        <x:f>MAX(0,'Inputs &amp; Summary'!$B$19*'Inputs &amp; Summary'!$B$4-O159-I159)</x:f>
        <x:v>36440.38211979985</x:v>
      </x:c>
      <x:c r="R159" s="40" t="n">
        <x:f>MIN(P159,Q159)</x:f>
        <x:v>1440.3821197998477</x:v>
      </x:c>
      <x:c r="S159" s="40" t="n">
        <x:f>I159+R159</x:f>
        <x:v>183451.62492249513</x:v>
      </x:c>
      <x:c r="T159" s="40" t="n">
        <x:f>U158</x:f>
        <x:v>256790.49831530702</x:v>
      </x:c>
      <x:c r="U159" s="40" t="n">
        <x:f>T159*(1+'Inputs &amp; Summary'!$B$17)+R159+N159+H159</x:f>
        <x:v>259480.82117035627</x:v>
      </x:c>
      <x:c r="V159" s="40" t="n">
        <x:f>Y158</x:f>
        <x:v>261585.97999530536</x:v>
      </x:c>
      <x:c r="W159" s="40" t="n">
        <x:f>V159*'Inputs &amp; Summary'!$B$15</x:f>
        <x:v>971.8755119716817</x:v>
      </x:c>
      <x:c r="X159" s="40" t="n">
        <x:f>IF(V159&lt;=0.00000001,0,MIN('Inputs &amp; Summary'!$B$18,V159+W159))</x:f>
        <x:v>2324.586407999052</x:v>
      </x:c>
      <x:c r="Y159" s="40" t="n">
        <x:f>IF(ABS(MAX(0,V159+W159-X159))&lt;0.00000001,0,MAX(0,V159+W159-X159))</x:f>
        <x:v>260233.26909927803</x:v>
      </x:c>
      <x:c r="Z159" s="40" t="n">
        <x:f>MAX(0,'Inputs &amp; Summary'!$B$18-X159)</x:f>
        <x:v>0</x:v>
      </x:c>
      <x:c r="AA159" s="40" t="n">
        <x:f>AC158</x:f>
        <x:v>83215.22195933586</x:v>
      </x:c>
      <x:c r="AB159" s="40" t="n">
        <x:f>J159</x:f>
        <x:v>985.8942318479328</x:v>
      </x:c>
      <x:c r="AC159" s="40" t="n">
        <x:f>AA159*(1+'Inputs &amp; Summary'!$B$17)+Z159+AB159</x:f>
        <x:v>84606.17049187711</x:v>
      </x:c>
      <x:c r="AD159" s="40" t="n">
        <x:f>F159+H159+J159</x:f>
        <x:v>3310.4806398469846</x:v>
      </x:c>
      <x:c r="AE159" s="40" t="n">
        <x:f>X159+Z159+AB159</x:f>
        <x:v>3310.4806398469846</x:v>
      </x:c>
      <x:c r="AF159" s="40" t="n">
        <x:f>AD159-AE159</x:f>
        <x:v>0</x:v>
      </x:c>
      <x:c r="AG159" s="42" t="n">
        <x:f>(O159+S159)/'Inputs &amp; Summary'!$B$4</x:f>
        <x:v>0.6</x:v>
      </x:c>
      <x:c r="AH159" s="40" t="n">
        <x:f>U159-O159-S159</x:f>
        <x:v>-160519.17882964373</x:v>
      </x:c>
      <x:c r="AI159" s="40" t="n">
        <x:f>AC159-Y159</x:f>
        <x:v>-175627.0986074009</x:v>
      </x:c>
      <x:c r="AJ159" s="40" t="n">
        <x:f>AH159-AI159</x:f>
        <x:v>15107.919777757168</x:v>
      </x:c>
    </x:row>
    <x:row r="160">
      <x:c r="A160" t="n">
        <x:f>A159+1</x:f>
        <x:v>156</x:v>
      </x:c>
      <x:c r="B160" t="n">
        <x:f>INT((A160-1)/12)+1</x:f>
        <x:v>13</x:v>
      </x:c>
      <x:c r="C160" t="n">
        <x:f>MOD(A160-1,12)+1</x:f>
        <x:v>12</x:v>
      </x:c>
      <x:c r="D160" s="40" t="n">
        <x:f>O159</x:f>
        <x:v>236548.37507750487</x:v>
      </x:c>
      <x:c r="E160" s="40" t="n">
        <x:f>D160*'Inputs &amp; Summary'!$B$15</x:f>
        <x:v>878.8528083142886</x:v>
      </x:c>
      <x:c r="F160" s="40" t="n">
        <x:f>IF(D160&lt;=0.00000001,0,MIN('Inputs &amp; Summary'!$B$18,D160+E160))</x:f>
        <x:v>2324.586407999052</x:v>
      </x:c>
      <x:c r="G160" s="40" t="n">
        <x:f>IF(ABS(MAX(0,D160+E160-F160))&lt;0.00000001,0,MAX(0,D160+E160-F160))</x:f>
        <x:v>235102.6414778201</x:v>
      </x:c>
      <x:c r="H160" s="40" t="n">
        <x:f>MAX(0,'Inputs &amp; Summary'!$B$18-F160)</x:f>
        <x:v>0</x:v>
      </x:c>
      <x:c r="I160" s="40" t="n">
        <x:f>S159</x:f>
        <x:v>183451.62492249513</x:v>
      </x:c>
      <x:c r="J160" s="40" t="n">
        <x:f>I160*'Inputs &amp; Summary'!$B$16</x:f>
        <x:v>993.6963016635153</x:v>
      </x:c>
      <x:c r="K160" s="40" t="n">
        <x:f>IF(C160=1,J160,K159+J160)</x:f>
        <x:v>11415.719982904478</x:v>
      </x:c>
      <x:c r="L160" s="40" t="n">
        <x:f>IF(C160=12,K160*'Inputs &amp; Summary'!$B$11*'Inputs &amp; Summary'!$B$12,0)</x:f>
        <x:v>3995.501994016567</x:v>
      </x:c>
      <x:c r="M160" s="40" t="n">
        <x:f>MIN(L160,G160)</x:f>
        <x:v>3995.501994016567</x:v>
      </x:c>
      <x:c r="N160" s="40" t="n">
        <x:f>MAX(0,L160-M160)</x:f>
        <x:v>0</x:v>
      </x:c>
      <x:c r="O160" s="40" t="n">
        <x:f>IF(ABS(MAX(0,G160-M160))&lt;0.00000001,0,MAX(0,G160-M160))</x:f>
        <x:v>231107.13948380353</x:v>
      </x:c>
      <x:c r="P160" s="40" t="n">
        <x:f>MAX(0,D160-O160)</x:f>
        <x:v>5441.235593701334</x:v>
      </x:c>
      <x:c r="Q160" s="40" t="n">
        <x:f>MAX(0,'Inputs &amp; Summary'!$B$19*'Inputs &amp; Summary'!$B$4-O160-I160)</x:f>
        <x:v>40441.235593701334</x:v>
      </x:c>
      <x:c r="R160" s="40" t="n">
        <x:f>MIN(P160,Q160)</x:f>
        <x:v>5441.235593701334</x:v>
      </x:c>
      <x:c r="S160" s="40" t="n">
        <x:f>I160+R160</x:f>
        <x:v>188892.86051619647</x:v>
      </x:c>
      <x:c r="T160" s="40" t="n">
        <x:f>U159</x:f>
        <x:v>259480.82117035627</x:v>
      </x:c>
      <x:c r="U160" s="40" t="n">
        <x:f>T160*(1+'Inputs &amp; Summary'!$B$17)+R160+N160+H160</x:f>
        <x:v>266185.09278184106</x:v>
      </x:c>
      <x:c r="V160" s="40" t="n">
        <x:f>Y159</x:f>
        <x:v>260233.26909927803</x:v>
      </x:c>
      <x:c r="W160" s="40" t="n">
        <x:f>V160*'Inputs &amp; Summary'!$B$15</x:f>
        <x:v>966.8497587006163</x:v>
      </x:c>
      <x:c r="X160" s="40" t="n">
        <x:f>IF(V160&lt;=0.00000001,0,MIN('Inputs &amp; Summary'!$B$18,V160+W160))</x:f>
        <x:v>2324.586407999052</x:v>
      </x:c>
      <x:c r="Y160" s="40" t="n">
        <x:f>IF(ABS(MAX(0,V160+W160-X160))&lt;0.00000001,0,MAX(0,V160+W160-X160))</x:f>
        <x:v>258875.5324499796</x:v>
      </x:c>
      <x:c r="Z160" s="40" t="n">
        <x:f>MAX(0,'Inputs &amp; Summary'!$B$18-X160)</x:f>
        <x:v>0</x:v>
      </x:c>
      <x:c r="AA160" s="40" t="n">
        <x:f>AC159</x:f>
        <x:v>84606.17049187711</x:v>
      </x:c>
      <x:c r="AB160" s="40" t="n">
        <x:f>J160</x:f>
        <x:v>993.6963016635153</x:v>
      </x:c>
      <x:c r="AC160" s="40" t="n">
        <x:f>AA160*(1+'Inputs &amp; Summary'!$B$17)+Z160+AB160</x:f>
        <x:v>86011.69160654987</x:v>
      </x:c>
      <x:c r="AD160" s="40" t="n">
        <x:f>F160+H160+J160</x:f>
        <x:v>3318.2827096625674</x:v>
      </x:c>
      <x:c r="AE160" s="40" t="n">
        <x:f>X160+Z160+AB160</x:f>
        <x:v>3318.2827096625674</x:v>
      </x:c>
      <x:c r="AF160" s="40" t="n">
        <x:f>AD160-AE160</x:f>
        <x:v>0</x:v>
      </x:c>
      <x:c r="AG160" s="42" t="n">
        <x:f>(O160+S160)/'Inputs &amp; Summary'!$B$4</x:f>
        <x:v>0.6</x:v>
      </x:c>
      <x:c r="AH160" s="40" t="n">
        <x:f>U160-O160-S160</x:f>
        <x:v>-153814.90721815894</x:v>
      </x:c>
      <x:c r="AI160" s="40" t="n">
        <x:f>AC160-Y160</x:f>
        <x:v>-172863.84084342973</x:v>
      </x:c>
      <x:c r="AJ160" s="40" t="n">
        <x:f>AH160-AI160</x:f>
        <x:v>19048.933625270787</x:v>
      </x:c>
    </x:row>
    <x:row r="161">
      <x:c r="A161" t="n">
        <x:f>A160+1</x:f>
        <x:v>157</x:v>
      </x:c>
      <x:c r="B161" t="n">
        <x:f>INT((A161-1)/12)+1</x:f>
        <x:v>14</x:v>
      </x:c>
      <x:c r="C161" t="n">
        <x:f>MOD(A161-1,12)+1</x:f>
        <x:v>1</x:v>
      </x:c>
      <x:c r="D161" s="40" t="n">
        <x:f>O160</x:f>
        <x:v>231107.13948380353</x:v>
      </x:c>
      <x:c r="E161" s="40" t="n">
        <x:f>D161*'Inputs &amp; Summary'!$B$15</x:f>
        <x:v>858.6368792018724</x:v>
      </x:c>
      <x:c r="F161" s="40" t="n">
        <x:f>IF(D161&lt;=0.00000001,0,MIN('Inputs &amp; Summary'!$B$18,D161+E161))</x:f>
        <x:v>2324.586407999052</x:v>
      </x:c>
      <x:c r="G161" s="40" t="n">
        <x:f>IF(ABS(MAX(0,D161+E161-F161))&lt;0.00000001,0,MAX(0,D161+E161-F161))</x:f>
        <x:v>229641.18995500635</x:v>
      </x:c>
      <x:c r="H161" s="40" t="n">
        <x:f>MAX(0,'Inputs &amp; Summary'!$B$18-F161)</x:f>
        <x:v>0</x:v>
      </x:c>
      <x:c r="I161" s="40" t="n">
        <x:f>S160</x:f>
        <x:v>188892.86051619647</x:v>
      </x:c>
      <x:c r="J161" s="40" t="n">
        <x:f>I161*'Inputs &amp; Summary'!$B$16</x:f>
        <x:v>1023.1696611293976</x:v>
      </x:c>
      <x:c r="K161" s="40" t="n">
        <x:f>IF(C161=1,J161,K160+J161)</x:f>
        <x:v>1023.1696611293976</x:v>
      </x:c>
      <x:c r="L161" s="40" t="n">
        <x:f>IF(C161=12,K161*'Inputs &amp; Summary'!$B$11*'Inputs &amp; Summary'!$B$12,0)</x:f>
        <x:v>0</x:v>
      </x:c>
      <x:c r="M161" s="40" t="n">
        <x:f>MIN(L161,G161)</x:f>
        <x:v>0</x:v>
      </x:c>
      <x:c r="N161" s="40" t="n">
        <x:f>MAX(0,L161-M161)</x:f>
        <x:v>0</x:v>
      </x:c>
      <x:c r="O161" s="40" t="n">
        <x:f>IF(ABS(MAX(0,G161-M161))&lt;0.00000001,0,MAX(0,G161-M161))</x:f>
        <x:v>229641.18995500635</x:v>
      </x:c>
      <x:c r="P161" s="40" t="n">
        <x:f>MAX(0,D161-O161)</x:f>
        <x:v>1465.9495287971804</x:v>
      </x:c>
      <x:c r="Q161" s="40" t="n">
        <x:f>MAX(0,'Inputs &amp; Summary'!$B$19*'Inputs &amp; Summary'!$B$4-O161-I161)</x:f>
        <x:v>36465.94952879718</x:v>
      </x:c>
      <x:c r="R161" s="40" t="n">
        <x:f>MIN(P161,Q161)</x:f>
        <x:v>1465.9495287971804</x:v>
      </x:c>
      <x:c r="S161" s="40" t="n">
        <x:f>I161+R161</x:f>
        <x:v>190358.81004499365</x:v>
      </x:c>
      <x:c r="T161" s="40" t="n">
        <x:f>U160</x:f>
        <x:v>266185.09278184106</x:v>
      </x:c>
      <x:c r="U161" s="40" t="n">
        <x:f>T161*(1+'Inputs &amp; Summary'!$B$17)+R161+N161+H161</x:f>
        <x:v>268946.71170949435</x:v>
      </x:c>
      <x:c r="V161" s="40" t="n">
        <x:f>Y160</x:f>
        <x:v>258875.5324499796</x:v>
      </x:c>
      <x:c r="W161" s="40" t="n">
        <x:f>V161*'Inputs &amp; Summary'!$B$15</x:f>
        <x:v>961.8053331500448</x:v>
      </x:c>
      <x:c r="X161" s="40" t="n">
        <x:f>IF(V161&lt;=0.00000001,0,MIN('Inputs &amp; Summary'!$B$18,V161+W161))</x:f>
        <x:v>2324.586407999052</x:v>
      </x:c>
      <x:c r="Y161" s="40" t="n">
        <x:f>IF(ABS(MAX(0,V161+W161-X161))&lt;0.00000001,0,MAX(0,V161+W161-X161))</x:f>
        <x:v>257512.7513751306</x:v>
      </x:c>
      <x:c r="Z161" s="40" t="n">
        <x:f>MAX(0,'Inputs &amp; Summary'!$B$18-X161)</x:f>
        <x:v>0</x:v>
      </x:c>
      <x:c r="AA161" s="40" t="n">
        <x:f>AC160</x:f>
        <x:v>86011.69160654987</x:v>
      </x:c>
      <x:c r="AB161" s="40" t="n">
        <x:f>J161</x:f>
        <x:v>1023.1696611293976</x:v>
      </x:c>
      <x:c r="AC161" s="40" t="n">
        <x:f>AA161*(1+'Inputs &amp; Summary'!$B$17)+Z161+AB161</x:f>
        <x:v>87453.52752578484</x:v>
      </x:c>
      <x:c r="AD161" s="40" t="n">
        <x:f>F161+H161+J161</x:f>
        <x:v>3347.75606912845</x:v>
      </x:c>
      <x:c r="AE161" s="40" t="n">
        <x:f>X161+Z161+AB161</x:f>
        <x:v>3347.75606912845</x:v>
      </x:c>
      <x:c r="AF161" s="40" t="n">
        <x:f>AD161-AE161</x:f>
        <x:v>0</x:v>
      </x:c>
      <x:c r="AG161" s="42" t="n">
        <x:f>(O161+S161)/'Inputs &amp; Summary'!$B$4</x:f>
        <x:v>0.6</x:v>
      </x:c>
      <x:c r="AH161" s="40" t="n">
        <x:f>U161-O161-S161</x:f>
        <x:v>-151053.28829050565</x:v>
      </x:c>
      <x:c r="AI161" s="40" t="n">
        <x:f>AC161-Y161</x:f>
        <x:v>-170059.22384934576</x:v>
      </x:c>
      <x:c r="AJ161" s="40" t="n">
        <x:f>AH161-AI161</x:f>
        <x:v>19005.93555884011</x:v>
      </x:c>
    </x:row>
    <x:row r="162">
      <x:c r="A162" t="n">
        <x:f>A161+1</x:f>
        <x:v>158</x:v>
      </x:c>
      <x:c r="B162" t="n">
        <x:f>INT((A162-1)/12)+1</x:f>
        <x:v>14</x:v>
      </x:c>
      <x:c r="C162" t="n">
        <x:f>MOD(A162-1,12)+1</x:f>
        <x:v>2</x:v>
      </x:c>
      <x:c r="D162" s="40" t="n">
        <x:f>O161</x:f>
        <x:v>229641.18995500635</x:v>
      </x:c>
      <x:c r="E162" s="40" t="n">
        <x:f>D162*'Inputs &amp; Summary'!$B$15</x:f>
        <x:v>853.1904082218529</x:v>
      </x:c>
      <x:c r="F162" s="40" t="n">
        <x:f>IF(D162&lt;=0.00000001,0,MIN('Inputs &amp; Summary'!$B$18,D162+E162))</x:f>
        <x:v>2324.586407999052</x:v>
      </x:c>
      <x:c r="G162" s="40" t="n">
        <x:f>IF(ABS(MAX(0,D162+E162-F162))&lt;0.00000001,0,MAX(0,D162+E162-F162))</x:f>
        <x:v>228169.79395522916</x:v>
      </x:c>
      <x:c r="H162" s="40" t="n">
        <x:f>MAX(0,'Inputs &amp; Summary'!$B$18-F162)</x:f>
        <x:v>0</x:v>
      </x:c>
      <x:c r="I162" s="40" t="n">
        <x:f>S161</x:f>
        <x:v>190358.81004499365</x:v>
      </x:c>
      <x:c r="J162" s="40" t="n">
        <x:f>I162*'Inputs &amp; Summary'!$B$16</x:f>
        <x:v>1031.110221077049</x:v>
      </x:c>
      <x:c r="K162" s="40" t="n">
        <x:f>IF(C162=1,J162,K161+J162)</x:f>
        <x:v>2054.2798822064465</x:v>
      </x:c>
      <x:c r="L162" s="40" t="n">
        <x:f>IF(C162=12,K162*'Inputs &amp; Summary'!$B$11*'Inputs &amp; Summary'!$B$12,0)</x:f>
        <x:v>0</x:v>
      </x:c>
      <x:c r="M162" s="40" t="n">
        <x:f>MIN(L162,G162)</x:f>
        <x:v>0</x:v>
      </x:c>
      <x:c r="N162" s="40" t="n">
        <x:f>MAX(0,L162-M162)</x:f>
        <x:v>0</x:v>
      </x:c>
      <x:c r="O162" s="40" t="n">
        <x:f>IF(ABS(MAX(0,G162-M162))&lt;0.00000001,0,MAX(0,G162-M162))</x:f>
        <x:v>228169.79395522916</x:v>
      </x:c>
      <x:c r="P162" s="40" t="n">
        <x:f>MAX(0,D162-O162)</x:f>
        <x:v>1471.395999777189</x:v>
      </x:c>
      <x:c r="Q162" s="40" t="n">
        <x:f>MAX(0,'Inputs &amp; Summary'!$B$19*'Inputs &amp; Summary'!$B$4-O162-I162)</x:f>
        <x:v>36471.39599977719</x:v>
      </x:c>
      <x:c r="R162" s="40" t="n">
        <x:f>MIN(P162,Q162)</x:f>
        <x:v>1471.395999777189</x:v>
      </x:c>
      <x:c r="S162" s="40" t="n">
        <x:f>I162+R162</x:f>
        <x:v>191830.20604477084</x:v>
      </x:c>
      <x:c r="T162" s="40" t="n">
        <x:f>U161</x:f>
        <x:v>268946.71170949435</x:v>
      </x:c>
      <x:c r="U162" s="40" t="n">
        <x:f>T162*(1+'Inputs &amp; Summary'!$B$17)+R162+N162+H162</x:f>
        <x:v>271727.2194279003</x:v>
      </x:c>
      <x:c r="V162" s="40" t="n">
        <x:f>Y161</x:f>
        <x:v>257512.7513751306</x:v>
      </x:c>
      <x:c r="W162" s="40" t="n">
        <x:f>V162*'Inputs &amp; Summary'!$B$15</x:f>
        <x:v>956.7421659464816</x:v>
      </x:c>
      <x:c r="X162" s="40" t="n">
        <x:f>IF(V162&lt;=0.00000001,0,MIN('Inputs &amp; Summary'!$B$18,V162+W162))</x:f>
        <x:v>2324.586407999052</x:v>
      </x:c>
      <x:c r="Y162" s="40" t="n">
        <x:f>IF(ABS(MAX(0,V162+W162-X162))&lt;0.00000001,0,MAX(0,V162+W162-X162))</x:f>
        <x:v>256144.90713307806</x:v>
      </x:c>
      <x:c r="Z162" s="40" t="n">
        <x:f>MAX(0,'Inputs &amp; Summary'!$B$18-X162)</x:f>
        <x:v>0</x:v>
      </x:c>
      <x:c r="AA162" s="40" t="n">
        <x:f>AC161</x:f>
        <x:v>87453.52752578484</x:v>
      </x:c>
      <x:c r="AB162" s="40" t="n">
        <x:f>J162</x:f>
        <x:v>1031.110221077049</x:v>
      </x:c>
      <x:c r="AC162" s="40" t="n">
        <x:f>AA162*(1+'Inputs &amp; Summary'!$B$17)+Z162+AB162</x:f>
        <x:v>88910.32221421126</x:v>
      </x:c>
      <x:c r="AD162" s="40" t="n">
        <x:f>F162+H162+J162</x:f>
        <x:v>3355.696629076101</x:v>
      </x:c>
      <x:c r="AE162" s="40" t="n">
        <x:f>X162+Z162+AB162</x:f>
        <x:v>3355.696629076101</x:v>
      </x:c>
      <x:c r="AF162" s="40" t="n">
        <x:f>AD162-AE162</x:f>
        <x:v>0</x:v>
      </x:c>
      <x:c r="AG162" s="42" t="n">
        <x:f>(O162+S162)/'Inputs &amp; Summary'!$B$4</x:f>
        <x:v>0.6</x:v>
      </x:c>
      <x:c r="AH162" s="40" t="n">
        <x:f>U162-O162-S162</x:f>
        <x:v>-148272.78057209973</x:v>
      </x:c>
      <x:c r="AI162" s="40" t="n">
        <x:f>AC162-Y162</x:f>
        <x:v>-167234.5849188668</x:v>
      </x:c>
      <x:c r="AJ162" s="40" t="n">
        <x:f>AH162-AI162</x:f>
        <x:v>18961.80434676708</x:v>
      </x:c>
    </x:row>
    <x:row r="163">
      <x:c r="A163" t="n">
        <x:f>A162+1</x:f>
        <x:v>159</x:v>
      </x:c>
      <x:c r="B163" t="n">
        <x:f>INT((A163-1)/12)+1</x:f>
        <x:v>14</x:v>
      </x:c>
      <x:c r="C163" t="n">
        <x:f>MOD(A163-1,12)+1</x:f>
        <x:v>3</x:v>
      </x:c>
      <x:c r="D163" s="40" t="n">
        <x:f>O162</x:f>
        <x:v>228169.79395522916</x:v>
      </x:c>
      <x:c r="E163" s="40" t="n">
        <x:f>D163*'Inputs &amp; Summary'!$B$15</x:f>
        <x:v>847.7237018615876</x:v>
      </x:c>
      <x:c r="F163" s="40" t="n">
        <x:f>IF(D163&lt;=0.00000001,0,MIN('Inputs &amp; Summary'!$B$18,D163+E163))</x:f>
        <x:v>2324.586407999052</x:v>
      </x:c>
      <x:c r="G163" s="40" t="n">
        <x:f>IF(ABS(MAX(0,D163+E163-F163))&lt;0.00000001,0,MAX(0,D163+E163-F163))</x:f>
        <x:v>226692.93124909172</x:v>
      </x:c>
      <x:c r="H163" s="40" t="n">
        <x:f>MAX(0,'Inputs &amp; Summary'!$B$18-F163)</x:f>
        <x:v>0</x:v>
      </x:c>
      <x:c r="I163" s="40" t="n">
        <x:f>S162</x:f>
        <x:v>191830.20604477084</x:v>
      </x:c>
      <x:c r="J163" s="40" t="n">
        <x:f>I163*'Inputs &amp; Summary'!$B$16</x:f>
        <x:v>1039.0802827425086</x:v>
      </x:c>
      <x:c r="K163" s="40" t="n">
        <x:f>IF(C163=1,J163,K162+J163)</x:f>
        <x:v>3093.360164948955</x:v>
      </x:c>
      <x:c r="L163" s="40" t="n">
        <x:f>IF(C163=12,K163*'Inputs &amp; Summary'!$B$11*'Inputs &amp; Summary'!$B$12,0)</x:f>
        <x:v>0</x:v>
      </x:c>
      <x:c r="M163" s="40" t="n">
        <x:f>MIN(L163,G163)</x:f>
        <x:v>0</x:v>
      </x:c>
      <x:c r="N163" s="40" t="n">
        <x:f>MAX(0,L163-M163)</x:f>
        <x:v>0</x:v>
      </x:c>
      <x:c r="O163" s="40" t="n">
        <x:f>IF(ABS(MAX(0,G163-M163))&lt;0.00000001,0,MAX(0,G163-M163))</x:f>
        <x:v>226692.93124909172</x:v>
      </x:c>
      <x:c r="P163" s="40" t="n">
        <x:f>MAX(0,D163-O163)</x:f>
        <x:v>1476.8627061374427</x:v>
      </x:c>
      <x:c r="Q163" s="40" t="n">
        <x:f>MAX(0,'Inputs &amp; Summary'!$B$19*'Inputs &amp; Summary'!$B$4-O163-I163)</x:f>
        <x:v>36476.86270613744</x:v>
      </x:c>
      <x:c r="R163" s="40" t="n">
        <x:f>MIN(P163,Q163)</x:f>
        <x:v>1476.8627061374427</x:v>
      </x:c>
      <x:c r="S163" s="40" t="n">
        <x:f>I163+R163</x:f>
        <x:v>193307.06875090828</x:v>
      </x:c>
      <x:c r="T163" s="40" t="n">
        <x:f>U162</x:f>
        <x:v>271727.2194279003</x:v>
      </x:c>
      <x:c r="U163" s="40" t="n">
        <x:f>T163*(1+'Inputs &amp; Summary'!$B$17)+R163+N163+H163</x:f>
        <x:v>274526.72811458306</x:v>
      </x:c>
      <x:c r="V163" s="40" t="n">
        <x:f>Y162</x:f>
        <x:v>256144.90713307806</x:v>
      </x:c>
      <x:c r="W163" s="40" t="n">
        <x:f>V163*'Inputs &amp; Summary'!$B$15</x:f>
        <x:v>951.6601874586964</x:v>
      </x:c>
      <x:c r="X163" s="40" t="n">
        <x:f>IF(V163&lt;=0.00000001,0,MIN('Inputs &amp; Summary'!$B$18,V163+W163))</x:f>
        <x:v>2324.586407999052</x:v>
      </x:c>
      <x:c r="Y163" s="40" t="n">
        <x:f>IF(ABS(MAX(0,V163+W163-X163))&lt;0.00000001,0,MAX(0,V163+W163-X163))</x:f>
        <x:v>254771.98091253772</x:v>
      </x:c>
      <x:c r="Z163" s="40" t="n">
        <x:f>MAX(0,'Inputs &amp; Summary'!$B$18-X163)</x:f>
        <x:v>0</x:v>
      </x:c>
      <x:c r="AA163" s="40" t="n">
        <x:f>AC162</x:f>
        <x:v>88910.32221421126</x:v>
      </x:c>
      <x:c r="AB163" s="40" t="n">
        <x:f>J163</x:f>
        <x:v>1039.0802827425086</x:v>
      </x:c>
      <x:c r="AC163" s="40" t="n">
        <x:f>AA163*(1+'Inputs &amp; Summary'!$B$17)+Z163+AB163</x:f>
        <x:v>90382.1779861124</x:v>
      </x:c>
      <x:c r="AD163" s="40" t="n">
        <x:f>F163+H163+J163</x:f>
        <x:v>3363.6666907415606</x:v>
      </x:c>
      <x:c r="AE163" s="40" t="n">
        <x:f>X163+Z163+AB163</x:f>
        <x:v>3363.6666907415606</x:v>
      </x:c>
      <x:c r="AF163" s="40" t="n">
        <x:f>AD163-AE163</x:f>
        <x:v>0</x:v>
      </x:c>
      <x:c r="AG163" s="42" t="n">
        <x:f>(O163+S163)/'Inputs &amp; Summary'!$B$4</x:f>
        <x:v>0.6</x:v>
      </x:c>
      <x:c r="AH163" s="40" t="n">
        <x:f>U163-O163-S163</x:f>
        <x:v>-145473.27188541694</x:v>
      </x:c>
      <x:c r="AI163" s="40" t="n">
        <x:f>AC163-Y163</x:f>
        <x:v>-164389.80292642533</x:v>
      </x:c>
      <x:c r="AJ163" s="40" t="n">
        <x:f>AH163-AI163</x:f>
        <x:v>18916.53104100839</x:v>
      </x:c>
    </x:row>
    <x:row r="164">
      <x:c r="A164" t="n">
        <x:f>A163+1</x:f>
        <x:v>160</x:v>
      </x:c>
      <x:c r="B164" t="n">
        <x:f>INT((A164-1)/12)+1</x:f>
        <x:v>14</x:v>
      </x:c>
      <x:c r="C164" t="n">
        <x:f>MOD(A164-1,12)+1</x:f>
        <x:v>4</x:v>
      </x:c>
      <x:c r="D164" s="40" t="n">
        <x:f>O163</x:f>
        <x:v>226692.93124909172</x:v>
      </x:c>
      <x:c r="E164" s="40" t="n">
        <x:f>D164*'Inputs &amp; Summary'!$B$15</x:f>
        <x:v>842.2366849401725</x:v>
      </x:c>
      <x:c r="F164" s="40" t="n">
        <x:f>IF(D164&lt;=0.00000001,0,MIN('Inputs &amp; Summary'!$B$18,D164+E164))</x:f>
        <x:v>2324.586407999052</x:v>
      </x:c>
      <x:c r="G164" s="40" t="n">
        <x:f>IF(ABS(MAX(0,D164+E164-F164))&lt;0.00000001,0,MAX(0,D164+E164-F164))</x:f>
        <x:v>225210.58152603285</x:v>
      </x:c>
      <x:c r="H164" s="40" t="n">
        <x:f>MAX(0,'Inputs &amp; Summary'!$B$18-F164)</x:f>
        <x:v>0</x:v>
      </x:c>
      <x:c r="I164" s="40" t="n">
        <x:f>S163</x:f>
        <x:v>193307.06875090828</x:v>
      </x:c>
      <x:c r="J164" s="40" t="n">
        <x:f>I164*'Inputs &amp; Summary'!$B$16</x:f>
        <x:v>1047.0799557340865</x:v>
      </x:c>
      <x:c r="K164" s="40" t="n">
        <x:f>IF(C164=1,J164,K163+J164)</x:f>
        <x:v>4140.440120683042</x:v>
      </x:c>
      <x:c r="L164" s="40" t="n">
        <x:f>IF(C164=12,K164*'Inputs &amp; Summary'!$B$11*'Inputs &amp; Summary'!$B$12,0)</x:f>
        <x:v>0</x:v>
      </x:c>
      <x:c r="M164" s="40" t="n">
        <x:f>MIN(L164,G164)</x:f>
        <x:v>0</x:v>
      </x:c>
      <x:c r="N164" s="40" t="n">
        <x:f>MAX(0,L164-M164)</x:f>
        <x:v>0</x:v>
      </x:c>
      <x:c r="O164" s="40" t="n">
        <x:f>IF(ABS(MAX(0,G164-M164))&lt;0.00000001,0,MAX(0,G164-M164))</x:f>
        <x:v>225210.58152603285</x:v>
      </x:c>
      <x:c r="P164" s="40" t="n">
        <x:f>MAX(0,D164-O164)</x:f>
        <x:v>1482.3497230588691</x:v>
      </x:c>
      <x:c r="Q164" s="40" t="n">
        <x:f>MAX(0,'Inputs &amp; Summary'!$B$19*'Inputs &amp; Summary'!$B$4-O164-I164)</x:f>
        <x:v>36482.34972305887</x:v>
      </x:c>
      <x:c r="R164" s="40" t="n">
        <x:f>MIN(P164,Q164)</x:f>
        <x:v>1482.3497230588691</x:v>
      </x:c>
      <x:c r="S164" s="40" t="n">
        <x:f>I164+R164</x:f>
        <x:v>194789.41847396715</x:v>
      </x:c>
      <x:c r="T164" s="40" t="n">
        <x:f>U163</x:f>
        <x:v>274526.72811458306</x:v>
      </x:c>
      <x:c r="U164" s="40" t="n">
        <x:f>T164*(1+'Inputs &amp; Summary'!$B$17)+R164+N164+H164</x:f>
        <x:v>277345.3505682779</x:v>
      </x:c>
      <x:c r="V164" s="40" t="n">
        <x:f>Y163</x:f>
        <x:v>254771.98091253772</x:v>
      </x:c>
      <x:c r="W164" s="40" t="n">
        <x:f>V164*'Inputs &amp; Summary'!$B$15</x:f>
        <x:v>946.5593277967569</x:v>
      </x:c>
      <x:c r="X164" s="40" t="n">
        <x:f>IF(V164&lt;=0.00000001,0,MIN('Inputs &amp; Summary'!$B$18,V164+W164))</x:f>
        <x:v>2324.586407999052</x:v>
      </x:c>
      <x:c r="Y164" s="40" t="n">
        <x:f>IF(ABS(MAX(0,V164+W164-X164))&lt;0.00000001,0,MAX(0,V164+W164-X164))</x:f>
        <x:v>253393.95383233545</x:v>
      </x:c>
      <x:c r="Z164" s="40" t="n">
        <x:f>MAX(0,'Inputs &amp; Summary'!$B$18-X164)</x:f>
        <x:v>0</x:v>
      </x:c>
      <x:c r="AA164" s="40" t="n">
        <x:f>AC163</x:f>
        <x:v>90382.1779861124</x:v>
      </x:c>
      <x:c r="AB164" s="40" t="n">
        <x:f>J164</x:f>
        <x:v>1047.0799557340865</x:v>
      </x:c>
      <x:c r="AC164" s="40" t="n">
        <x:f>AA164*(1+'Inputs &amp; Summary'!$B$17)+Z164+AB164</x:f>
        <x:v>91869.19776339972</x:v>
      </x:c>
      <x:c r="AD164" s="40" t="n">
        <x:f>F164+H164+J164</x:f>
        <x:v>3371.6663637331385</x:v>
      </x:c>
      <x:c r="AE164" s="40" t="n">
        <x:f>X164+Z164+AB164</x:f>
        <x:v>3371.6663637331385</x:v>
      </x:c>
      <x:c r="AF164" s="40" t="n">
        <x:f>AD164-AE164</x:f>
        <x:v>0</x:v>
      </x:c>
      <x:c r="AG164" s="42" t="n">
        <x:f>(O164+S164)/'Inputs &amp; Summary'!$B$4</x:f>
        <x:v>0.6</x:v>
      </x:c>
      <x:c r="AH164" s="40" t="n">
        <x:f>U164-O164-S164</x:f>
        <x:v>-142654.64943172212</x:v>
      </x:c>
      <x:c r="AI164" s="40" t="n">
        <x:f>AC164-Y164</x:f>
        <x:v>-161524.75606893573</x:v>
      </x:c>
      <x:c r="AJ164" s="40" t="n">
        <x:f>AH164-AI164</x:f>
        <x:v>18870.106637213612</x:v>
      </x:c>
    </x:row>
    <x:row r="165">
      <x:c r="A165" t="n">
        <x:f>A164+1</x:f>
        <x:v>161</x:v>
      </x:c>
      <x:c r="B165" t="n">
        <x:f>INT((A165-1)/12)+1</x:f>
        <x:v>14</x:v>
      </x:c>
      <x:c r="C165" t="n">
        <x:f>MOD(A165-1,12)+1</x:f>
        <x:v>5</x:v>
      </x:c>
      <x:c r="D165" s="40" t="n">
        <x:f>O164</x:f>
        <x:v>225210.58152603285</x:v>
      </x:c>
      <x:c r="E165" s="40" t="n">
        <x:f>D165*'Inputs &amp; Summary'!$B$15</x:f>
        <x:v>836.7292819973818</x:v>
      </x:c>
      <x:c r="F165" s="40" t="n">
        <x:f>IF(D165&lt;=0.00000001,0,MIN('Inputs &amp; Summary'!$B$18,D165+E165))</x:f>
        <x:v>2324.586407999052</x:v>
      </x:c>
      <x:c r="G165" s="40" t="n">
        <x:f>IF(ABS(MAX(0,D165+E165-F165))&lt;0.00000001,0,MAX(0,D165+E165-F165))</x:f>
        <x:v>223722.7244000312</x:v>
      </x:c>
      <x:c r="H165" s="40" t="n">
        <x:f>MAX(0,'Inputs &amp; Summary'!$B$18-F165)</x:f>
        <x:v>0</x:v>
      </x:c>
      <x:c r="I165" s="40" t="n">
        <x:f>S164</x:f>
        <x:v>194789.41847396715</x:v>
      </x:c>
      <x:c r="J165" s="40" t="n">
        <x:f>I165*'Inputs &amp; Summary'!$B$16</x:f>
        <x:v>1055.109350067322</x:v>
      </x:c>
      <x:c r="K165" s="40" t="n">
        <x:f>IF(C165=1,J165,K164+J165)</x:f>
        <x:v>5195.549470750364</x:v>
      </x:c>
      <x:c r="L165" s="40" t="n">
        <x:f>IF(C165=12,K165*'Inputs &amp; Summary'!$B$11*'Inputs &amp; Summary'!$B$12,0)</x:f>
        <x:v>0</x:v>
      </x:c>
      <x:c r="M165" s="40" t="n">
        <x:f>MIN(L165,G165)</x:f>
        <x:v>0</x:v>
      </x:c>
      <x:c r="N165" s="40" t="n">
        <x:f>MAX(0,L165-M165)</x:f>
        <x:v>0</x:v>
      </x:c>
      <x:c r="O165" s="40" t="n">
        <x:f>IF(ABS(MAX(0,G165-M165))&lt;0.00000001,0,MAX(0,G165-M165))</x:f>
        <x:v>223722.7244000312</x:v>
      </x:c>
      <x:c r="P165" s="40" t="n">
        <x:f>MAX(0,D165-O165)</x:f>
        <x:v>1487.857126001647</x:v>
      </x:c>
      <x:c r="Q165" s="40" t="n">
        <x:f>MAX(0,'Inputs &amp; Summary'!$B$19*'Inputs &amp; Summary'!$B$4-O165-I165)</x:f>
        <x:v>36487.85712600165</x:v>
      </x:c>
      <x:c r="R165" s="40" t="n">
        <x:f>MIN(P165,Q165)</x:f>
        <x:v>1487.857126001647</x:v>
      </x:c>
      <x:c r="S165" s="40" t="n">
        <x:f>I165+R165</x:f>
        <x:v>196277.2755999688</x:v>
      </x:c>
      <x:c r="T165" s="40" t="n">
        <x:f>U164</x:f>
        <x:v>277345.3505682779</x:v>
      </x:c>
      <x:c r="U165" s="40" t="n">
        <x:f>T165*(1+'Inputs &amp; Summary'!$B$17)+R165+N165+H165</x:f>
        <x:v>280183.20021223347</x:v>
      </x:c>
      <x:c r="V165" s="40" t="n">
        <x:f>Y164</x:f>
        <x:v>253393.95383233545</x:v>
      </x:c>
      <x:c r="W165" s="40" t="n">
        <x:f>V165*'Inputs &amp; Summary'!$B$15</x:f>
        <x:v>941.4395168110669</x:v>
      </x:c>
      <x:c r="X165" s="40" t="n">
        <x:f>IF(V165&lt;=0.00000001,0,MIN('Inputs &amp; Summary'!$B$18,V165+W165))</x:f>
        <x:v>2324.586407999052</x:v>
      </x:c>
      <x:c r="Y165" s="40" t="n">
        <x:f>IF(ABS(MAX(0,V165+W165-X165))&lt;0.00000001,0,MAX(0,V165+W165-X165))</x:f>
        <x:v>252010.8069411475</x:v>
      </x:c>
      <x:c r="Z165" s="40" t="n">
        <x:f>MAX(0,'Inputs &amp; Summary'!$B$18-X165)</x:f>
        <x:v>0</x:v>
      </x:c>
      <x:c r="AA165" s="40" t="n">
        <x:f>AC164</x:f>
        <x:v>91869.19776339972</x:v>
      </x:c>
      <x:c r="AB165" s="40" t="n">
        <x:f>J165</x:f>
        <x:v>1055.109350067322</x:v>
      </x:c>
      <x:c r="AC165" s="40" t="n">
        <x:f>AA165*(1+'Inputs &amp; Summary'!$B$17)+Z165+AB165</x:f>
        <x:v>93371.48507897789</x:v>
      </x:c>
      <x:c r="AD165" s="40" t="n">
        <x:f>F165+H165+J165</x:f>
        <x:v>3379.695758066374</x:v>
      </x:c>
      <x:c r="AE165" s="40" t="n">
        <x:f>X165+Z165+AB165</x:f>
        <x:v>3379.695758066374</x:v>
      </x:c>
      <x:c r="AF165" s="40" t="n">
        <x:f>AD165-AE165</x:f>
        <x:v>0</x:v>
      </x:c>
      <x:c r="AG165" s="42" t="n">
        <x:f>(O165+S165)/'Inputs &amp; Summary'!$B$4</x:f>
        <x:v>0.6</x:v>
      </x:c>
      <x:c r="AH165" s="40" t="n">
        <x:f>U165-O165-S165</x:f>
        <x:v>-139816.79978776653</x:v>
      </x:c>
      <x:c r="AI165" s="40" t="n">
        <x:f>AC165-Y165</x:f>
        <x:v>-158639.3218621696</x:v>
      </x:c>
      <x:c r="AJ165" s="40" t="n">
        <x:f>AH165-AI165</x:f>
        <x:v>18822.522074403067</x:v>
      </x:c>
    </x:row>
    <x:row r="166">
      <x:c r="A166" t="n">
        <x:f>A165+1</x:f>
        <x:v>162</x:v>
      </x:c>
      <x:c r="B166" t="n">
        <x:f>INT((A166-1)/12)+1</x:f>
        <x:v>14</x:v>
      </x:c>
      <x:c r="C166" t="n">
        <x:f>MOD(A166-1,12)+1</x:f>
        <x:v>6</x:v>
      </x:c>
      <x:c r="D166" s="40" t="n">
        <x:f>O165</x:f>
        <x:v>223722.7244000312</x:v>
      </x:c>
      <x:c r="E166" s="40" t="n">
        <x:f>D166*'Inputs &amp; Summary'!$B$15</x:f>
        <x:v>831.2014172926315</x:v>
      </x:c>
      <x:c r="F166" s="40" t="n">
        <x:f>IF(D166&lt;=0.00000001,0,MIN('Inputs &amp; Summary'!$B$18,D166+E166))</x:f>
        <x:v>2324.586407999052</x:v>
      </x:c>
      <x:c r="G166" s="40" t="n">
        <x:f>IF(ABS(MAX(0,D166+E166-F166))&lt;0.00000001,0,MAX(0,D166+E166-F166))</x:f>
        <x:v>222229.3394093248</x:v>
      </x:c>
      <x:c r="H166" s="40" t="n">
        <x:f>MAX(0,'Inputs &amp; Summary'!$B$18-F166)</x:f>
        <x:v>0</x:v>
      </x:c>
      <x:c r="I166" s="40" t="n">
        <x:f>S165</x:f>
        <x:v>196277.2755999688</x:v>
      </x:c>
      <x:c r="J166" s="40" t="n">
        <x:f>I166*'Inputs &amp; Summary'!$B$16</x:f>
        <x:v>1063.1685761664976</x:v>
      </x:c>
      <x:c r="K166" s="40" t="n">
        <x:f>IF(C166=1,J166,K165+J166)</x:f>
        <x:v>6258.718046916862</x:v>
      </x:c>
      <x:c r="L166" s="40" t="n">
        <x:f>IF(C166=12,K166*'Inputs &amp; Summary'!$B$11*'Inputs &amp; Summary'!$B$12,0)</x:f>
        <x:v>0</x:v>
      </x:c>
      <x:c r="M166" s="40" t="n">
        <x:f>MIN(L166,G166)</x:f>
        <x:v>0</x:v>
      </x:c>
      <x:c r="N166" s="40" t="n">
        <x:f>MAX(0,L166-M166)</x:f>
        <x:v>0</x:v>
      </x:c>
      <x:c r="O166" s="40" t="n">
        <x:f>IF(ABS(MAX(0,G166-M166))&lt;0.00000001,0,MAX(0,G166-M166))</x:f>
        <x:v>222229.3394093248</x:v>
      </x:c>
      <x:c r="P166" s="40" t="n">
        <x:f>MAX(0,D166-O166)</x:f>
        <x:v>1493.3849907063995</x:v>
      </x:c>
      <x:c r="Q166" s="40" t="n">
        <x:f>MAX(0,'Inputs &amp; Summary'!$B$19*'Inputs &amp; Summary'!$B$4-O166-I166)</x:f>
        <x:v>36493.3849907064</x:v>
      </x:c>
      <x:c r="R166" s="40" t="n">
        <x:f>MIN(P166,Q166)</x:f>
        <x:v>1493.3849907063995</x:v>
      </x:c>
      <x:c r="S166" s="40" t="n">
        <x:f>I166+R166</x:f>
        <x:v>197770.6605906752</x:v>
      </x:c>
      <x:c r="T166" s="40" t="n">
        <x:f>U165</x:f>
        <x:v>280183.20021223347</x:v>
      </x:c>
      <x:c r="U166" s="40" t="n">
        <x:f>T166*(1+'Inputs &amp; Summary'!$B$17)+R166+N166+H166</x:f>
        <x:v>283040.3910975325</x:v>
      </x:c>
      <x:c r="V166" s="40" t="n">
        <x:f>Y165</x:f>
        <x:v>252010.8069411475</x:v>
      </x:c>
      <x:c r="W166" s="40" t="n">
        <x:f>V166*'Inputs &amp; Summary'!$B$15</x:f>
        <x:v>936.3006840914026</x:v>
      </x:c>
      <x:c r="X166" s="40" t="n">
        <x:f>IF(V166&lt;=0.00000001,0,MIN('Inputs &amp; Summary'!$B$18,V166+W166))</x:f>
        <x:v>2324.586407999052</x:v>
      </x:c>
      <x:c r="Y166" s="40" t="n">
        <x:f>IF(ABS(MAX(0,V166+W166-X166))&lt;0.00000001,0,MAX(0,V166+W166-X166))</x:f>
        <x:v>250622.52121723985</x:v>
      </x:c>
      <x:c r="Z166" s="40" t="n">
        <x:f>MAX(0,'Inputs &amp; Summary'!$B$18-X166)</x:f>
        <x:v>0</x:v>
      </x:c>
      <x:c r="AA166" s="40" t="n">
        <x:f>AC165</x:f>
        <x:v>93371.48507897789</x:v>
      </x:c>
      <x:c r="AB166" s="40" t="n">
        <x:f>J166</x:f>
        <x:v>1063.1685761664976</x:v>
      </x:c>
      <x:c r="AC166" s="40" t="n">
        <x:f>AA166*(1+'Inputs &amp; Summary'!$B$17)+Z166+AB166</x:f>
        <x:v>94889.14408012749</x:v>
      </x:c>
      <x:c r="AD166" s="40" t="n">
        <x:f>F166+H166+J166</x:f>
        <x:v>3387.7549841655496</x:v>
      </x:c>
      <x:c r="AE166" s="40" t="n">
        <x:f>X166+Z166+AB166</x:f>
        <x:v>3387.7549841655496</x:v>
      </x:c>
      <x:c r="AF166" s="40" t="n">
        <x:f>AD166-AE166</x:f>
        <x:v>0</x:v>
      </x:c>
      <x:c r="AG166" s="42" t="n">
        <x:f>(O166+S166)/'Inputs &amp; Summary'!$B$4</x:f>
        <x:v>0.6</x:v>
      </x:c>
      <x:c r="AH166" s="40" t="n">
        <x:f>U166-O166-S166</x:f>
        <x:v>-136959.60890246747</x:v>
      </x:c>
      <x:c r="AI166" s="40" t="n">
        <x:f>AC166-Y166</x:f>
        <x:v>-155733.37713711237</x:v>
      </x:c>
      <x:c r="AJ166" s="40" t="n">
        <x:f>AH166-AI166</x:f>
        <x:v>18773.7682346449</x:v>
      </x:c>
    </x:row>
    <x:row r="167">
      <x:c r="A167" t="n">
        <x:f>A166+1</x:f>
        <x:v>163</x:v>
      </x:c>
      <x:c r="B167" t="n">
        <x:f>INT((A167-1)/12)+1</x:f>
        <x:v>14</x:v>
      </x:c>
      <x:c r="C167" t="n">
        <x:f>MOD(A167-1,12)+1</x:f>
        <x:v>7</x:v>
      </x:c>
      <x:c r="D167" s="40" t="n">
        <x:f>O166</x:f>
        <x:v>222229.3394093248</x:v>
      </x:c>
      <x:c r="E167" s="40" t="n">
        <x:f>D167*'Inputs &amp; Summary'!$B$15</x:f>
        <x:v>825.6530148039368</x:v>
      </x:c>
      <x:c r="F167" s="40" t="n">
        <x:f>IF(D167&lt;=0.00000001,0,MIN('Inputs &amp; Summary'!$B$18,D167+E167))</x:f>
        <x:v>2324.586407999052</x:v>
      </x:c>
      <x:c r="G167" s="40" t="n">
        <x:f>IF(ABS(MAX(0,D167+E167-F167))&lt;0.00000001,0,MAX(0,D167+E167-F167))</x:f>
        <x:v>220730.4060161297</x:v>
      </x:c>
      <x:c r="H167" s="40" t="n">
        <x:f>MAX(0,'Inputs &amp; Summary'!$B$18-F167)</x:f>
        <x:v>0</x:v>
      </x:c>
      <x:c r="I167" s="40" t="n">
        <x:f>S166</x:f>
        <x:v>197770.6605906752</x:v>
      </x:c>
      <x:c r="J167" s="40" t="n">
        <x:f>I167*'Inputs &amp; Summary'!$B$16</x:f>
        <x:v>1071.2577448661573</x:v>
      </x:c>
      <x:c r="K167" s="40" t="n">
        <x:f>IF(C167=1,J167,K166+J167)</x:f>
        <x:v>7329.975791783019</x:v>
      </x:c>
      <x:c r="L167" s="40" t="n">
        <x:f>IF(C167=12,K167*'Inputs &amp; Summary'!$B$11*'Inputs &amp; Summary'!$B$12,0)</x:f>
        <x:v>0</x:v>
      </x:c>
      <x:c r="M167" s="40" t="n">
        <x:f>MIN(L167,G167)</x:f>
        <x:v>0</x:v>
      </x:c>
      <x:c r="N167" s="40" t="n">
        <x:f>MAX(0,L167-M167)</x:f>
        <x:v>0</x:v>
      </x:c>
      <x:c r="O167" s="40" t="n">
        <x:f>IF(ABS(MAX(0,G167-M167))&lt;0.00000001,0,MAX(0,G167-M167))</x:f>
        <x:v>220730.4060161297</x:v>
      </x:c>
      <x:c r="P167" s="40" t="n">
        <x:f>MAX(0,D167-O167)</x:f>
        <x:v>1498.9333931950969</x:v>
      </x:c>
      <x:c r="Q167" s="40" t="n">
        <x:f>MAX(0,'Inputs &amp; Summary'!$B$19*'Inputs &amp; Summary'!$B$4-O167-I167)</x:f>
        <x:v>36498.9333931951</x:v>
      </x:c>
      <x:c r="R167" s="40" t="n">
        <x:f>MIN(P167,Q167)</x:f>
        <x:v>1498.9333931950969</x:v>
      </x:c>
      <x:c r="S167" s="40" t="n">
        <x:f>I167+R167</x:f>
        <x:v>199269.5939838703</x:v>
      </x:c>
      <x:c r="T167" s="40" t="n">
        <x:f>U166</x:f>
        <x:v>283040.3910975325</x:v>
      </x:c>
      <x:c r="U167" s="40" t="n">
        <x:f>T167*(1+'Inputs &amp; Summary'!$B$17)+R167+N167+H167</x:f>
        <x:v>285917.0379064293</x:v>
      </x:c>
      <x:c r="V167" s="40" t="n">
        <x:f>Y166</x:f>
        <x:v>250622.52121723985</x:v>
      </x:c>
      <x:c r="W167" s="40" t="n">
        <x:f>V167*'Inputs &amp; Summary'!$B$15</x:f>
        <x:v>931.1427589659431</x:v>
      </x:c>
      <x:c r="X167" s="40" t="n">
        <x:f>IF(V167&lt;=0.00000001,0,MIN('Inputs &amp; Summary'!$B$18,V167+W167))</x:f>
        <x:v>2324.586407999052</x:v>
      </x:c>
      <x:c r="Y167" s="40" t="n">
        <x:f>IF(ABS(MAX(0,V167+W167-X167))&lt;0.00000001,0,MAX(0,V167+W167-X167))</x:f>
        <x:v>249229.07756820673</x:v>
      </x:c>
      <x:c r="Z167" s="40" t="n">
        <x:f>MAX(0,'Inputs &amp; Summary'!$B$18-X167)</x:f>
        <x:v>0</x:v>
      </x:c>
      <x:c r="AA167" s="40" t="n">
        <x:f>AC166</x:f>
        <x:v>94889.14408012749</x:v>
      </x:c>
      <x:c r="AB167" s="40" t="n">
        <x:f>J167</x:f>
        <x:v>1071.2577448661573</x:v>
      </x:c>
      <x:c r="AC167" s="40" t="n">
        <x:f>AA167*(1+'Inputs &amp; Summary'!$B$17)+Z167+AB167</x:f>
        <x:v>96422.27953190579</x:v>
      </x:c>
      <x:c r="AD167" s="40" t="n">
        <x:f>F167+H167+J167</x:f>
        <x:v>3395.8441528652093</x:v>
      </x:c>
      <x:c r="AE167" s="40" t="n">
        <x:f>X167+Z167+AB167</x:f>
        <x:v>3395.8441528652093</x:v>
      </x:c>
      <x:c r="AF167" s="40" t="n">
        <x:f>AD167-AE167</x:f>
        <x:v>0</x:v>
      </x:c>
      <x:c r="AG167" s="42" t="n">
        <x:f>(O167+S167)/'Inputs &amp; Summary'!$B$4</x:f>
        <x:v>0.6</x:v>
      </x:c>
      <x:c r="AH167" s="40" t="n">
        <x:f>U167-O167-S167</x:f>
        <x:v>-134082.96209357068</x:v>
      </x:c>
      <x:c r="AI167" s="40" t="n">
        <x:f>AC167-Y167</x:f>
        <x:v>-152806.79803630093</x:v>
      </x:c>
      <x:c r="AJ167" s="40" t="n">
        <x:f>AH167-AI167</x:f>
        <x:v>18723.83594273025</x:v>
      </x:c>
    </x:row>
    <x:row r="168">
      <x:c r="A168" t="n">
        <x:f>A167+1</x:f>
        <x:v>164</x:v>
      </x:c>
      <x:c r="B168" t="n">
        <x:f>INT((A168-1)/12)+1</x:f>
        <x:v>14</x:v>
      </x:c>
      <x:c r="C168" t="n">
        <x:f>MOD(A168-1,12)+1</x:f>
        <x:v>8</x:v>
      </x:c>
      <x:c r="D168" s="40" t="n">
        <x:f>O167</x:f>
        <x:v>220730.4060161297</x:v>
      </x:c>
      <x:c r="E168" s="40" t="n">
        <x:f>D168*'Inputs &amp; Summary'!$B$15</x:f>
        <x:v>820.0839982268669</x:v>
      </x:c>
      <x:c r="F168" s="40" t="n">
        <x:f>IF(D168&lt;=0.00000001,0,MIN('Inputs &amp; Summary'!$B$18,D168+E168))</x:f>
        <x:v>2324.586407999052</x:v>
      </x:c>
      <x:c r="G168" s="40" t="n">
        <x:f>IF(ABS(MAX(0,D168+E168-F168))&lt;0.00000001,0,MAX(0,D168+E168-F168))</x:f>
        <x:v>219225.90360635755</x:v>
      </x:c>
      <x:c r="H168" s="40" t="n">
        <x:f>MAX(0,'Inputs &amp; Summary'!$B$18-F168)</x:f>
        <x:v>0</x:v>
      </x:c>
      <x:c r="I168" s="40" t="n">
        <x:f>S167</x:f>
        <x:v>199269.5939838703</x:v>
      </x:c>
      <x:c r="J168" s="40" t="n">
        <x:f>I168*'Inputs &amp; Summary'!$B$16</x:f>
        <x:v>1079.3769674126308</x:v>
      </x:c>
      <x:c r="K168" s="40" t="n">
        <x:f>IF(C168=1,J168,K167+J168)</x:f>
        <x:v>8409.35275919565</x:v>
      </x:c>
      <x:c r="L168" s="40" t="n">
        <x:f>IF(C168=12,K168*'Inputs &amp; Summary'!$B$11*'Inputs &amp; Summary'!$B$12,0)</x:f>
        <x:v>0</x:v>
      </x:c>
      <x:c r="M168" s="40" t="n">
        <x:f>MIN(L168,G168)</x:f>
        <x:v>0</x:v>
      </x:c>
      <x:c r="N168" s="40" t="n">
        <x:f>MAX(0,L168-M168)</x:f>
        <x:v>0</x:v>
      </x:c>
      <x:c r="O168" s="40" t="n">
        <x:f>IF(ABS(MAX(0,G168-M168))&lt;0.00000001,0,MAX(0,G168-M168))</x:f>
        <x:v>219225.90360635755</x:v>
      </x:c>
      <x:c r="P168" s="40" t="n">
        <x:f>MAX(0,D168-O168)</x:f>
        <x:v>1504.5024097721616</x:v>
      </x:c>
      <x:c r="Q168" s="40" t="n">
        <x:f>MAX(0,'Inputs &amp; Summary'!$B$19*'Inputs &amp; Summary'!$B$4-O168-I168)</x:f>
        <x:v>36504.50240977216</x:v>
      </x:c>
      <x:c r="R168" s="40" t="n">
        <x:f>MIN(P168,Q168)</x:f>
        <x:v>1504.5024097721616</x:v>
      </x:c>
      <x:c r="S168" s="40" t="n">
        <x:f>I168+R168</x:f>
        <x:v>200774.09639364245</x:v>
      </x:c>
      <x:c r="T168" s="40" t="n">
        <x:f>U167</x:f>
        <x:v>285917.0379064293</x:v>
      </x:c>
      <x:c r="U168" s="40" t="n">
        <x:f>T168*(1+'Inputs &amp; Summary'!$B$17)+R168+N168+H168</x:f>
        <x:v>288813.25595570414</x:v>
      </x:c>
      <x:c r="V168" s="40" t="n">
        <x:f>Y167</x:f>
        <x:v>249229.07756820673</x:v>
      </x:c>
      <x:c r="W168" s="40" t="n">
        <x:f>V168*'Inputs &amp; Summary'!$B$15</x:f>
        <x:v>925.9656705002997</x:v>
      </x:c>
      <x:c r="X168" s="40" t="n">
        <x:f>IF(V168&lt;=0.00000001,0,MIN('Inputs &amp; Summary'!$B$18,V168+W168))</x:f>
        <x:v>2324.586407999052</x:v>
      </x:c>
      <x:c r="Y168" s="40" t="n">
        <x:f>IF(ABS(MAX(0,V168+W168-X168))&lt;0.00000001,0,MAX(0,V168+W168-X168))</x:f>
        <x:v>247830.456830708</x:v>
      </x:c>
      <x:c r="Z168" s="40" t="n">
        <x:f>MAX(0,'Inputs &amp; Summary'!$B$18-X168)</x:f>
        <x:v>0</x:v>
      </x:c>
      <x:c r="AA168" s="40" t="n">
        <x:f>AC167</x:f>
        <x:v>96422.27953190579</x:v>
      </x:c>
      <x:c r="AB168" s="40" t="n">
        <x:f>J168</x:f>
        <x:v>1079.3769674126308</x:v>
      </x:c>
      <x:c r="AC168" s="40" t="n">
        <x:f>AA168*(1+'Inputs &amp; Summary'!$B$17)+Z168+AB168</x:f>
        <x:v>97970.99682056562</x:v>
      </x:c>
      <x:c r="AD168" s="40" t="n">
        <x:f>F168+H168+J168</x:f>
        <x:v>3403.963375411683</x:v>
      </x:c>
      <x:c r="AE168" s="40" t="n">
        <x:f>X168+Z168+AB168</x:f>
        <x:v>3403.963375411683</x:v>
      </x:c>
      <x:c r="AF168" s="40" t="n">
        <x:f>AD168-AE168</x:f>
        <x:v>0</x:v>
      </x:c>
      <x:c r="AG168" s="42" t="n">
        <x:f>(O168+S168)/'Inputs &amp; Summary'!$B$4</x:f>
        <x:v>0.6</x:v>
      </x:c>
      <x:c r="AH168" s="40" t="n">
        <x:f>U168-O168-S168</x:f>
        <x:v>-131186.74404429586</x:v>
      </x:c>
      <x:c r="AI168" s="40" t="n">
        <x:f>AC168-Y168</x:f>
        <x:v>-149859.46001014236</x:v>
      </x:c>
      <x:c r="AJ168" s="40" t="n">
        <x:f>AH168-AI168</x:f>
        <x:v>18672.715965846495</x:v>
      </x:c>
    </x:row>
    <x:row r="169">
      <x:c r="A169" t="n">
        <x:f>A168+1</x:f>
        <x:v>165</x:v>
      </x:c>
      <x:c r="B169" t="n">
        <x:f>INT((A169-1)/12)+1</x:f>
        <x:v>14</x:v>
      </x:c>
      <x:c r="C169" t="n">
        <x:f>MOD(A169-1,12)+1</x:f>
        <x:v>9</x:v>
      </x:c>
      <x:c r="D169" s="40" t="n">
        <x:f>O168</x:f>
        <x:v>219225.90360635755</x:v>
      </x:c>
      <x:c r="E169" s="40" t="n">
        <x:f>D169*'Inputs &amp; Summary'!$B$15</x:f>
        <x:v>814.4942909734958</x:v>
      </x:c>
      <x:c r="F169" s="40" t="n">
        <x:f>IF(D169&lt;=0.00000001,0,MIN('Inputs &amp; Summary'!$B$18,D169+E169))</x:f>
        <x:v>2324.586407999052</x:v>
      </x:c>
      <x:c r="G169" s="40" t="n">
        <x:f>IF(ABS(MAX(0,D169+E169-F169))&lt;0.00000001,0,MAX(0,D169+E169-F169))</x:f>
        <x:v>217715.811489332</x:v>
      </x:c>
      <x:c r="H169" s="40" t="n">
        <x:f>MAX(0,'Inputs &amp; Summary'!$B$18-F169)</x:f>
        <x:v>0</x:v>
      </x:c>
      <x:c r="I169" s="40" t="n">
        <x:f>S168</x:f>
        <x:v>200774.09639364245</x:v>
      </x:c>
      <x:c r="J169" s="40" t="n">
        <x:f>I169*'Inputs &amp; Summary'!$B$16</x:f>
        <x:v>1087.5263554655633</x:v>
      </x:c>
      <x:c r="K169" s="40" t="n">
        <x:f>IF(C169=1,J169,K168+J169)</x:f>
        <x:v>9496.879114661213</x:v>
      </x:c>
      <x:c r="L169" s="40" t="n">
        <x:f>IF(C169=12,K169*'Inputs &amp; Summary'!$B$11*'Inputs &amp; Summary'!$B$12,0)</x:f>
        <x:v>0</x:v>
      </x:c>
      <x:c r="M169" s="40" t="n">
        <x:f>MIN(L169,G169)</x:f>
        <x:v>0</x:v>
      </x:c>
      <x:c r="N169" s="40" t="n">
        <x:f>MAX(0,L169-M169)</x:f>
        <x:v>0</x:v>
      </x:c>
      <x:c r="O169" s="40" t="n">
        <x:f>IF(ABS(MAX(0,G169-M169))&lt;0.00000001,0,MAX(0,G169-M169))</x:f>
        <x:v>217715.811489332</x:v>
      </x:c>
      <x:c r="P169" s="40" t="n">
        <x:f>MAX(0,D169-O169)</x:f>
        <x:v>1510.092117025546</x:v>
      </x:c>
      <x:c r="Q169" s="40" t="n">
        <x:f>MAX(0,'Inputs &amp; Summary'!$B$19*'Inputs &amp; Summary'!$B$4-O169-I169)</x:f>
        <x:v>36510.092117025546</x:v>
      </x:c>
      <x:c r="R169" s="40" t="n">
        <x:f>MIN(P169,Q169)</x:f>
        <x:v>1510.092117025546</x:v>
      </x:c>
      <x:c r="S169" s="40" t="n">
        <x:f>I169+R169</x:f>
        <x:v>202284.188510668</x:v>
      </x:c>
      <x:c r="T169" s="40" t="n">
        <x:f>U168</x:f>
        <x:v>288813.25595570414</x:v>
      </x:c>
      <x:c r="U169" s="40" t="n">
        <x:f>T169*(1+'Inputs &amp; Summary'!$B$17)+R169+N169+H169</x:f>
        <x:v>291729.1612000355</x:v>
      </x:c>
      <x:c r="V169" s="40" t="n">
        <x:f>Y168</x:f>
        <x:v>247830.456830708</x:v>
      </x:c>
      <x:c r="W169" s="40" t="n">
        <x:f>V169*'Inputs &amp; Summary'!$B$15</x:f>
        <x:v>920.7693474965392</x:v>
      </x:c>
      <x:c r="X169" s="40" t="n">
        <x:f>IF(V169&lt;=0.00000001,0,MIN('Inputs &amp; Summary'!$B$18,V169+W169))</x:f>
        <x:v>2324.586407999052</x:v>
      </x:c>
      <x:c r="Y169" s="40" t="n">
        <x:f>IF(ABS(MAX(0,V169+W169-X169))&lt;0.00000001,0,MAX(0,V169+W169-X169))</x:f>
        <x:v>246426.63977020548</x:v>
      </x:c>
      <x:c r="Z169" s="40" t="n">
        <x:f>MAX(0,'Inputs &amp; Summary'!$B$18-X169)</x:f>
        <x:v>0</x:v>
      </x:c>
      <x:c r="AA169" s="40" t="n">
        <x:f>AC168</x:f>
        <x:v>97970.99682056562</x:v>
      </x:c>
      <x:c r="AB169" s="40" t="n">
        <x:f>J169</x:f>
        <x:v>1087.5263554655633</x:v>
      </x:c>
      <x:c r="AC169" s="40" t="n">
        <x:f>AA169*(1+'Inputs &amp; Summary'!$B$17)+Z169+AB169</x:f>
        <x:v>99535.40195699235</x:v>
      </x:c>
      <x:c r="AD169" s="40" t="n">
        <x:f>F169+H169+J169</x:f>
        <x:v>3412.1127634646155</x:v>
      </x:c>
      <x:c r="AE169" s="40" t="n">
        <x:f>X169+Z169+AB169</x:f>
        <x:v>3412.1127634646155</x:v>
      </x:c>
      <x:c r="AF169" s="40" t="n">
        <x:f>AD169-AE169</x:f>
        <x:v>0</x:v>
      </x:c>
      <x:c r="AG169" s="42" t="n">
        <x:f>(O169+S169)/'Inputs &amp; Summary'!$B$4</x:f>
        <x:v>0.6</x:v>
      </x:c>
      <x:c r="AH169" s="40" t="n">
        <x:f>U169-O169-S169</x:f>
        <x:v>-128270.83879996452</x:v>
      </x:c>
      <x:c r="AI169" s="40" t="n">
        <x:f>AC169-Y169</x:f>
        <x:v>-146891.23781321314</x:v>
      </x:c>
      <x:c r="AJ169" s="40" t="n">
        <x:f>AH169-AI169</x:f>
        <x:v>18620.39901324862</x:v>
      </x:c>
    </x:row>
    <x:row r="170">
      <x:c r="A170" t="n">
        <x:f>A169+1</x:f>
        <x:v>166</x:v>
      </x:c>
      <x:c r="B170" t="n">
        <x:f>INT((A170-1)/12)+1</x:f>
        <x:v>14</x:v>
      </x:c>
      <x:c r="C170" t="n">
        <x:f>MOD(A170-1,12)+1</x:f>
        <x:v>10</x:v>
      </x:c>
      <x:c r="D170" s="40" t="n">
        <x:f>O169</x:f>
        <x:v>217715.811489332</x:v>
      </x:c>
      <x:c r="E170" s="40" t="n">
        <x:f>D170*'Inputs &amp; Summary'!$B$15</x:f>
        <x:v>808.8838161713487</x:v>
      </x:c>
      <x:c r="F170" s="40" t="n">
        <x:f>IF(D170&lt;=0.00000001,0,MIN('Inputs &amp; Summary'!$B$18,D170+E170))</x:f>
        <x:v>2324.586407999052</x:v>
      </x:c>
      <x:c r="G170" s="40" t="n">
        <x:f>IF(ABS(MAX(0,D170+E170-F170))&lt;0.00000001,0,MAX(0,D170+E170-F170))</x:f>
        <x:v>216200.1088975043</x:v>
      </x:c>
      <x:c r="H170" s="40" t="n">
        <x:f>MAX(0,'Inputs &amp; Summary'!$B$18-F170)</x:f>
        <x:v>0</x:v>
      </x:c>
      <x:c r="I170" s="40" t="n">
        <x:f>S169</x:f>
        <x:v>202284.188510668</x:v>
      </x:c>
      <x:c r="J170" s="40" t="n">
        <x:f>I170*'Inputs &amp; Summary'!$B$16</x:f>
        <x:v>1095.7060210994516</x:v>
      </x:c>
      <x:c r="K170" s="40" t="n">
        <x:f>IF(C170=1,J170,K169+J170)</x:f>
        <x:v>10592.585135760664</x:v>
      </x:c>
      <x:c r="L170" s="40" t="n">
        <x:f>IF(C170=12,K170*'Inputs &amp; Summary'!$B$11*'Inputs &amp; Summary'!$B$12,0)</x:f>
        <x:v>0</x:v>
      </x:c>
      <x:c r="M170" s="40" t="n">
        <x:f>MIN(L170,G170)</x:f>
        <x:v>0</x:v>
      </x:c>
      <x:c r="N170" s="40" t="n">
        <x:f>MAX(0,L170-M170)</x:f>
        <x:v>0</x:v>
      </x:c>
      <x:c r="O170" s="40" t="n">
        <x:f>IF(ABS(MAX(0,G170-M170))&lt;0.00000001,0,MAX(0,G170-M170))</x:f>
        <x:v>216200.1088975043</x:v>
      </x:c>
      <x:c r="P170" s="40" t="n">
        <x:f>MAX(0,D170-O170)</x:f>
        <x:v>1515.7025918276922</x:v>
      </x:c>
      <x:c r="Q170" s="40" t="n">
        <x:f>MAX(0,'Inputs &amp; Summary'!$B$19*'Inputs &amp; Summary'!$B$4-O170-I170)</x:f>
        <x:v>36515.70259182769</x:v>
      </x:c>
      <x:c r="R170" s="40" t="n">
        <x:f>MIN(P170,Q170)</x:f>
        <x:v>1515.7025918276922</x:v>
      </x:c>
      <x:c r="S170" s="40" t="n">
        <x:f>I170+R170</x:f>
        <x:v>203799.8911024957</x:v>
      </x:c>
      <x:c r="T170" s="40" t="n">
        <x:f>U169</x:f>
        <x:v>291729.1612000355</x:v>
      </x:c>
      <x:c r="U170" s="40" t="n">
        <x:f>T170*(1+'Inputs &amp; Summary'!$B$17)+R170+N170+H170</x:f>
        <x:v>294664.87023538945</x:v>
      </x:c>
      <x:c r="V170" s="40" t="n">
        <x:f>Y169</x:f>
        <x:v>246426.63977020548</x:v>
      </x:c>
      <x:c r="W170" s="40" t="n">
        <x:f>V170*'Inputs &amp; Summary'!$B$15</x:f>
        <x:v>915.553718492206</x:v>
      </x:c>
      <x:c r="X170" s="40" t="n">
        <x:f>IF(V170&lt;=0.00000001,0,MIN('Inputs &amp; Summary'!$B$18,V170+W170))</x:f>
        <x:v>2324.586407999052</x:v>
      </x:c>
      <x:c r="Y170" s="40" t="n">
        <x:f>IF(ABS(MAX(0,V170+W170-X170))&lt;0.00000001,0,MAX(0,V170+W170-X170))</x:f>
        <x:v>245017.60708069865</x:v>
      </x:c>
      <x:c r="Z170" s="40" t="n">
        <x:f>MAX(0,'Inputs &amp; Summary'!$B$18-X170)</x:f>
        <x:v>0</x:v>
      </x:c>
      <x:c r="AA170" s="40" t="n">
        <x:f>AC169</x:f>
        <x:v>99535.40195699235</x:v>
      </x:c>
      <x:c r="AB170" s="40" t="n">
        <x:f>J170</x:f>
        <x:v>1095.7060210994516</x:v>
      </x:c>
      <x:c r="AC170" s="40" t="n">
        <x:f>AA170*(1+'Inputs &amp; Summary'!$B$17)+Z170+AB170</x:f>
        <x:v>101115.60158015921</x:v>
      </x:c>
      <x:c r="AD170" s="40" t="n">
        <x:f>F170+H170+J170</x:f>
        <x:v>3420.292429098504</x:v>
      </x:c>
      <x:c r="AE170" s="40" t="n">
        <x:f>X170+Z170+AB170</x:f>
        <x:v>3420.292429098504</x:v>
      </x:c>
      <x:c r="AF170" s="40" t="n">
        <x:f>AD170-AE170</x:f>
        <x:v>0</x:v>
      </x:c>
      <x:c r="AG170" s="42" t="n">
        <x:f>(O170+S170)/'Inputs &amp; Summary'!$B$4</x:f>
        <x:v>0.6</x:v>
      </x:c>
      <x:c r="AH170" s="40" t="n">
        <x:f>U170-O170-S170</x:f>
        <x:v>-125335.12976461055</x:v>
      </x:c>
      <x:c r="AI170" s="40" t="n">
        <x:f>AC170-Y170</x:f>
        <x:v>-143902.00550053944</x:v>
      </x:c>
      <x:c r="AJ170" s="40" t="n">
        <x:f>AH170-AI170</x:f>
        <x:v>18566.875735928887</x:v>
      </x:c>
    </x:row>
    <x:row r="171">
      <x:c r="A171" t="n">
        <x:f>A170+1</x:f>
        <x:v>167</x:v>
      </x:c>
      <x:c r="B171" t="n">
        <x:f>INT((A171-1)/12)+1</x:f>
        <x:v>14</x:v>
      </x:c>
      <x:c r="C171" t="n">
        <x:f>MOD(A171-1,12)+1</x:f>
        <x:v>11</x:v>
      </x:c>
      <x:c r="D171" s="40" t="n">
        <x:f>O170</x:f>
        <x:v>216200.1088975043</x:v>
      </x:c>
      <x:c r="E171" s="40" t="n">
        <x:f>D171*'Inputs &amp; Summary'!$B$15</x:f>
        <x:v>803.2524966623453</x:v>
      </x:c>
      <x:c r="F171" s="40" t="n">
        <x:f>IF(D171&lt;=0.00000001,0,MIN('Inputs &amp; Summary'!$B$18,D171+E171))</x:f>
        <x:v>2324.586407999052</x:v>
      </x:c>
      <x:c r="G171" s="40" t="n">
        <x:f>IF(ABS(MAX(0,D171+E171-F171))&lt;0.00000001,0,MAX(0,D171+E171-F171))</x:f>
        <x:v>214678.7749861676</x:v>
      </x:c>
      <x:c r="H171" s="40" t="n">
        <x:f>MAX(0,'Inputs &amp; Summary'!$B$18-F171)</x:f>
        <x:v>0</x:v>
      </x:c>
      <x:c r="I171" s="40" t="n">
        <x:f>S170</x:f>
        <x:v>203799.8911024957</x:v>
      </x:c>
      <x:c r="J171" s="40" t="n">
        <x:f>I171*'Inputs &amp; Summary'!$B$16</x:f>
        <x:v>1103.916076805185</x:v>
      </x:c>
      <x:c r="K171" s="40" t="n">
        <x:f>IF(C171=1,J171,K170+J171)</x:f>
        <x:v>11696.501212565849</x:v>
      </x:c>
      <x:c r="L171" s="40" t="n">
        <x:f>IF(C171=12,K171*'Inputs &amp; Summary'!$B$11*'Inputs &amp; Summary'!$B$12,0)</x:f>
        <x:v>0</x:v>
      </x:c>
      <x:c r="M171" s="40" t="n">
        <x:f>MIN(L171,G171)</x:f>
        <x:v>0</x:v>
      </x:c>
      <x:c r="N171" s="40" t="n">
        <x:f>MAX(0,L171-M171)</x:f>
        <x:v>0</x:v>
      </x:c>
      <x:c r="O171" s="40" t="n">
        <x:f>IF(ABS(MAX(0,G171-M171))&lt;0.00000001,0,MAX(0,G171-M171))</x:f>
        <x:v>214678.7749861676</x:v>
      </x:c>
      <x:c r="P171" s="40" t="n">
        <x:f>MAX(0,D171-O171)</x:f>
        <x:v>1521.3339113366965</x:v>
      </x:c>
      <x:c r="Q171" s="40" t="n">
        <x:f>MAX(0,'Inputs &amp; Summary'!$B$19*'Inputs &amp; Summary'!$B$4-O171-I171)</x:f>
        <x:v>36521.3339113367</x:v>
      </x:c>
      <x:c r="R171" s="40" t="n">
        <x:f>MIN(P171,Q171)</x:f>
        <x:v>1521.3339113366965</x:v>
      </x:c>
      <x:c r="S171" s="40" t="n">
        <x:f>I171+R171</x:f>
        <x:v>205321.2250138324</x:v>
      </x:c>
      <x:c r="T171" s="40" t="n">
        <x:f>U170</x:f>
        <x:v>294664.87023538945</x:v>
      </x:c>
      <x:c r="U171" s="40" t="n">
        <x:f>T171*(1+'Inputs &amp; Summary'!$B$17)+R171+N171+H171</x:f>
        <x:v>297620.5003024271</x:v>
      </x:c>
      <x:c r="V171" s="40" t="n">
        <x:f>Y170</x:f>
        <x:v>245017.60708069865</x:v>
      </x:c>
      <x:c r="W171" s="40" t="n">
        <x:f>V171*'Inputs &amp; Summary'!$B$15</x:f>
        <x:v>910.318711759338</x:v>
      </x:c>
      <x:c r="X171" s="40" t="n">
        <x:f>IF(V171&lt;=0.00000001,0,MIN('Inputs &amp; Summary'!$B$18,V171+W171))</x:f>
        <x:v>2324.586407999052</x:v>
      </x:c>
      <x:c r="Y171" s="40" t="n">
        <x:f>IF(ABS(MAX(0,V171+W171-X171))&lt;0.00000001,0,MAX(0,V171+W171-X171))</x:f>
        <x:v>243603.33938445896</x:v>
      </x:c>
      <x:c r="Z171" s="40" t="n">
        <x:f>MAX(0,'Inputs &amp; Summary'!$B$18-X171)</x:f>
        <x:v>0</x:v>
      </x:c>
      <x:c r="AA171" s="40" t="n">
        <x:f>AC170</x:f>
        <x:v>101115.60158015921</x:v>
      </x:c>
      <x:c r="AB171" s="40" t="n">
        <x:f>J171</x:f>
        <x:v>1103.916076805185</x:v>
      </x:c>
      <x:c r="AC171" s="40" t="n">
        <x:f>AA171*(1+'Inputs &amp; Summary'!$B$17)+Z171+AB171</x:f>
        <x:v>102711.7029606009</x:v>
      </x:c>
      <x:c r="AD171" s="40" t="n">
        <x:f>F171+H171+J171</x:f>
        <x:v>3428.5024848042367</x:v>
      </x:c>
      <x:c r="AE171" s="40" t="n">
        <x:f>X171+Z171+AB171</x:f>
        <x:v>3428.5024848042367</x:v>
      </x:c>
      <x:c r="AF171" s="40" t="n">
        <x:f>AD171-AE171</x:f>
        <x:v>0</x:v>
      </x:c>
      <x:c r="AG171" s="42" t="n">
        <x:f>(O171+S171)/'Inputs &amp; Summary'!$B$4</x:f>
        <x:v>0.6</x:v>
      </x:c>
      <x:c r="AH171" s="40" t="n">
        <x:f>U171-O171-S171</x:f>
        <x:v>-122379.4996975729</x:v>
      </x:c>
      <x:c r="AI171" s="40" t="n">
        <x:f>AC171-Y171</x:f>
        <x:v>-140891.63642385806</x:v>
      </x:c>
      <x:c r="AJ171" s="40" t="n">
        <x:f>AH171-AI171</x:f>
        <x:v>18512.136726285156</x:v>
      </x:c>
    </x:row>
    <x:row r="172">
      <x:c r="A172" t="n">
        <x:f>A171+1</x:f>
        <x:v>168</x:v>
      </x:c>
      <x:c r="B172" t="n">
        <x:f>INT((A172-1)/12)+1</x:f>
        <x:v>14</x:v>
      </x:c>
      <x:c r="C172" t="n">
        <x:f>MOD(A172-1,12)+1</x:f>
        <x:v>12</x:v>
      </x:c>
      <x:c r="D172" s="40" t="n">
        <x:f>O171</x:f>
        <x:v>214678.7749861676</x:v>
      </x:c>
      <x:c r="E172" s="40" t="n">
        <x:f>D172*'Inputs &amp; Summary'!$B$15</x:f>
        <x:v>797.6002550017381</x:v>
      </x:c>
      <x:c r="F172" s="40" t="n">
        <x:f>IF(D172&lt;=0.00000001,0,MIN('Inputs &amp; Summary'!$B$18,D172+E172))</x:f>
        <x:v>2324.586407999052</x:v>
      </x:c>
      <x:c r="G172" s="40" t="n">
        <x:f>IF(ABS(MAX(0,D172+E172-F172))&lt;0.00000001,0,MAX(0,D172+E172-F172))</x:f>
        <x:v>213151.7888331703</x:v>
      </x:c>
      <x:c r="H172" s="40" t="n">
        <x:f>MAX(0,'Inputs &amp; Summary'!$B$18-F172)</x:f>
        <x:v>0</x:v>
      </x:c>
      <x:c r="I172" s="40" t="n">
        <x:f>S171</x:f>
        <x:v>205321.2250138324</x:v>
      </x:c>
      <x:c r="J172" s="40" t="n">
        <x:f>I172*'Inputs &amp; Summary'!$B$16</x:f>
        <x:v>1112.1566354915922</x:v>
      </x:c>
      <x:c r="K172" s="40" t="n">
        <x:f>IF(C172=1,J172,K171+J172)</x:f>
        <x:v>12808.65784805744</x:v>
      </x:c>
      <x:c r="L172" s="40" t="n">
        <x:f>IF(C172=12,K172*'Inputs &amp; Summary'!$B$11*'Inputs &amp; Summary'!$B$12,0)</x:f>
        <x:v>4483.030246820104</x:v>
      </x:c>
      <x:c r="M172" s="40" t="n">
        <x:f>MIN(L172,G172)</x:f>
        <x:v>4483.030246820104</x:v>
      </x:c>
      <x:c r="N172" s="40" t="n">
        <x:f>MAX(0,L172-M172)</x:f>
        <x:v>0</x:v>
      </x:c>
      <x:c r="O172" s="40" t="n">
        <x:f>IF(ABS(MAX(0,G172-M172))&lt;0.00000001,0,MAX(0,G172-M172))</x:f>
        <x:v>208668.75858635022</x:v>
      </x:c>
      <x:c r="P172" s="40" t="n">
        <x:f>MAX(0,D172-O172)</x:f>
        <x:v>6010.016399817396</x:v>
      </x:c>
      <x:c r="Q172" s="40" t="n">
        <x:f>MAX(0,'Inputs &amp; Summary'!$B$19*'Inputs &amp; Summary'!$B$4-O172-I172)</x:f>
        <x:v>41010.016399817396</x:v>
      </x:c>
      <x:c r="R172" s="40" t="n">
        <x:f>MIN(P172,Q172)</x:f>
        <x:v>6010.016399817396</x:v>
      </x:c>
      <x:c r="S172" s="40" t="n">
        <x:f>I172+R172</x:f>
        <x:v>211331.24141364978</x:v>
      </x:c>
      <x:c r="T172" s="40" t="n">
        <x:f>U171</x:f>
        <x:v>297620.5003024271</x:v>
      </x:c>
      <x:c r="U172" s="40" t="n">
        <x:f>T172*(1+'Inputs &amp; Summary'!$B$17)+R172+N172+H172</x:f>
        <x:v>305079.1995367493</x:v>
      </x:c>
      <x:c r="V172" s="40" t="n">
        <x:f>Y171</x:f>
        <x:v>243603.33938445896</x:v>
      </x:c>
      <x:c r="W172" s="40" t="n">
        <x:f>V172*'Inputs &amp; Summary'!$B$15</x:f>
        <x:v>905.0642553034812</x:v>
      </x:c>
      <x:c r="X172" s="40" t="n">
        <x:f>IF(V172&lt;=0.00000001,0,MIN('Inputs &amp; Summary'!$B$18,V172+W172))</x:f>
        <x:v>2324.586407999052</x:v>
      </x:c>
      <x:c r="Y172" s="40" t="n">
        <x:f>IF(ABS(MAX(0,V172+W172-X172))&lt;0.00000001,0,MAX(0,V172+W172-X172))</x:f>
        <x:v>242183.8172317634</x:v>
      </x:c>
      <x:c r="Z172" s="40" t="n">
        <x:f>MAX(0,'Inputs &amp; Summary'!$B$18-X172)</x:f>
        <x:v>0</x:v>
      </x:c>
      <x:c r="AA172" s="40" t="n">
        <x:f>AC171</x:f>
        <x:v>102711.7029606009</x:v>
      </x:c>
      <x:c r="AB172" s="40" t="n">
        <x:f>J172</x:f>
        <x:v>1112.1566354915922</x:v>
      </x:c>
      <x:c r="AC172" s="40" t="n">
        <x:f>AA172*(1+'Inputs &amp; Summary'!$B$17)+Z172+AB172</x:f>
        <x:v>104323.81400390572</x:v>
      </x:c>
      <x:c r="AD172" s="40" t="n">
        <x:f>F172+H172+J172</x:f>
        <x:v>3436.743043490644</x:v>
      </x:c>
      <x:c r="AE172" s="40" t="n">
        <x:f>X172+Z172+AB172</x:f>
        <x:v>3436.743043490644</x:v>
      </x:c>
      <x:c r="AF172" s="40" t="n">
        <x:f>AD172-AE172</x:f>
        <x:v>0</x:v>
      </x:c>
      <x:c r="AG172" s="42" t="n">
        <x:f>(O172+S172)/'Inputs &amp; Summary'!$B$4</x:f>
        <x:v>0.6</x:v>
      </x:c>
      <x:c r="AH172" s="40" t="n">
        <x:f>U172-O172-S172</x:f>
        <x:v>-114920.80046325072</x:v>
      </x:c>
      <x:c r="AI172" s="40" t="n">
        <x:f>AC172-Y172</x:f>
        <x:v>-137860.00322785767</x:v>
      </x:c>
      <x:c r="AJ172" s="40" t="n">
        <x:f>AH172-AI172</x:f>
        <x:v>22939.202764606947</x:v>
      </x:c>
    </x:row>
    <x:row r="173">
      <x:c r="A173" t="n">
        <x:f>A172+1</x:f>
        <x:v>169</x:v>
      </x:c>
      <x:c r="B173" t="n">
        <x:f>INT((A173-1)/12)+1</x:f>
        <x:v>15</x:v>
      </x:c>
      <x:c r="C173" t="n">
        <x:f>MOD(A173-1,12)+1</x:f>
        <x:v>1</x:v>
      </x:c>
      <x:c r="D173" s="40" t="n">
        <x:f>O172</x:f>
        <x:v>208668.75858635022</x:v>
      </x:c>
      <x:c r="E173" s="40" t="n">
        <x:f>D173*'Inputs &amp; Summary'!$B$15</x:f>
        <x:v>775.2711234265843</x:v>
      </x:c>
      <x:c r="F173" s="40" t="n">
        <x:f>IF(D173&lt;=0.00000001,0,MIN('Inputs &amp; Summary'!$B$18,D173+E173))</x:f>
        <x:v>2324.586407999052</x:v>
      </x:c>
      <x:c r="G173" s="40" t="n">
        <x:f>IF(ABS(MAX(0,D173+E173-F173))&lt;0.00000001,0,MAX(0,D173+E173-F173))</x:f>
        <x:v>207119.44330177776</x:v>
      </x:c>
      <x:c r="H173" s="40" t="n">
        <x:f>MAX(0,'Inputs &amp; Summary'!$B$18-F173)</x:f>
        <x:v>0</x:v>
      </x:c>
      <x:c r="I173" s="40" t="n">
        <x:f>S172</x:f>
        <x:v>211331.24141364978</x:v>
      </x:c>
      <x:c r="J173" s="40" t="n">
        <x:f>I173*'Inputs &amp; Summary'!$B$16</x:f>
        <x:v>1144.710890990603</x:v>
      </x:c>
      <x:c r="K173" s="40" t="n">
        <x:f>IF(C173=1,J173,K172+J173)</x:f>
        <x:v>1144.710890990603</x:v>
      </x:c>
      <x:c r="L173" s="40" t="n">
        <x:f>IF(C173=12,K173*'Inputs &amp; Summary'!$B$11*'Inputs &amp; Summary'!$B$12,0)</x:f>
        <x:v>0</x:v>
      </x:c>
      <x:c r="M173" s="40" t="n">
        <x:f>MIN(L173,G173)</x:f>
        <x:v>0</x:v>
      </x:c>
      <x:c r="N173" s="40" t="n">
        <x:f>MAX(0,L173-M173)</x:f>
        <x:v>0</x:v>
      </x:c>
      <x:c r="O173" s="40" t="n">
        <x:f>IF(ABS(MAX(0,G173-M173))&lt;0.00000001,0,MAX(0,G173-M173))</x:f>
        <x:v>207119.44330177776</x:v>
      </x:c>
      <x:c r="P173" s="40" t="n">
        <x:f>MAX(0,D173-O173)</x:f>
        <x:v>1549.3152845724544</x:v>
      </x:c>
      <x:c r="Q173" s="40" t="n">
        <x:f>MAX(0,'Inputs &amp; Summary'!$B$19*'Inputs &amp; Summary'!$B$4-O173-I173)</x:f>
        <x:v>36549.315284572454</x:v>
      </x:c>
      <x:c r="R173" s="40" t="n">
        <x:f>MIN(P173,Q173)</x:f>
        <x:v>1549.3152845724544</x:v>
      </x:c>
      <x:c r="S173" s="40" t="n">
        <x:f>I173+R173</x:f>
        <x:v>212880.55669822224</x:v>
      </x:c>
      <x:c r="T173" s="40" t="n">
        <x:f>U172</x:f>
        <x:v>305079.1995367493</x:v>
      </x:c>
      <x:c r="U173" s="40" t="n">
        <x:f>T173*(1+'Inputs &amp; Summary'!$B$17)+R173+N173+H173</x:f>
        <x:v>308113.50325150124</x:v>
      </x:c>
      <x:c r="V173" s="40" t="n">
        <x:f>Y172</x:f>
        <x:v>242183.8172317634</x:v>
      </x:c>
      <x:c r="W173" s="40" t="n">
        <x:f>V173*'Inputs &amp; Summary'!$B$15</x:f>
        <x:v>899.790276862699</x:v>
      </x:c>
      <x:c r="X173" s="40" t="n">
        <x:f>IF(V173&lt;=0.00000001,0,MIN('Inputs &amp; Summary'!$B$18,V173+W173))</x:f>
        <x:v>2324.586407999052</x:v>
      </x:c>
      <x:c r="Y173" s="40" t="n">
        <x:f>IF(ABS(MAX(0,V173+W173-X173))&lt;0.00000001,0,MAX(0,V173+W173-X173))</x:f>
        <x:v>240759.02110062705</x:v>
      </x:c>
      <x:c r="Z173" s="40" t="n">
        <x:f>MAX(0,'Inputs &amp; Summary'!$B$18-X173)</x:f>
        <x:v>0</x:v>
      </x:c>
      <x:c r="AA173" s="40" t="n">
        <x:f>AC172</x:f>
        <x:v>104323.81400390572</x:v>
      </x:c>
      <x:c r="AB173" s="40" t="n">
        <x:f>J173</x:f>
        <x:v>1144.710890990603</x:v>
      </x:c>
      <x:c r="AC173" s="40" t="n">
        <x:f>AA173*(1+'Inputs &amp; Summary'!$B$17)+Z173+AB173</x:f>
        <x:v>105976.32633472978</x:v>
      </x:c>
      <x:c r="AD173" s="40" t="n">
        <x:f>F173+H173+J173</x:f>
        <x:v>3469.2972989896552</x:v>
      </x:c>
      <x:c r="AE173" s="40" t="n">
        <x:f>X173+Z173+AB173</x:f>
        <x:v>3469.2972989896552</x:v>
      </x:c>
      <x:c r="AF173" s="40" t="n">
        <x:f>AD173-AE173</x:f>
        <x:v>0</x:v>
      </x:c>
      <x:c r="AG173" s="42" t="n">
        <x:f>(O173+S173)/'Inputs &amp; Summary'!$B$4</x:f>
        <x:v>0.6</x:v>
      </x:c>
      <x:c r="AH173" s="40" t="n">
        <x:f>U173-O173-S173</x:f>
        <x:v>-111886.49674849876</x:v>
      </x:c>
      <x:c r="AI173" s="40" t="n">
        <x:f>AC173-Y173</x:f>
        <x:v>-134782.6947658973</x:v>
      </x:c>
      <x:c r="AJ173" s="40" t="n">
        <x:f>AH173-AI173</x:f>
        <x:v>22896.198017398536</x:v>
      </x:c>
    </x:row>
    <x:row r="174">
      <x:c r="A174" t="n">
        <x:f>A173+1</x:f>
        <x:v>170</x:v>
      </x:c>
      <x:c r="B174" t="n">
        <x:f>INT((A174-1)/12)+1</x:f>
        <x:v>15</x:v>
      </x:c>
      <x:c r="C174" t="n">
        <x:f>MOD(A174-1,12)+1</x:f>
        <x:v>2</x:v>
      </x:c>
      <x:c r="D174" s="40" t="n">
        <x:f>O173</x:f>
        <x:v>207119.44330177776</x:v>
      </x:c>
      <x:c r="E174" s="40" t="n">
        <x:f>D174*'Inputs &amp; Summary'!$B$15</x:f>
        <x:v>769.5149220222642</x:v>
      </x:c>
      <x:c r="F174" s="40" t="n">
        <x:f>IF(D174&lt;=0.00000001,0,MIN('Inputs &amp; Summary'!$B$18,D174+E174))</x:f>
        <x:v>2324.586407999052</x:v>
      </x:c>
      <x:c r="G174" s="40" t="n">
        <x:f>IF(ABS(MAX(0,D174+E174-F174))&lt;0.00000001,0,MAX(0,D174+E174-F174))</x:f>
        <x:v>205564.371815801</x:v>
      </x:c>
      <x:c r="H174" s="40" t="n">
        <x:f>MAX(0,'Inputs &amp; Summary'!$B$18-F174)</x:f>
        <x:v>0</x:v>
      </x:c>
      <x:c r="I174" s="40" t="n">
        <x:f>S173</x:f>
        <x:v>212880.55669822224</x:v>
      </x:c>
      <x:c r="J174" s="40" t="n">
        <x:f>I174*'Inputs &amp; Summary'!$B$16</x:f>
        <x:v>1153.103015448704</x:v>
      </x:c>
      <x:c r="K174" s="40" t="n">
        <x:f>IF(C174=1,J174,K173+J174)</x:f>
        <x:v>2297.813906439307</x:v>
      </x:c>
      <x:c r="L174" s="40" t="n">
        <x:f>IF(C174=12,K174*'Inputs &amp; Summary'!$B$11*'Inputs &amp; Summary'!$B$12,0)</x:f>
        <x:v>0</x:v>
      </x:c>
      <x:c r="M174" s="40" t="n">
        <x:f>MIN(L174,G174)</x:f>
        <x:v>0</x:v>
      </x:c>
      <x:c r="N174" s="40" t="n">
        <x:f>MAX(0,L174-M174)</x:f>
        <x:v>0</x:v>
      </x:c>
      <x:c r="O174" s="40" t="n">
        <x:f>IF(ABS(MAX(0,G174-M174))&lt;0.00000001,0,MAX(0,G174-M174))</x:f>
        <x:v>205564.371815801</x:v>
      </x:c>
      <x:c r="P174" s="40" t="n">
        <x:f>MAX(0,D174-O174)</x:f>
        <x:v>1555.0714859767759</x:v>
      </x:c>
      <x:c r="Q174" s="40" t="n">
        <x:f>MAX(0,'Inputs &amp; Summary'!$B$19*'Inputs &amp; Summary'!$B$4-O174-I174)</x:f>
        <x:v>36555.071485976776</x:v>
      </x:c>
      <x:c r="R174" s="40" t="n">
        <x:f>MIN(P174,Q174)</x:f>
        <x:v>1555.0714859767759</x:v>
      </x:c>
      <x:c r="S174" s="40" t="n">
        <x:f>I174+R174</x:f>
        <x:v>214435.628184199</x:v>
      </x:c>
      <x:c r="T174" s="40" t="n">
        <x:f>U173</x:f>
        <x:v>308113.50325150124</x:v>
      </x:c>
      <x:c r="U174" s="40" t="n">
        <x:f>T174*(1+'Inputs &amp; Summary'!$B$17)+R174+N174+H174</x:f>
        <x:v>311168.3327944197</x:v>
      </x:c>
      <x:c r="V174" s="40" t="n">
        <x:f>Y173</x:f>
        <x:v>240759.02110062705</x:v>
      </x:c>
      <x:c r="W174" s="40" t="n">
        <x:f>V174*'Inputs &amp; Summary'!$B$15</x:f>
        <x:v>894.4967039065785</x:v>
      </x:c>
      <x:c r="X174" s="40" t="n">
        <x:f>IF(V174&lt;=0.00000001,0,MIN('Inputs &amp; Summary'!$B$18,V174+W174))</x:f>
        <x:v>2324.586407999052</x:v>
      </x:c>
      <x:c r="Y174" s="40" t="n">
        <x:f>IF(ABS(MAX(0,V174+W174-X174))&lt;0.00000001,0,MAX(0,V174+W174-X174))</x:f>
        <x:v>239328.93139653458</x:v>
      </x:c>
      <x:c r="Z174" s="40" t="n">
        <x:f>MAX(0,'Inputs &amp; Summary'!$B$18-X174)</x:f>
        <x:v>0</x:v>
      </x:c>
      <x:c r="AA174" s="40" t="n">
        <x:f>AC173</x:f>
        <x:v>105976.32633472978</x:v>
      </x:c>
      <x:c r="AB174" s="40" t="n">
        <x:f>J174</x:f>
        <x:v>1153.103015448704</x:v>
      </x:c>
      <x:c r="AC174" s="40" t="n">
        <x:f>AA174*(1+'Inputs &amp; Summary'!$B$17)+Z174+AB174</x:f>
        <x:v>107645.27447734209</x:v>
      </x:c>
      <x:c r="AD174" s="40" t="n">
        <x:f>F174+H174+J174</x:f>
        <x:v>3477.689423447756</x:v>
      </x:c>
      <x:c r="AE174" s="40" t="n">
        <x:f>X174+Z174+AB174</x:f>
        <x:v>3477.689423447756</x:v>
      </x:c>
      <x:c r="AF174" s="40" t="n">
        <x:f>AD174-AE174</x:f>
        <x:v>0</x:v>
      </x:c>
      <x:c r="AG174" s="42" t="n">
        <x:f>(O174+S174)/'Inputs &amp; Summary'!$B$4</x:f>
        <x:v>0.6</x:v>
      </x:c>
      <x:c r="AH174" s="40" t="n">
        <x:f>U174-O174-S174</x:f>
        <x:v>-108831.66720558028</x:v>
      </x:c>
      <x:c r="AI174" s="40" t="n">
        <x:f>AC174-Y174</x:f>
        <x:v>-131683.6569191925</x:v>
      </x:c>
      <x:c r="AJ174" s="40" t="n">
        <x:f>AH174-AI174</x:f>
        <x:v>22851.989713612216</x:v>
      </x:c>
    </x:row>
    <x:row r="175">
      <x:c r="A175" t="n">
        <x:f>A174+1</x:f>
        <x:v>171</x:v>
      </x:c>
      <x:c r="B175" t="n">
        <x:f>INT((A175-1)/12)+1</x:f>
        <x:v>15</x:v>
      </x:c>
      <x:c r="C175" t="n">
        <x:f>MOD(A175-1,12)+1</x:f>
        <x:v>3</x:v>
      </x:c>
      <x:c r="D175" s="40" t="n">
        <x:f>O174</x:f>
        <x:v>205564.371815801</x:v>
      </x:c>
      <x:c r="E175" s="40" t="n">
        <x:f>D175*'Inputs &amp; Summary'!$B$15</x:f>
        <x:v>763.7373344901902</x:v>
      </x:c>
      <x:c r="F175" s="40" t="n">
        <x:f>IF(D175&lt;=0.00000001,0,MIN('Inputs &amp; Summary'!$B$18,D175+E175))</x:f>
        <x:v>2324.586407999052</x:v>
      </x:c>
      <x:c r="G175" s="40" t="n">
        <x:f>IF(ABS(MAX(0,D175+E175-F175))&lt;0.00000001,0,MAX(0,D175+E175-F175))</x:f>
        <x:v>204003.52274229215</x:v>
      </x:c>
      <x:c r="H175" s="40" t="n">
        <x:f>MAX(0,'Inputs &amp; Summary'!$B$18-F175)</x:f>
        <x:v>0</x:v>
      </x:c>
      <x:c r="I175" s="40" t="n">
        <x:f>S174</x:f>
        <x:v>214435.628184199</x:v>
      </x:c>
      <x:c r="J175" s="40" t="n">
        <x:f>I175*'Inputs &amp; Summary'!$B$16</x:f>
        <x:v>1161.526319331078</x:v>
      </x:c>
      <x:c r="K175" s="40" t="n">
        <x:f>IF(C175=1,J175,K174+J175)</x:f>
        <x:v>3459.340225770385</x:v>
      </x:c>
      <x:c r="L175" s="40" t="n">
        <x:f>IF(C175=12,K175*'Inputs &amp; Summary'!$B$11*'Inputs &amp; Summary'!$B$12,0)</x:f>
        <x:v>0</x:v>
      </x:c>
      <x:c r="M175" s="40" t="n">
        <x:f>MIN(L175,G175)</x:f>
        <x:v>0</x:v>
      </x:c>
      <x:c r="N175" s="40" t="n">
        <x:f>MAX(0,L175-M175)</x:f>
        <x:v>0</x:v>
      </x:c>
      <x:c r="O175" s="40" t="n">
        <x:f>IF(ABS(MAX(0,G175-M175))&lt;0.00000001,0,MAX(0,G175-M175))</x:f>
        <x:v>204003.52274229215</x:v>
      </x:c>
      <x:c r="P175" s="40" t="n">
        <x:f>MAX(0,D175-O175)</x:f>
        <x:v>1560.8490735088417</x:v>
      </x:c>
      <x:c r="Q175" s="40" t="n">
        <x:f>MAX(0,'Inputs &amp; Summary'!$B$19*'Inputs &amp; Summary'!$B$4-O175-I175)</x:f>
        <x:v>36560.84907350884</x:v>
      </x:c>
      <x:c r="R175" s="40" t="n">
        <x:f>MIN(P175,Q175)</x:f>
        <x:v>1560.8490735088417</x:v>
      </x:c>
      <x:c r="S175" s="40" t="n">
        <x:f>I175+R175</x:f>
        <x:v>215996.47725770785</x:v>
      </x:c>
      <x:c r="T175" s="40" t="n">
        <x:f>U174</x:f>
        <x:v>311168.3327944197</x:v>
      </x:c>
      <x:c r="U175" s="40" t="n">
        <x:f>T175*(1+'Inputs &amp; Summary'!$B$17)+R175+N175+H175</x:f>
        <x:v>314243.8094621389</x:v>
      </x:c>
      <x:c r="V175" s="40" t="n">
        <x:f>Y174</x:f>
        <x:v>239328.93139653458</x:v>
      </x:c>
      <x:c r="W175" s="40" t="n">
        <x:f>V175*'Inputs &amp; Summary'!$B$15</x:f>
        <x:v>889.1834636352336</x:v>
      </x:c>
      <x:c r="X175" s="40" t="n">
        <x:f>IF(V175&lt;=0.00000001,0,MIN('Inputs &amp; Summary'!$B$18,V175+W175))</x:f>
        <x:v>2324.586407999052</x:v>
      </x:c>
      <x:c r="Y175" s="40" t="n">
        <x:f>IF(ABS(MAX(0,V175+W175-X175))&lt;0.00000001,0,MAX(0,V175+W175-X175))</x:f>
        <x:v>237893.52845217078</x:v>
      </x:c>
      <x:c r="Z175" s="40" t="n">
        <x:f>MAX(0,'Inputs &amp; Summary'!$B$18-X175)</x:f>
        <x:v>0</x:v>
      </x:c>
      <x:c r="AA175" s="40" t="n">
        <x:f>AC174</x:f>
        <x:v>107645.27447734209</x:v>
      </x:c>
      <x:c r="AB175" s="40" t="n">
        <x:f>J175</x:f>
        <x:v>1161.526319331078</x:v>
      </x:c>
      <x:c r="AC175" s="40" t="n">
        <x:f>AA175*(1+'Inputs &amp; Summary'!$B$17)+Z175+AB175</x:f>
        <x:v>109330.76961331186</x:v>
      </x:c>
      <x:c r="AD175" s="40" t="n">
        <x:f>F175+H175+J175</x:f>
        <x:v>3486.11272733013</x:v>
      </x:c>
      <x:c r="AE175" s="40" t="n">
        <x:f>X175+Z175+AB175</x:f>
        <x:v>3486.11272733013</x:v>
      </x:c>
      <x:c r="AF175" s="40" t="n">
        <x:f>AD175-AE175</x:f>
        <x:v>0</x:v>
      </x:c>
      <x:c r="AG175" s="42" t="n">
        <x:f>(O175+S175)/'Inputs &amp; Summary'!$B$4</x:f>
        <x:v>0.6</x:v>
      </x:c>
      <x:c r="AH175" s="40" t="n">
        <x:f>U175-O175-S175</x:f>
        <x:v>-105756.19053786108</x:v>
      </x:c>
      <x:c r="AI175" s="40" t="n">
        <x:f>AC175-Y175</x:f>
        <x:v>-128562.75883885892</x:v>
      </x:c>
      <x:c r="AJ175" s="40" t="n">
        <x:f>AH175-AI175</x:f>
        <x:v>22806.56830099784</x:v>
      </x:c>
    </x:row>
    <x:row r="176">
      <x:c r="A176" t="n">
        <x:f>A175+1</x:f>
        <x:v>172</x:v>
      </x:c>
      <x:c r="B176" t="n">
        <x:f>INT((A176-1)/12)+1</x:f>
        <x:v>15</x:v>
      </x:c>
      <x:c r="C176" t="n">
        <x:f>MOD(A176-1,12)+1</x:f>
        <x:v>4</x:v>
      </x:c>
      <x:c r="D176" s="40" t="n">
        <x:f>O175</x:f>
        <x:v>204003.52274229215</x:v>
      </x:c>
      <x:c r="E176" s="40" t="n">
        <x:f>D176*'Inputs &amp; Summary'!$B$15</x:f>
        <x:v>757.9382813740631</x:v>
      </x:c>
      <x:c r="F176" s="40" t="n">
        <x:f>IF(D176&lt;=0.00000001,0,MIN('Inputs &amp; Summary'!$B$18,D176+E176))</x:f>
        <x:v>2324.586407999052</x:v>
      </x:c>
      <x:c r="G176" s="40" t="n">
        <x:f>IF(ABS(MAX(0,D176+E176-F176))&lt;0.00000001,0,MAX(0,D176+E176-F176))</x:f>
        <x:v>202436.87461566716</x:v>
      </x:c>
      <x:c r="H176" s="40" t="n">
        <x:f>MAX(0,'Inputs &amp; Summary'!$B$18-F176)</x:f>
        <x:v>0</x:v>
      </x:c>
      <x:c r="I176" s="40" t="n">
        <x:f>S175</x:f>
        <x:v>215996.47725770785</x:v>
      </x:c>
      <x:c r="J176" s="40" t="n">
        <x:f>I176*'Inputs &amp; Summary'!$B$16</x:f>
        <x:v>1169.980918479251</x:v>
      </x:c>
      <x:c r="K176" s="40" t="n">
        <x:f>IF(C176=1,J176,K175+J176)</x:f>
        <x:v>4629.321144249636</x:v>
      </x:c>
      <x:c r="L176" s="40" t="n">
        <x:f>IF(C176=12,K176*'Inputs &amp; Summary'!$B$11*'Inputs &amp; Summary'!$B$12,0)</x:f>
        <x:v>0</x:v>
      </x:c>
      <x:c r="M176" s="40" t="n">
        <x:f>MIN(L176,G176)</x:f>
        <x:v>0</x:v>
      </x:c>
      <x:c r="N176" s="40" t="n">
        <x:f>MAX(0,L176-M176)</x:f>
        <x:v>0</x:v>
      </x:c>
      <x:c r="O176" s="40" t="n">
        <x:f>IF(ABS(MAX(0,G176-M176))&lt;0.00000001,0,MAX(0,G176-M176))</x:f>
        <x:v>202436.87461566716</x:v>
      </x:c>
      <x:c r="P176" s="40" t="n">
        <x:f>MAX(0,D176-O176)</x:f>
        <x:v>1566.6481266249903</x:v>
      </x:c>
      <x:c r="Q176" s="40" t="n">
        <x:f>MAX(0,'Inputs &amp; Summary'!$B$19*'Inputs &amp; Summary'!$B$4-O176-I176)</x:f>
        <x:v>36566.64812662499</x:v>
      </x:c>
      <x:c r="R176" s="40" t="n">
        <x:f>MIN(P176,Q176)</x:f>
        <x:v>1566.6481266249903</x:v>
      </x:c>
      <x:c r="S176" s="40" t="n">
        <x:f>I176+R176</x:f>
        <x:v>217563.12538433284</x:v>
      </x:c>
      <x:c r="T176" s="40" t="n">
        <x:f>U175</x:f>
        <x:v>314243.8094621389</x:v>
      </x:c>
      <x:c r="U176" s="40" t="n">
        <x:f>T176*(1+'Inputs &amp; Summary'!$B$17)+R176+N176+H176</x:f>
        <x:v>317340.05522116687</x:v>
      </x:c>
      <x:c r="V176" s="40" t="n">
        <x:f>Y175</x:f>
        <x:v>237893.52845217078</x:v>
      </x:c>
      <x:c r="W176" s="40" t="n">
        <x:f>V176*'Inputs &amp; Summary'!$B$15</x:f>
        <x:v>883.8504829783028</x:v>
      </x:c>
      <x:c r="X176" s="40" t="n">
        <x:f>IF(V176&lt;=0.00000001,0,MIN('Inputs &amp; Summary'!$B$18,V176+W176))</x:f>
        <x:v>2324.586407999052</x:v>
      </x:c>
      <x:c r="Y176" s="40" t="n">
        <x:f>IF(ABS(MAX(0,V176+W176-X176))&lt;0.00000001,0,MAX(0,V176+W176-X176))</x:f>
        <x:v>236452.79252715004</x:v>
      </x:c>
      <x:c r="Z176" s="40" t="n">
        <x:f>MAX(0,'Inputs &amp; Summary'!$B$18-X176)</x:f>
        <x:v>0</x:v>
      </x:c>
      <x:c r="AA176" s="40" t="n">
        <x:f>AC175</x:f>
        <x:v>109330.76961331186</x:v>
      </x:c>
      <x:c r="AB176" s="40" t="n">
        <x:f>J176</x:f>
        <x:v>1169.980918479251</x:v>
      </x:c>
      <x:c r="AC176" s="40" t="n">
        <x:f>AA176*(1+'Inputs &amp; Summary'!$B$17)+Z176+AB176</x:f>
        <x:v>111032.92358123178</x:v>
      </x:c>
      <x:c r="AD176" s="40" t="n">
        <x:f>F176+H176+J176</x:f>
        <x:v>3494.5673264783027</x:v>
      </x:c>
      <x:c r="AE176" s="40" t="n">
        <x:f>X176+Z176+AB176</x:f>
        <x:v>3494.5673264783027</x:v>
      </x:c>
      <x:c r="AF176" s="40" t="n">
        <x:f>AD176-AE176</x:f>
        <x:v>0</x:v>
      </x:c>
      <x:c r="AG176" s="42" t="n">
        <x:f>(O176+S176)/'Inputs &amp; Summary'!$B$4</x:f>
        <x:v>0.6</x:v>
      </x:c>
      <x:c r="AH176" s="40" t="n">
        <x:f>U176-O176-S176</x:f>
        <x:v>-102659.94477883313</x:v>
      </x:c>
      <x:c r="AI176" s="40" t="n">
        <x:f>AC176-Y176</x:f>
        <x:v>-125419.86894591826</x:v>
      </x:c>
      <x:c r="AJ176" s="40" t="n">
        <x:f>AH176-AI176</x:f>
        <x:v>22759.924167085133</x:v>
      </x:c>
    </x:row>
    <x:row r="177">
      <x:c r="A177" t="n">
        <x:f>A176+1</x:f>
        <x:v>173</x:v>
      </x:c>
      <x:c r="B177" t="n">
        <x:f>INT((A177-1)/12)+1</x:f>
        <x:v>15</x:v>
      </x:c>
      <x:c r="C177" t="n">
        <x:f>MOD(A177-1,12)+1</x:f>
        <x:v>5</x:v>
      </x:c>
      <x:c r="D177" s="40" t="n">
        <x:f>O176</x:f>
        <x:v>202436.87461566716</x:v>
      </x:c>
      <x:c r="E177" s="40" t="n">
        <x:f>D177*'Inputs &amp; Summary'!$B$15</x:f>
        <x:v>752.1176829223782</x:v>
      </x:c>
      <x:c r="F177" s="40" t="n">
        <x:f>IF(D177&lt;=0.00000001,0,MIN('Inputs &amp; Summary'!$B$18,D177+E177))</x:f>
        <x:v>2324.586407999052</x:v>
      </x:c>
      <x:c r="G177" s="40" t="n">
        <x:f>IF(ABS(MAX(0,D177+E177-F177))&lt;0.00000001,0,MAX(0,D177+E177-F177))</x:f>
        <x:v>200864.40589059048</x:v>
      </x:c>
      <x:c r="H177" s="40" t="n">
        <x:f>MAX(0,'Inputs &amp; Summary'!$B$18-F177)</x:f>
        <x:v>0</x:v>
      </x:c>
      <x:c r="I177" s="40" t="n">
        <x:f>S176</x:f>
        <x:v>217563.12538433284</x:v>
      </x:c>
      <x:c r="J177" s="40" t="n">
        <x:f>I177*'Inputs &amp; Summary'!$B$16</x:f>
        <x:v>1178.4669291651362</x:v>
      </x:c>
      <x:c r="K177" s="40" t="n">
        <x:f>IF(C177=1,J177,K176+J177)</x:f>
        <x:v>5807.788073414772</x:v>
      </x:c>
      <x:c r="L177" s="40" t="n">
        <x:f>IF(C177=12,K177*'Inputs &amp; Summary'!$B$11*'Inputs &amp; Summary'!$B$12,0)</x:f>
        <x:v>0</x:v>
      </x:c>
      <x:c r="M177" s="40" t="n">
        <x:f>MIN(L177,G177)</x:f>
        <x:v>0</x:v>
      </x:c>
      <x:c r="N177" s="40" t="n">
        <x:f>MAX(0,L177-M177)</x:f>
        <x:v>0</x:v>
      </x:c>
      <x:c r="O177" s="40" t="n">
        <x:f>IF(ABS(MAX(0,G177-M177))&lt;0.00000001,0,MAX(0,G177-M177))</x:f>
        <x:v>200864.40589059048</x:v>
      </x:c>
      <x:c r="P177" s="40" t="n">
        <x:f>MAX(0,D177-O177)</x:f>
        <x:v>1572.4687250766729</x:v>
      </x:c>
      <x:c r="Q177" s="40" t="n">
        <x:f>MAX(0,'Inputs &amp; Summary'!$B$19*'Inputs &amp; Summary'!$B$4-O177-I177)</x:f>
        <x:v>36572.46872507667</x:v>
      </x:c>
      <x:c r="R177" s="40" t="n">
        <x:f>MIN(P177,Q177)</x:f>
        <x:v>1572.4687250766729</x:v>
      </x:c>
      <x:c r="S177" s="40" t="n">
        <x:f>I177+R177</x:f>
        <x:v>219135.59410940952</x:v>
      </x:c>
      <x:c r="T177" s="40" t="n">
        <x:f>U176</x:f>
        <x:v>317340.05522116687</x:v>
      </x:c>
      <x:c r="U177" s="40" t="n">
        <x:f>T177*(1+'Inputs &amp; Summary'!$B$17)+R177+N177+H177</x:f>
        <x:v>320457.1927114413</x:v>
      </x:c>
      <x:c r="V177" s="40" t="n">
        <x:f>Y176</x:f>
        <x:v>236452.79252715004</x:v>
      </x:c>
      <x:c r="W177" s="40" t="n">
        <x:f>V177*'Inputs &amp; Summary'!$B$15</x:f>
        <x:v>878.4976885939453</x:v>
      </x:c>
      <x:c r="X177" s="40" t="n">
        <x:f>IF(V177&lt;=0.00000001,0,MIN('Inputs &amp; Summary'!$B$18,V177+W177))</x:f>
        <x:v>2324.586407999052</x:v>
      </x:c>
      <x:c r="Y177" s="40" t="n">
        <x:f>IF(ABS(MAX(0,V177+W177-X177))&lt;0.00000001,0,MAX(0,V177+W177-X177))</x:f>
        <x:v>235006.70380774495</x:v>
      </x:c>
      <x:c r="Z177" s="40" t="n">
        <x:f>MAX(0,'Inputs &amp; Summary'!$B$18-X177)</x:f>
        <x:v>0</x:v>
      </x:c>
      <x:c r="AA177" s="40" t="n">
        <x:f>AC176</x:f>
        <x:v>111032.92358123178</x:v>
      </x:c>
      <x:c r="AB177" s="40" t="n">
        <x:f>J177</x:f>
        <x:v>1178.4669291651362</x:v>
      </x:c>
      <x:c r="AC177" s="40" t="n">
        <x:f>AA177*(1+'Inputs &amp; Summary'!$B$17)+Z177+AB177</x:f>
        <x:v>112751.84888034643</x:v>
      </x:c>
      <x:c r="AD177" s="40" t="n">
        <x:f>F177+H177+J177</x:f>
        <x:v>3503.053337164188</x:v>
      </x:c>
      <x:c r="AE177" s="40" t="n">
        <x:f>X177+Z177+AB177</x:f>
        <x:v>3503.053337164188</x:v>
      </x:c>
      <x:c r="AF177" s="40" t="n">
        <x:f>AD177-AE177</x:f>
        <x:v>0</x:v>
      </x:c>
      <x:c r="AG177" s="42" t="n">
        <x:f>(O177+S177)/'Inputs &amp; Summary'!$B$4</x:f>
        <x:v>0.6</x:v>
      </x:c>
      <x:c r="AH177" s="40" t="n">
        <x:f>U177-O177-S177</x:f>
        <x:v>-99542.80728855869</x:v>
      </x:c>
      <x:c r="AI177" s="40" t="n">
        <x:f>AC177-Y177</x:f>
        <x:v>-122254.85492739853</x:v>
      </x:c>
      <x:c r="AJ177" s="40" t="n">
        <x:f>AH177-AI177</x:f>
        <x:v>22712.04763883984</x:v>
      </x:c>
    </x:row>
    <x:row r="178">
      <x:c r="A178" t="n">
        <x:f>A177+1</x:f>
        <x:v>174</x:v>
      </x:c>
      <x:c r="B178" t="n">
        <x:f>INT((A178-1)/12)+1</x:f>
        <x:v>15</x:v>
      </x:c>
      <x:c r="C178" t="n">
        <x:f>MOD(A178-1,12)+1</x:f>
        <x:v>6</x:v>
      </x:c>
      <x:c r="D178" s="40" t="n">
        <x:f>O177</x:f>
        <x:v>200864.40589059048</x:v>
      </x:c>
      <x:c r="E178" s="40" t="n">
        <x:f>D178*'Inputs &amp; Summary'!$B$15</x:f>
        <x:v>746.2754590873287</x:v>
      </x:c>
      <x:c r="F178" s="40" t="n">
        <x:f>IF(D178&lt;=0.00000001,0,MIN('Inputs &amp; Summary'!$B$18,D178+E178))</x:f>
        <x:v>2324.586407999052</x:v>
      </x:c>
      <x:c r="G178" s="40" t="n">
        <x:f>IF(ABS(MAX(0,D178+E178-F178))&lt;0.00000001,0,MAX(0,D178+E178-F178))</x:f>
        <x:v>199286.09494167878</x:v>
      </x:c>
      <x:c r="H178" s="40" t="n">
        <x:f>MAX(0,'Inputs &amp; Summary'!$B$18-F178)</x:f>
        <x:v>0</x:v>
      </x:c>
      <x:c r="I178" s="40" t="n">
        <x:f>S177</x:f>
        <x:v>219135.59410940952</x:v>
      </x:c>
      <x:c r="J178" s="40" t="n">
        <x:f>I178*'Inputs &amp; Summary'!$B$16</x:f>
        <x:v>1186.9844680926349</x:v>
      </x:c>
      <x:c r="K178" s="40" t="n">
        <x:f>IF(C178=1,J178,K177+J178)</x:f>
        <x:v>6994.772541507407</x:v>
      </x:c>
      <x:c r="L178" s="40" t="n">
        <x:f>IF(C178=12,K178*'Inputs &amp; Summary'!$B$11*'Inputs &amp; Summary'!$B$12,0)</x:f>
        <x:v>0</x:v>
      </x:c>
      <x:c r="M178" s="40" t="n">
        <x:f>MIN(L178,G178)</x:f>
        <x:v>0</x:v>
      </x:c>
      <x:c r="N178" s="40" t="n">
        <x:f>MAX(0,L178-M178)</x:f>
        <x:v>0</x:v>
      </x:c>
      <x:c r="O178" s="40" t="n">
        <x:f>IF(ABS(MAX(0,G178-M178))&lt;0.00000001,0,MAX(0,G178-M178))</x:f>
        <x:v>199286.09494167878</x:v>
      </x:c>
      <x:c r="P178" s="40" t="n">
        <x:f>MAX(0,D178-O178)</x:f>
        <x:v>1578.310948911705</x:v>
      </x:c>
      <x:c r="Q178" s="40" t="n">
        <x:f>MAX(0,'Inputs &amp; Summary'!$B$19*'Inputs &amp; Summary'!$B$4-O178-I178)</x:f>
        <x:v>36578.310948911705</x:v>
      </x:c>
      <x:c r="R178" s="40" t="n">
        <x:f>MIN(P178,Q178)</x:f>
        <x:v>1578.310948911705</x:v>
      </x:c>
      <x:c r="S178" s="40" t="n">
        <x:f>I178+R178</x:f>
        <x:v>220713.90505832122</x:v>
      </x:c>
      <x:c r="T178" s="40" t="n">
        <x:f>U177</x:f>
        <x:v>320457.1927114413</x:v>
      </x:c>
      <x:c r="U178" s="40" t="n">
        <x:f>T178*(1+'Inputs &amp; Summary'!$B$17)+R178+N178+H178</x:f>
        <x:v>323595.34524990385</x:v>
      </x:c>
      <x:c r="V178" s="40" t="n">
        <x:f>Y177</x:f>
        <x:v>235006.70380774495</x:v>
      </x:c>
      <x:c r="W178" s="40" t="n">
        <x:f>V178*'Inputs &amp; Summary'!$B$15</x:f>
        <x:v>873.1250068678318</x:v>
      </x:c>
      <x:c r="X178" s="40" t="n">
        <x:f>IF(V178&lt;=0.00000001,0,MIN('Inputs &amp; Summary'!$B$18,V178+W178))</x:f>
        <x:v>2324.586407999052</x:v>
      </x:c>
      <x:c r="Y178" s="40" t="n">
        <x:f>IF(ABS(MAX(0,V178+W178-X178))&lt;0.00000001,0,MAX(0,V178+W178-X178))</x:f>
        <x:v>233555.24240661375</x:v>
      </x:c>
      <x:c r="Z178" s="40" t="n">
        <x:f>MAX(0,'Inputs &amp; Summary'!$B$18-X178)</x:f>
        <x:v>0</x:v>
      </x:c>
      <x:c r="AA178" s="40" t="n">
        <x:f>AC177</x:f>
        <x:v>112751.84888034643</x:v>
      </x:c>
      <x:c r="AB178" s="40" t="n">
        <x:f>J178</x:f>
        <x:v>1186.9844680926349</x:v>
      </x:c>
      <x:c r="AC178" s="40" t="n">
        <x:f>AA178*(1+'Inputs &amp; Summary'!$B$17)+Z178+AB178</x:f>
        <x:v>114487.65867420007</x:v>
      </x:c>
      <x:c r="AD178" s="40" t="n">
        <x:f>F178+H178+J178</x:f>
        <x:v>3511.570876091687</x:v>
      </x:c>
      <x:c r="AE178" s="40" t="n">
        <x:f>X178+Z178+AB178</x:f>
        <x:v>3511.570876091687</x:v>
      </x:c>
      <x:c r="AF178" s="40" t="n">
        <x:f>AD178-AE178</x:f>
        <x:v>0</x:v>
      </x:c>
      <x:c r="AG178" s="42" t="n">
        <x:f>(O178+S178)/'Inputs &amp; Summary'!$B$4</x:f>
        <x:v>0.6</x:v>
      </x:c>
      <x:c r="AH178" s="40" t="n">
        <x:f>U178-O178-S178</x:f>
        <x:v>-96404.65475009615</x:v>
      </x:c>
      <x:c r="AI178" s="40" t="n">
        <x:f>AC178-Y178</x:f>
        <x:v>-119067.58373241368</x:v>
      </x:c>
      <x:c r="AJ178" s="40" t="n">
        <x:f>AH178-AI178</x:f>
        <x:v>22662.928982317535</x:v>
      </x:c>
    </x:row>
    <x:row r="179">
      <x:c r="A179" t="n">
        <x:f>A178+1</x:f>
        <x:v>175</x:v>
      </x:c>
      <x:c r="B179" t="n">
        <x:f>INT((A179-1)/12)+1</x:f>
        <x:v>15</x:v>
      </x:c>
      <x:c r="C179" t="n">
        <x:f>MOD(A179-1,12)+1</x:f>
        <x:v>7</x:v>
      </x:c>
      <x:c r="D179" s="40" t="n">
        <x:f>O178</x:f>
        <x:v>199286.09494167878</x:v>
      </x:c>
      <x:c r="E179" s="40" t="n">
        <x:f>D179*'Inputs &amp; Summary'!$B$15</x:f>
        <x:v>740.4115295237046</x:v>
      </x:c>
      <x:c r="F179" s="40" t="n">
        <x:f>IF(D179&lt;=0.00000001,0,MIN('Inputs &amp; Summary'!$B$18,D179+E179))</x:f>
        <x:v>2324.586407999052</x:v>
      </x:c>
      <x:c r="G179" s="40" t="n">
        <x:f>IF(ABS(MAX(0,D179+E179-F179))&lt;0.00000001,0,MAX(0,D179+E179-F179))</x:f>
        <x:v>197701.92006320343</x:v>
      </x:c>
      <x:c r="H179" s="40" t="n">
        <x:f>MAX(0,'Inputs &amp; Summary'!$B$18-F179)</x:f>
        <x:v>0</x:v>
      </x:c>
      <x:c r="I179" s="40" t="n">
        <x:f>S178</x:f>
        <x:v>220713.90505832122</x:v>
      </x:c>
      <x:c r="J179" s="40" t="n">
        <x:f>I179*'Inputs &amp; Summary'!$B$16</x:f>
        <x:v>1195.53365239924</x:v>
      </x:c>
      <x:c r="K179" s="40" t="n">
        <x:f>IF(C179=1,J179,K178+J179)</x:f>
        <x:v>8190.306193906647</x:v>
      </x:c>
      <x:c r="L179" s="40" t="n">
        <x:f>IF(C179=12,K179*'Inputs &amp; Summary'!$B$11*'Inputs &amp; Summary'!$B$12,0)</x:f>
        <x:v>0</x:v>
      </x:c>
      <x:c r="M179" s="40" t="n">
        <x:f>MIN(L179,G179)</x:f>
        <x:v>0</x:v>
      </x:c>
      <x:c r="N179" s="40" t="n">
        <x:f>MAX(0,L179-M179)</x:f>
        <x:v>0</x:v>
      </x:c>
      <x:c r="O179" s="40" t="n">
        <x:f>IF(ABS(MAX(0,G179-M179))&lt;0.00000001,0,MAX(0,G179-M179))</x:f>
        <x:v>197701.92006320343</x:v>
      </x:c>
      <x:c r="P179" s="40" t="n">
        <x:f>MAX(0,D179-O179)</x:f>
        <x:v>1584.1748784753436</x:v>
      </x:c>
      <x:c r="Q179" s="40" t="n">
        <x:f>MAX(0,'Inputs &amp; Summary'!$B$19*'Inputs &amp; Summary'!$B$4-O179-I179)</x:f>
        <x:v>36584.17487847534</x:v>
      </x:c>
      <x:c r="R179" s="40" t="n">
        <x:f>MIN(P179,Q179)</x:f>
        <x:v>1584.1748784753436</x:v>
      </x:c>
      <x:c r="S179" s="40" t="n">
        <x:f>I179+R179</x:f>
        <x:v>222298.07993679657</x:v>
      </x:c>
      <x:c r="T179" s="40" t="n">
        <x:f>U178</x:f>
        <x:v>323595.34524990385</x:v>
      </x:c>
      <x:c r="U179" s="40" t="n">
        <x:f>T179*(1+'Inputs &amp; Summary'!$B$17)+R179+N179+H179</x:f>
        <x:v>326754.6368340928</x:v>
      </x:c>
      <x:c r="V179" s="40" t="n">
        <x:f>Y178</x:f>
        <x:v>233555.24240661375</x:v>
      </x:c>
      <x:c r="W179" s="40" t="n">
        <x:f>V179*'Inputs &amp; Summary'!$B$15</x:f>
        <x:v>867.7323639121319</x:v>
      </x:c>
      <x:c r="X179" s="40" t="n">
        <x:f>IF(V179&lt;=0.00000001,0,MIN('Inputs &amp; Summary'!$B$18,V179+W179))</x:f>
        <x:v>2324.586407999052</x:v>
      </x:c>
      <x:c r="Y179" s="40" t="n">
        <x:f>IF(ABS(MAX(0,V179+W179-X179))&lt;0.00000001,0,MAX(0,V179+W179-X179))</x:f>
        <x:v>232098.38836252684</x:v>
      </x:c>
      <x:c r="Z179" s="40" t="n">
        <x:f>MAX(0,'Inputs &amp; Summary'!$B$18-X179)</x:f>
        <x:v>0</x:v>
      </x:c>
      <x:c r="AA179" s="40" t="n">
        <x:f>AC178</x:f>
        <x:v>114487.65867420007</x:v>
      </x:c>
      <x:c r="AB179" s="40" t="n">
        <x:f>J179</x:f>
        <x:v>1195.53365239924</x:v>
      </x:c>
      <x:c r="AC179" s="40" t="n">
        <x:f>AA179*(1+'Inputs &amp; Summary'!$B$17)+Z179+AB179</x:f>
        <x:v>116240.46679430372</x:v>
      </x:c>
      <x:c r="AD179" s="40" t="n">
        <x:f>F179+H179+J179</x:f>
        <x:v>3520.120060398292</x:v>
      </x:c>
      <x:c r="AE179" s="40" t="n">
        <x:f>X179+Z179+AB179</x:f>
        <x:v>3520.120060398292</x:v>
      </x:c>
      <x:c r="AF179" s="40" t="n">
        <x:f>AD179-AE179</x:f>
        <x:v>0</x:v>
      </x:c>
      <x:c r="AG179" s="42" t="n">
        <x:f>(O179+S179)/'Inputs &amp; Summary'!$B$4</x:f>
        <x:v>0.6</x:v>
      </x:c>
      <x:c r="AH179" s="40" t="n">
        <x:f>U179-O179-S179</x:f>
        <x:v>-93245.36316590721</x:v>
      </x:c>
      <x:c r="AI179" s="40" t="n">
        <x:f>AC179-Y179</x:f>
        <x:v>-115857.92156822312</x:v>
      </x:c>
      <x:c r="AJ179" s="40" t="n">
        <x:f>AH179-AI179</x:f>
        <x:v>22612.558402315903</x:v>
      </x:c>
    </x:row>
    <x:row r="180">
      <x:c r="A180" t="n">
        <x:f>A179+1</x:f>
        <x:v>176</x:v>
      </x:c>
      <x:c r="B180" t="n">
        <x:f>INT((A180-1)/12)+1</x:f>
        <x:v>15</x:v>
      </x:c>
      <x:c r="C180" t="n">
        <x:f>MOD(A180-1,12)+1</x:f>
        <x:v>8</x:v>
      </x:c>
      <x:c r="D180" s="40" t="n">
        <x:f>O179</x:f>
        <x:v>197701.92006320343</x:v>
      </x:c>
      <x:c r="E180" s="40" t="n">
        <x:f>D180*'Inputs &amp; Summary'!$B$15</x:f>
        <x:v>734.5258135877873</x:v>
      </x:c>
      <x:c r="F180" s="40" t="n">
        <x:f>IF(D180&lt;=0.00000001,0,MIN('Inputs &amp; Summary'!$B$18,D180+E180))</x:f>
        <x:v>2324.586407999052</x:v>
      </x:c>
      <x:c r="G180" s="40" t="n">
        <x:f>IF(ABS(MAX(0,D180+E180-F180))&lt;0.00000001,0,MAX(0,D180+E180-F180))</x:f>
        <x:v>196111.8594687922</x:v>
      </x:c>
      <x:c r="H180" s="40" t="n">
        <x:f>MAX(0,'Inputs &amp; Summary'!$B$18-F180)</x:f>
        <x:v>0</x:v>
      </x:c>
      <x:c r="I180" s="40" t="n">
        <x:f>S179</x:f>
        <x:v>222298.07993679657</x:v>
      </x:c>
      <x:c r="J180" s="40" t="n">
        <x:f>I180*'Inputs &amp; Summary'!$B$16</x:f>
        <x:v>1204.1145996576481</x:v>
      </x:c>
      <x:c r="K180" s="40" t="n">
        <x:f>IF(C180=1,J180,K179+J180)</x:f>
        <x:v>9394.420793564295</x:v>
      </x:c>
      <x:c r="L180" s="40" t="n">
        <x:f>IF(C180=12,K180*'Inputs &amp; Summary'!$B$11*'Inputs &amp; Summary'!$B$12,0)</x:f>
        <x:v>0</x:v>
      </x:c>
      <x:c r="M180" s="40" t="n">
        <x:f>MIN(L180,G180)</x:f>
        <x:v>0</x:v>
      </x:c>
      <x:c r="N180" s="40" t="n">
        <x:f>MAX(0,L180-M180)</x:f>
        <x:v>0</x:v>
      </x:c>
      <x:c r="O180" s="40" t="n">
        <x:f>IF(ABS(MAX(0,G180-M180))&lt;0.00000001,0,MAX(0,G180-M180))</x:f>
        <x:v>196111.8594687922</x:v>
      </x:c>
      <x:c r="P180" s="40" t="n">
        <x:f>MAX(0,D180-O180)</x:f>
        <x:v>1590.0605944112467</x:v>
      </x:c>
      <x:c r="Q180" s="40" t="n">
        <x:f>MAX(0,'Inputs &amp; Summary'!$B$19*'Inputs &amp; Summary'!$B$4-O180-I180)</x:f>
        <x:v>36590.06059441125</x:v>
      </x:c>
      <x:c r="R180" s="40" t="n">
        <x:f>MIN(P180,Q180)</x:f>
        <x:v>1590.0605944112467</x:v>
      </x:c>
      <x:c r="S180" s="40" t="n">
        <x:f>I180+R180</x:f>
        <x:v>223888.1405312078</x:v>
      </x:c>
      <x:c r="T180" s="40" t="n">
        <x:f>U179</x:f>
        <x:v>326754.6368340928</x:v>
      </x:c>
      <x:c r="U180" s="40" t="n">
        <x:f>T180*(1+'Inputs &amp; Summary'!$B$17)+R180+N180+H180</x:f>
        <x:v>329935.19214575423</x:v>
      </x:c>
      <x:c r="V180" s="40" t="n">
        <x:f>Y179</x:f>
        <x:v>232098.38836252684</x:v>
      </x:c>
      <x:c r="W180" s="40" t="n">
        <x:f>V180*'Inputs &amp; Summary'!$B$15</x:f>
        <x:v>862.3196855644987</x:v>
      </x:c>
      <x:c r="X180" s="40" t="n">
        <x:f>IF(V180&lt;=0.00000001,0,MIN('Inputs &amp; Summary'!$B$18,V180+W180))</x:f>
        <x:v>2324.586407999052</x:v>
      </x:c>
      <x:c r="Y180" s="40" t="n">
        <x:f>IF(ABS(MAX(0,V180+W180-X180))&lt;0.00000001,0,MAX(0,V180+W180-X180))</x:f>
        <x:v>230636.1216400923</x:v>
      </x:c>
      <x:c r="Z180" s="40" t="n">
        <x:f>MAX(0,'Inputs &amp; Summary'!$B$18-X180)</x:f>
        <x:v>0</x:v>
      </x:c>
      <x:c r="AA180" s="40" t="n">
        <x:f>AC179</x:f>
        <x:v>116240.46679430372</x:v>
      </x:c>
      <x:c r="AB180" s="40" t="n">
        <x:f>J180</x:f>
        <x:v>1204.1145996576481</x:v>
      </x:c>
      <x:c r="AC180" s="40" t="n">
        <x:f>AA180*(1+'Inputs &amp; Summary'!$B$17)+Z180+AB180</x:f>
        <x:v>118010.38774382173</x:v>
      </x:c>
      <x:c r="AD180" s="40" t="n">
        <x:f>F180+H180+J180</x:f>
        <x:v>3528.7010076567003</x:v>
      </x:c>
      <x:c r="AE180" s="40" t="n">
        <x:f>X180+Z180+AB180</x:f>
        <x:v>3528.7010076567003</x:v>
      </x:c>
      <x:c r="AF180" s="40" t="n">
        <x:f>AD180-AE180</x:f>
        <x:v>0</x:v>
      </x:c>
      <x:c r="AG180" s="42" t="n">
        <x:f>(O180+S180)/'Inputs &amp; Summary'!$B$4</x:f>
        <x:v>0.6</x:v>
      </x:c>
      <x:c r="AH180" s="40" t="n">
        <x:f>U180-O180-S180</x:f>
        <x:v>-90064.80785424577</x:v>
      </x:c>
      <x:c r="AI180" s="40" t="n">
        <x:f>AC180-Y180</x:f>
        <x:v>-112625.73389627055</x:v>
      </x:c>
      <x:c r="AJ180" s="40" t="n">
        <x:f>AH180-AI180</x:f>
        <x:v>22560.92604202479</x:v>
      </x:c>
    </x:row>
    <x:row r="181">
      <x:c r="A181" t="n">
        <x:f>A180+1</x:f>
        <x:v>177</x:v>
      </x:c>
      <x:c r="B181" t="n">
        <x:f>INT((A181-1)/12)+1</x:f>
        <x:v>15</x:v>
      </x:c>
      <x:c r="C181" t="n">
        <x:f>MOD(A181-1,12)+1</x:f>
        <x:v>9</x:v>
      </x:c>
      <x:c r="D181" s="40" t="n">
        <x:f>O180</x:f>
        <x:v>196111.8594687922</x:v>
      </x:c>
      <x:c r="E181" s="40" t="n">
        <x:f>D181*'Inputs &amp; Summary'!$B$15</x:f>
        <x:v>728.6182303362417</x:v>
      </x:c>
      <x:c r="F181" s="40" t="n">
        <x:f>IF(D181&lt;=0.00000001,0,MIN('Inputs &amp; Summary'!$B$18,D181+E181))</x:f>
        <x:v>2324.586407999052</x:v>
      </x:c>
      <x:c r="G181" s="40" t="n">
        <x:f>IF(ABS(MAX(0,D181+E181-F181))&lt;0.00000001,0,MAX(0,D181+E181-F181))</x:f>
        <x:v>194515.89129112937</x:v>
      </x:c>
      <x:c r="H181" s="40" t="n">
        <x:f>MAX(0,'Inputs &amp; Summary'!$B$18-F181)</x:f>
        <x:v>0</x:v>
      </x:c>
      <x:c r="I181" s="40" t="n">
        <x:f>S180</x:f>
        <x:v>223888.1405312078</x:v>
      </x:c>
      <x:c r="J181" s="40" t="n">
        <x:f>I181*'Inputs &amp; Summary'!$B$16</x:f>
        <x:v>1212.7274278773757</x:v>
      </x:c>
      <x:c r="K181" s="40" t="n">
        <x:f>IF(C181=1,J181,K180+J181)</x:f>
        <x:v>10607.148221441672</x:v>
      </x:c>
      <x:c r="L181" s="40" t="n">
        <x:f>IF(C181=12,K181*'Inputs &amp; Summary'!$B$11*'Inputs &amp; Summary'!$B$12,0)</x:f>
        <x:v>0</x:v>
      </x:c>
      <x:c r="M181" s="40" t="n">
        <x:f>MIN(L181,G181)</x:f>
        <x:v>0</x:v>
      </x:c>
      <x:c r="N181" s="40" t="n">
        <x:f>MAX(0,L181-M181)</x:f>
        <x:v>0</x:v>
      </x:c>
      <x:c r="O181" s="40" t="n">
        <x:f>IF(ABS(MAX(0,G181-M181))&lt;0.00000001,0,MAX(0,G181-M181))</x:f>
        <x:v>194515.89129112937</x:v>
      </x:c>
      <x:c r="P181" s="40" t="n">
        <x:f>MAX(0,D181-O181)</x:f>
        <x:v>1595.968177662813</x:v>
      </x:c>
      <x:c r="Q181" s="40" t="n">
        <x:f>MAX(0,'Inputs &amp; Summary'!$B$19*'Inputs &amp; Summary'!$B$4-O181-I181)</x:f>
        <x:v>36595.96817766281</x:v>
      </x:c>
      <x:c r="R181" s="40" t="n">
        <x:f>MIN(P181,Q181)</x:f>
        <x:v>1595.968177662813</x:v>
      </x:c>
      <x:c r="S181" s="40" t="n">
        <x:f>I181+R181</x:f>
        <x:v>225484.10870887063</x:v>
      </x:c>
      <x:c r="T181" s="40" t="n">
        <x:f>U180</x:f>
        <x:v>329935.19214575423</x:v>
      </x:c>
      <x:c r="U181" s="40" t="n">
        <x:f>T181*(1+'Inputs &amp; Summary'!$B$17)+R181+N181+H181</x:f>
        <x:v>333137.1365544727</x:v>
      </x:c>
      <x:c r="V181" s="40" t="n">
        <x:f>Y180</x:f>
        <x:v>230636.1216400923</x:v>
      </x:c>
      <x:c r="W181" s="40" t="n">
        <x:f>V181*'Inputs &amp; Summary'!$B$15</x:f>
        <x:v>856.8868973870485</x:v>
      </x:c>
      <x:c r="X181" s="40" t="n">
        <x:f>IF(V181&lt;=0.00000001,0,MIN('Inputs &amp; Summary'!$B$18,V181+W181))</x:f>
        <x:v>2324.586407999052</x:v>
      </x:c>
      <x:c r="Y181" s="40" t="n">
        <x:f>IF(ABS(MAX(0,V181+W181-X181))&lt;0.00000001,0,MAX(0,V181+W181-X181))</x:f>
        <x:v>229168.42212948028</x:v>
      </x:c>
      <x:c r="Z181" s="40" t="n">
        <x:f>MAX(0,'Inputs &amp; Summary'!$B$18-X181)</x:f>
        <x:v>0</x:v>
      </x:c>
      <x:c r="AA181" s="40" t="n">
        <x:f>AC180</x:f>
        <x:v>118010.38774382173</x:v>
      </x:c>
      <x:c r="AB181" s="40" t="n">
        <x:f>J181</x:f>
        <x:v>1212.7274278773757</x:v>
      </x:c>
      <x:c r="AC181" s="40" t="n">
        <x:f>AA181*(1+'Inputs &amp; Summary'!$B$17)+Z181+AB181</x:f>
        <x:v>119797.53670127789</x:v>
      </x:c>
      <x:c r="AD181" s="40" t="n">
        <x:f>F181+H181+J181</x:f>
        <x:v>3537.3138358764277</x:v>
      </x:c>
      <x:c r="AE181" s="40" t="n">
        <x:f>X181+Z181+AB181</x:f>
        <x:v>3537.3138358764277</x:v>
      </x:c>
      <x:c r="AF181" s="40" t="n">
        <x:f>AD181-AE181</x:f>
        <x:v>0</x:v>
      </x:c>
      <x:c r="AG181" s="42" t="n">
        <x:f>(O181+S181)/'Inputs &amp; Summary'!$B$4</x:f>
        <x:v>0.6</x:v>
      </x:c>
      <x:c r="AH181" s="40" t="n">
        <x:f>U181-O181-S181</x:f>
        <x:v>-86862.86344552733</x:v>
      </x:c>
      <x:c r="AI181" s="40" t="n">
        <x:f>AC181-Y181</x:f>
        <x:v>-109370.8854282024</x:v>
      </x:c>
      <x:c r="AJ181" s="40" t="n">
        <x:f>AH181-AI181</x:f>
        <x:v>22508.02198267507</x:v>
      </x:c>
    </x:row>
    <x:row r="182">
      <x:c r="A182" t="n">
        <x:f>A181+1</x:f>
        <x:v>178</x:v>
      </x:c>
      <x:c r="B182" t="n">
        <x:f>INT((A182-1)/12)+1</x:f>
        <x:v>15</x:v>
      </x:c>
      <x:c r="C182" t="n">
        <x:f>MOD(A182-1,12)+1</x:f>
        <x:v>10</x:v>
      </x:c>
      <x:c r="D182" s="40" t="n">
        <x:f>O181</x:f>
        <x:v>194515.89129112937</x:v>
      </x:c>
      <x:c r="E182" s="40" t="n">
        <x:f>D182*'Inputs &amp; Summary'!$B$15</x:f>
        <x:v>722.6886985250017</x:v>
      </x:c>
      <x:c r="F182" s="40" t="n">
        <x:f>IF(D182&lt;=0.00000001,0,MIN('Inputs &amp; Summary'!$B$18,D182+E182))</x:f>
        <x:v>2324.586407999052</x:v>
      </x:c>
      <x:c r="G182" s="40" t="n">
        <x:f>IF(ABS(MAX(0,D182+E182-F182))&lt;0.00000001,0,MAX(0,D182+E182-F182))</x:f>
        <x:v>192913.99358165532</x:v>
      </x:c>
      <x:c r="H182" s="40" t="n">
        <x:f>MAX(0,'Inputs &amp; Summary'!$B$18-F182)</x:f>
        <x:v>0</x:v>
      </x:c>
      <x:c r="I182" s="40" t="n">
        <x:f>S181</x:f>
        <x:v>225484.10870887063</x:v>
      </x:c>
      <x:c r="J182" s="40" t="n">
        <x:f>I182*'Inputs &amp; Summary'!$B$16</x:f>
        <x:v>1221.3722555063825</x:v>
      </x:c>
      <x:c r="K182" s="40" t="n">
        <x:f>IF(C182=1,J182,K181+J182)</x:f>
        <x:v>11828.520476948055</x:v>
      </x:c>
      <x:c r="L182" s="40" t="n">
        <x:f>IF(C182=12,K182*'Inputs &amp; Summary'!$B$11*'Inputs &amp; Summary'!$B$12,0)</x:f>
        <x:v>0</x:v>
      </x:c>
      <x:c r="M182" s="40" t="n">
        <x:f>MIN(L182,G182)</x:f>
        <x:v>0</x:v>
      </x:c>
      <x:c r="N182" s="40" t="n">
        <x:f>MAX(0,L182-M182)</x:f>
        <x:v>0</x:v>
      </x:c>
      <x:c r="O182" s="40" t="n">
        <x:f>IF(ABS(MAX(0,G182-M182))&lt;0.00000001,0,MAX(0,G182-M182))</x:f>
        <x:v>192913.99358165532</x:v>
      </x:c>
      <x:c r="P182" s="40" t="n">
        <x:f>MAX(0,D182-O182)</x:f>
        <x:v>1601.8977094740549</x:v>
      </x:c>
      <x:c r="Q182" s="40" t="n">
        <x:f>MAX(0,'Inputs &amp; Summary'!$B$19*'Inputs &amp; Summary'!$B$4-O182-I182)</x:f>
        <x:v>36601.897709474055</x:v>
      </x:c>
      <x:c r="R182" s="40" t="n">
        <x:f>MIN(P182,Q182)</x:f>
        <x:v>1601.8977094740549</x:v>
      </x:c>
      <x:c r="S182" s="40" t="n">
        <x:f>I182+R182</x:f>
        <x:v>227086.00641834468</x:v>
      </x:c>
      <x:c r="T182" s="40" t="n">
        <x:f>U181</x:f>
        <x:v>333137.1365544727</x:v>
      </x:c>
      <x:c r="U182" s="40" t="n">
        <x:f>T182*(1+'Inputs &amp; Summary'!$B$17)+R182+N182+H182</x:f>
        <x:v>336360.5961213192</x:v>
      </x:c>
      <x:c r="V182" s="40" t="n">
        <x:f>Y181</x:f>
        <x:v>229168.42212948028</x:v>
      </x:c>
      <x:c r="W182" s="40" t="n">
        <x:f>V182*'Inputs &amp; Summary'!$B$15</x:f>
        <x:v>851.4339246653368</x:v>
      </x:c>
      <x:c r="X182" s="40" t="n">
        <x:f>IF(V182&lt;=0.00000001,0,MIN('Inputs &amp; Summary'!$B$18,V182+W182))</x:f>
        <x:v>2324.586407999052</x:v>
      </x:c>
      <x:c r="Y182" s="40" t="n">
        <x:f>IF(ABS(MAX(0,V182+W182-X182))&lt;0.00000001,0,MAX(0,V182+W182-X182))</x:f>
        <x:v>227695.26964614657</x:v>
      </x:c>
      <x:c r="Z182" s="40" t="n">
        <x:f>MAX(0,'Inputs &amp; Summary'!$B$18-X182)</x:f>
        <x:v>0</x:v>
      </x:c>
      <x:c r="AA182" s="40" t="n">
        <x:f>AC181</x:f>
        <x:v>119797.53670127789</x:v>
      </x:c>
      <x:c r="AB182" s="40" t="n">
        <x:f>J182</x:f>
        <x:v>1221.3722555063825</x:v>
      </x:c>
      <x:c r="AC182" s="40" t="n">
        <x:f>AA182*(1+'Inputs &amp; Summary'!$B$17)+Z182+AB182</x:f>
        <x:v>121602.02952428129</x:v>
      </x:c>
      <x:c r="AD182" s="40" t="n">
        <x:f>F182+H182+J182</x:f>
        <x:v>3545.9586635054347</x:v>
      </x:c>
      <x:c r="AE182" s="40" t="n">
        <x:f>X182+Z182+AB182</x:f>
        <x:v>3545.9586635054347</x:v>
      </x:c>
      <x:c r="AF182" s="40" t="n">
        <x:f>AD182-AE182</x:f>
        <x:v>0</x:v>
      </x:c>
      <x:c r="AG182" s="42" t="n">
        <x:f>(O182+S182)/'Inputs &amp; Summary'!$B$4</x:f>
        <x:v>0.6</x:v>
      </x:c>
      <x:c r="AH182" s="40" t="n">
        <x:f>U182-O182-S182</x:f>
        <x:v>-83639.40387868078</x:v>
      </x:c>
      <x:c r="AI182" s="40" t="n">
        <x:f>AC182-Y182</x:f>
        <x:v>-106093.24012186528</x:v>
      </x:c>
      <x:c r="AJ182" s="40" t="n">
        <x:f>AH182-AI182</x:f>
        <x:v>22453.8362431845</x:v>
      </x:c>
    </x:row>
    <x:row r="183">
      <x:c r="A183" t="n">
        <x:f>A182+1</x:f>
        <x:v>179</x:v>
      </x:c>
      <x:c r="B183" t="n">
        <x:f>INT((A183-1)/12)+1</x:f>
        <x:v>15</x:v>
      </x:c>
      <x:c r="C183" t="n">
        <x:f>MOD(A183-1,12)+1</x:f>
        <x:v>11</x:v>
      </x:c>
      <x:c r="D183" s="40" t="n">
        <x:f>O182</x:f>
        <x:v>192913.99358165532</x:v>
      </x:c>
      <x:c r="E183" s="40" t="n">
        <x:f>D183*'Inputs &amp; Summary'!$B$15</x:f>
        <x:v>716.7371366081538</x:v>
      </x:c>
      <x:c r="F183" s="40" t="n">
        <x:f>IF(D183&lt;=0.00000001,0,MIN('Inputs &amp; Summary'!$B$18,D183+E183))</x:f>
        <x:v>2324.586407999052</x:v>
      </x:c>
      <x:c r="G183" s="40" t="n">
        <x:f>IF(ABS(MAX(0,D183+E183-F183))&lt;0.00000001,0,MAX(0,D183+E183-F183))</x:f>
        <x:v>191306.14431026444</x:v>
      </x:c>
      <x:c r="H183" s="40" t="n">
        <x:f>MAX(0,'Inputs &amp; Summary'!$B$18-F183)</x:f>
        <x:v>0</x:v>
      </x:c>
      <x:c r="I183" s="40" t="n">
        <x:f>S182</x:f>
        <x:v>227086.00641834468</x:v>
      </x:c>
      <x:c r="J183" s="40" t="n">
        <x:f>I183*'Inputs &amp; Summary'!$B$16</x:f>
        <x:v>1230.0492014327003</x:v>
      </x:c>
      <x:c r="K183" s="40" t="n">
        <x:f>IF(C183=1,J183,K182+J183)</x:f>
        <x:v>13058.569678380756</x:v>
      </x:c>
      <x:c r="L183" s="40" t="n">
        <x:f>IF(C183=12,K183*'Inputs &amp; Summary'!$B$11*'Inputs &amp; Summary'!$B$12,0)</x:f>
        <x:v>0</x:v>
      </x:c>
      <x:c r="M183" s="40" t="n">
        <x:f>MIN(L183,G183)</x:f>
        <x:v>0</x:v>
      </x:c>
      <x:c r="N183" s="40" t="n">
        <x:f>MAX(0,L183-M183)</x:f>
        <x:v>0</x:v>
      </x:c>
      <x:c r="O183" s="40" t="n">
        <x:f>IF(ABS(MAX(0,G183-M183))&lt;0.00000001,0,MAX(0,G183-M183))</x:f>
        <x:v>191306.14431026444</x:v>
      </x:c>
      <x:c r="P183" s="40" t="n">
        <x:f>MAX(0,D183-O183)</x:f>
        <x:v>1607.8492713908781</x:v>
      </x:c>
      <x:c r="Q183" s="40" t="n">
        <x:f>MAX(0,'Inputs &amp; Summary'!$B$19*'Inputs &amp; Summary'!$B$4-O183-I183)</x:f>
        <x:v>36607.84927139088</x:v>
      </x:c>
      <x:c r="R183" s="40" t="n">
        <x:f>MIN(P183,Q183)</x:f>
        <x:v>1607.8492713908781</x:v>
      </x:c>
      <x:c r="S183" s="40" t="n">
        <x:f>I183+R183</x:f>
        <x:v>228693.85568973556</x:v>
      </x:c>
      <x:c r="T183" s="40" t="n">
        <x:f>U182</x:f>
        <x:v>336360.5961213192</x:v>
      </x:c>
      <x:c r="U183" s="40" t="n">
        <x:f>T183*(1+'Inputs &amp; Summary'!$B$17)+R183+N183+H183</x:f>
        <x:v>339605.69760251953</x:v>
      </x:c>
      <x:c r="V183" s="40" t="n">
        <x:f>Y182</x:f>
        <x:v>227695.26964614657</x:v>
      </x:c>
      <x:c r="W183" s="40" t="n">
        <x:f>V183*'Inputs &amp; Summary'!$B$15</x:f>
        <x:v>845.9606924073312</x:v>
      </x:c>
      <x:c r="X183" s="40" t="n">
        <x:f>IF(V183&lt;=0.00000001,0,MIN('Inputs &amp; Summary'!$B$18,V183+W183))</x:f>
        <x:v>2324.586407999052</x:v>
      </x:c>
      <x:c r="Y183" s="40" t="n">
        <x:f>IF(ABS(MAX(0,V183+W183-X183))&lt;0.00000001,0,MAX(0,V183+W183-X183))</x:f>
        <x:v>226216.64393055486</x:v>
      </x:c>
      <x:c r="Z183" s="40" t="n">
        <x:f>MAX(0,'Inputs &amp; Summary'!$B$18-X183)</x:f>
        <x:v>0</x:v>
      </x:c>
      <x:c r="AA183" s="40" t="n">
        <x:f>AC182</x:f>
        <x:v>121602.02952428129</x:v>
      </x:c>
      <x:c r="AB183" s="40" t="n">
        <x:f>J183</x:f>
        <x:v>1230.0492014327003</x:v>
      </x:c>
      <x:c r="AC183" s="40" t="n">
        <x:f>AA183*(1+'Inputs &amp; Summary'!$B$17)+Z183+AB183</x:f>
        <x:v>123423.98275327176</x:v>
      </x:c>
      <x:c r="AD183" s="40" t="n">
        <x:f>F183+H183+J183</x:f>
        <x:v>3554.6356094317525</x:v>
      </x:c>
      <x:c r="AE183" s="40" t="n">
        <x:f>X183+Z183+AB183</x:f>
        <x:v>3554.6356094317525</x:v>
      </x:c>
      <x:c r="AF183" s="40" t="n">
        <x:f>AD183-AE183</x:f>
        <x:v>0</x:v>
      </x:c>
      <x:c r="AG183" s="42" t="n">
        <x:f>(O183+S183)/'Inputs &amp; Summary'!$B$4</x:f>
        <x:v>0.6</x:v>
      </x:c>
      <x:c r="AH183" s="40" t="n">
        <x:f>U183-O183-S183</x:f>
        <x:v>-80394.30239748047</x:v>
      </x:c>
      <x:c r="AI183" s="40" t="n">
        <x:f>AC183-Y183</x:f>
        <x:v>-102792.6611772831</x:v>
      </x:c>
      <x:c r="AJ183" s="40" t="n">
        <x:f>AH183-AI183</x:f>
        <x:v>22398.358779802627</x:v>
      </x:c>
    </x:row>
    <x:row r="184">
      <x:c r="A184" t="n">
        <x:f>A183+1</x:f>
        <x:v>180</x:v>
      </x:c>
      <x:c r="B184" t="n">
        <x:f>INT((A184-1)/12)+1</x:f>
        <x:v>15</x:v>
      </x:c>
      <x:c r="C184" t="n">
        <x:f>MOD(A184-1,12)+1</x:f>
        <x:v>12</x:v>
      </x:c>
      <x:c r="D184" s="40" t="n">
        <x:f>O183</x:f>
        <x:v>191306.14431026444</x:v>
      </x:c>
      <x:c r="E184" s="40" t="n">
        <x:f>D184*'Inputs &amp; Summary'!$B$15</x:f>
        <x:v>710.7634627368159</x:v>
      </x:c>
      <x:c r="F184" s="40" t="n">
        <x:f>IF(D184&lt;=0.00000001,0,MIN('Inputs &amp; Summary'!$B$18,D184+E184))</x:f>
        <x:v>2324.586407999052</x:v>
      </x:c>
      <x:c r="G184" s="40" t="n">
        <x:f>IF(ABS(MAX(0,D184+E184-F184))&lt;0.00000001,0,MAX(0,D184+E184-F184))</x:f>
        <x:v>189692.32136500222</x:v>
      </x:c>
      <x:c r="H184" s="40" t="n">
        <x:f>MAX(0,'Inputs &amp; Summary'!$B$18-F184)</x:f>
        <x:v>0</x:v>
      </x:c>
      <x:c r="I184" s="40" t="n">
        <x:f>S183</x:f>
        <x:v>228693.85568973556</x:v>
      </x:c>
      <x:c r="J184" s="40" t="n">
        <x:f>I184*'Inputs &amp; Summary'!$B$16</x:f>
        <x:v>1238.7583849860678</x:v>
      </x:c>
      <x:c r="K184" s="40" t="n">
        <x:f>IF(C184=1,J184,K183+J184)</x:f>
        <x:v>14297.328063366824</x:v>
      </x:c>
      <x:c r="L184" s="40" t="n">
        <x:f>IF(C184=12,K184*'Inputs &amp; Summary'!$B$11*'Inputs &amp; Summary'!$B$12,0)</x:f>
        <x:v>5004.064822178388</x:v>
      </x:c>
      <x:c r="M184" s="40" t="n">
        <x:f>MIN(L184,G184)</x:f>
        <x:v>5004.064822178388</x:v>
      </x:c>
      <x:c r="N184" s="40" t="n">
        <x:f>MAX(0,L184-M184)</x:f>
        <x:v>0</x:v>
      </x:c>
      <x:c r="O184" s="40" t="n">
        <x:f>IF(ABS(MAX(0,G184-M184))&lt;0.00000001,0,MAX(0,G184-M184))</x:f>
        <x:v>184688.25654282383</x:v>
      </x:c>
      <x:c r="P184" s="40" t="n">
        <x:f>MAX(0,D184-O184)</x:f>
        <x:v>6617.88776744061</x:v>
      </x:c>
      <x:c r="Q184" s="40" t="n">
        <x:f>MAX(0,'Inputs &amp; Summary'!$B$19*'Inputs &amp; Summary'!$B$4-O184-I184)</x:f>
        <x:v>41617.88776744058</x:v>
      </x:c>
      <x:c r="R184" s="40" t="n">
        <x:f>MIN(P184,Q184)</x:f>
        <x:v>6617.88776744061</x:v>
      </x:c>
      <x:c r="S184" s="40" t="n">
        <x:f>I184+R184</x:f>
        <x:v>235311.74345717617</x:v>
      </x:c>
      <x:c r="T184" s="40" t="n">
        <x:f>U183</x:f>
        <x:v>339605.69760251953</x:v>
      </x:c>
      <x:c r="U184" s="40" t="n">
        <x:f>T184*(1+'Inputs &amp; Summary'!$B$17)+R184+N184+H184</x:f>
        <x:v>347876.633275319</x:v>
      </x:c>
      <x:c r="V184" s="40" t="n">
        <x:f>Y183</x:f>
        <x:v>226216.64393055486</x:v>
      </x:c>
      <x:c r="W184" s="40" t="n">
        <x:f>V184*'Inputs &amp; Summary'!$B$15</x:f>
        <x:v>840.4671253423801</x:v>
      </x:c>
      <x:c r="X184" s="40" t="n">
        <x:f>IF(V184&lt;=0.00000001,0,MIN('Inputs &amp; Summary'!$B$18,V184+W184))</x:f>
        <x:v>2324.586407999052</x:v>
      </x:c>
      <x:c r="Y184" s="40" t="n">
        <x:f>IF(ABS(MAX(0,V184+W184-X184))&lt;0.00000001,0,MAX(0,V184+W184-X184))</x:f>
        <x:v>224732.5246478982</x:v>
      </x:c>
      <x:c r="Z184" s="40" t="n">
        <x:f>MAX(0,'Inputs &amp; Summary'!$B$18-X184)</x:f>
        <x:v>0</x:v>
      </x:c>
      <x:c r="AA184" s="40" t="n">
        <x:f>AC183</x:f>
        <x:v>123423.98275327176</x:v>
      </x:c>
      <x:c r="AB184" s="40" t="n">
        <x:f>J184</x:f>
        <x:v>1238.7583849860678</x:v>
      </x:c>
      <x:c r="AC184" s="40" t="n">
        <x:f>AA184*(1+'Inputs &amp; Summary'!$B$17)+Z184+AB184</x:f>
        <x:v>125263.51361528541</x:v>
      </x:c>
      <x:c r="AD184" s="40" t="n">
        <x:f>F184+H184+J184</x:f>
        <x:v>3563.34479298512</x:v>
      </x:c>
      <x:c r="AE184" s="40" t="n">
        <x:f>X184+Z184+AB184</x:f>
        <x:v>3563.34479298512</x:v>
      </x:c>
      <x:c r="AF184" s="40" t="n">
        <x:f>AD184-AE184</x:f>
        <x:v>0</x:v>
      </x:c>
      <x:c r="AG184" s="42" t="n">
        <x:f>(O184+S184)/'Inputs &amp; Summary'!$B$4</x:f>
        <x:v>0.6</x:v>
      </x:c>
      <x:c r="AH184" s="40" t="n">
        <x:f>U184-O184-S184</x:f>
        <x:v>-72123.366724681</x:v>
      </x:c>
      <x:c r="AI184" s="40" t="n">
        <x:f>AC184-Y184</x:f>
        <x:v>-99469.01103261278</x:v>
      </x:c>
      <x:c r="AJ184" s="40" t="n">
        <x:f>AH184-AI184</x:f>
        <x:v>27345.644307931783</x:v>
      </x:c>
    </x:row>
    <x:row r="185">
      <x:c r="A185" t="n">
        <x:f>A184+1</x:f>
        <x:v>181</x:v>
      </x:c>
      <x:c r="B185" t="n">
        <x:f>INT((A185-1)/12)+1</x:f>
        <x:v>16</x:v>
      </x:c>
      <x:c r="C185" t="n">
        <x:f>MOD(A185-1,12)+1</x:f>
        <x:v>1</x:v>
      </x:c>
      <x:c r="D185" s="40" t="n">
        <x:f>O184</x:f>
        <x:v>184688.25654282383</x:v>
      </x:c>
      <x:c r="E185" s="40" t="n">
        <x:f>D185*'Inputs &amp; Summary'!$B$15</x:f>
        <x:v>686.1758947705666</x:v>
      </x:c>
      <x:c r="F185" s="40" t="n">
        <x:f>IF(D185&lt;=0.00000001,0,MIN('Inputs &amp; Summary'!$B$18,D185+E185))</x:f>
        <x:v>2324.586407999052</x:v>
      </x:c>
      <x:c r="G185" s="40" t="n">
        <x:f>IF(ABS(MAX(0,D185+E185-F185))&lt;0.00000001,0,MAX(0,D185+E185-F185))</x:f>
        <x:v>183049.84602959536</x:v>
      </x:c>
      <x:c r="H185" s="40" t="n">
        <x:f>MAX(0,'Inputs &amp; Summary'!$B$18-F185)</x:f>
        <x:v>0</x:v>
      </x:c>
      <x:c r="I185" s="40" t="n">
        <x:f>S184</x:f>
        <x:v>235311.74345717617</x:v>
      </x:c>
      <x:c r="J185" s="40" t="n">
        <x:f>I185*'Inputs &amp; Summary'!$B$16</x:f>
        <x:v>1274.6052770597043</x:v>
      </x:c>
      <x:c r="K185" s="40" t="n">
        <x:f>IF(C185=1,J185,K184+J185)</x:f>
        <x:v>1274.6052770597043</x:v>
      </x:c>
      <x:c r="L185" s="40" t="n">
        <x:f>IF(C185=12,K185*'Inputs &amp; Summary'!$B$11*'Inputs &amp; Summary'!$B$12,0)</x:f>
        <x:v>0</x:v>
      </x:c>
      <x:c r="M185" s="40" t="n">
        <x:f>MIN(L185,G185)</x:f>
        <x:v>0</x:v>
      </x:c>
      <x:c r="N185" s="40" t="n">
        <x:f>MAX(0,L185-M185)</x:f>
        <x:v>0</x:v>
      </x:c>
      <x:c r="O185" s="40" t="n">
        <x:f>IF(ABS(MAX(0,G185-M185))&lt;0.00000001,0,MAX(0,G185-M185))</x:f>
        <x:v>183049.84602959536</x:v>
      </x:c>
      <x:c r="P185" s="40" t="n">
        <x:f>MAX(0,D185-O185)</x:f>
        <x:v>1638.4105132284749</x:v>
      </x:c>
      <x:c r="Q185" s="40" t="n">
        <x:f>MAX(0,'Inputs &amp; Summary'!$B$19*'Inputs &amp; Summary'!$B$4-O185-I185)</x:f>
        <x:v>36638.410513228475</x:v>
      </x:c>
      <x:c r="R185" s="40" t="n">
        <x:f>MIN(P185,Q185)</x:f>
        <x:v>1638.4105132284749</x:v>
      </x:c>
      <x:c r="S185" s="40" t="n">
        <x:f>I185+R185</x:f>
        <x:v>236950.15397040464</x:v>
      </x:c>
      <x:c r="T185" s="40" t="n">
        <x:f>U184</x:f>
        <x:v>347876.633275319</x:v>
      </x:c>
      <x:c r="U185" s="40" t="n">
        <x:f>T185*(1+'Inputs &amp; Summary'!$B$17)+R185+N185+H185</x:f>
        <x:v>351208.3508915164</x:v>
      </x:c>
      <x:c r="V185" s="40" t="n">
        <x:f>Y184</x:f>
        <x:v>224732.5246478982</x:v>
      </x:c>
      <x:c r="W185" s="40" t="n">
        <x:f>V185*'Inputs &amp; Summary'!$B$15</x:f>
        <x:v>834.9531479201769</x:v>
      </x:c>
      <x:c r="X185" s="40" t="n">
        <x:f>IF(V185&lt;=0.00000001,0,MIN('Inputs &amp; Summary'!$B$18,V185+W185))</x:f>
        <x:v>2324.586407999052</x:v>
      </x:c>
      <x:c r="Y185" s="40" t="n">
        <x:f>IF(ABS(MAX(0,V185+W185-X185))&lt;0.00000001,0,MAX(0,V185+W185-X185))</x:f>
        <x:v>223242.8913878193</x:v>
      </x:c>
      <x:c r="Z185" s="40" t="n">
        <x:f>MAX(0,'Inputs &amp; Summary'!$B$18-X185)</x:f>
        <x:v>0</x:v>
      </x:c>
      <x:c r="AA185" s="40" t="n">
        <x:f>AC184</x:f>
        <x:v>125263.51361528541</x:v>
      </x:c>
      <x:c r="AB185" s="40" t="n">
        <x:f>J185</x:f>
        <x:v>1274.6052770597043</x:v>
      </x:c>
      <x:c r="AC185" s="40" t="n">
        <x:f>AA185*(1+'Inputs &amp; Summary'!$B$17)+Z185+AB185</x:f>
        <x:v>127147.84537886005</x:v>
      </x:c>
      <x:c r="AD185" s="40" t="n">
        <x:f>F185+H185+J185</x:f>
        <x:v>3599.1916850587563</x:v>
      </x:c>
      <x:c r="AE185" s="40" t="n">
        <x:f>X185+Z185+AB185</x:f>
        <x:v>3599.1916850587563</x:v>
      </x:c>
      <x:c r="AF185" s="40" t="n">
        <x:f>AD185-AE185</x:f>
        <x:v>0</x:v>
      </x:c>
      <x:c r="AG185" s="42" t="n">
        <x:f>(O185+S185)/'Inputs &amp; Summary'!$B$4</x:f>
        <x:v>0.6</x:v>
      </x:c>
      <x:c r="AH185" s="40" t="n">
        <x:f>U185-O185-S185</x:f>
        <x:v>-68791.64910848357</x:v>
      </x:c>
      <x:c r="AI185" s="40" t="n">
        <x:f>AC185-Y185</x:f>
        <x:v>-96095.04600895927</x:v>
      </x:c>
      <x:c r="AJ185" s="40" t="n">
        <x:f>AH185-AI185</x:f>
        <x:v>27303.396900475695</x:v>
      </x:c>
    </x:row>
    <x:row r="186">
      <x:c r="A186" t="n">
        <x:f>A185+1</x:f>
        <x:v>182</x:v>
      </x:c>
      <x:c r="B186" t="n">
        <x:f>INT((A186-1)/12)+1</x:f>
        <x:v>16</x:v>
      </x:c>
      <x:c r="C186" t="n">
        <x:f>MOD(A186-1,12)+1</x:f>
        <x:v>2</x:v>
      </x:c>
      <x:c r="D186" s="40" t="n">
        <x:f>O185</x:f>
        <x:v>183049.84602959536</x:v>
      </x:c>
      <x:c r="E186" s="40" t="n">
        <x:f>D186*'Inputs &amp; Summary'!$B$15</x:f>
        <x:v>680.088676119199</x:v>
      </x:c>
      <x:c r="F186" s="40" t="n">
        <x:f>IF(D186&lt;=0.00000001,0,MIN('Inputs &amp; Summary'!$B$18,D186+E186))</x:f>
        <x:v>2324.586407999052</x:v>
      </x:c>
      <x:c r="G186" s="40" t="n">
        <x:f>IF(ABS(MAX(0,D186+E186-F186))&lt;0.00000001,0,MAX(0,D186+E186-F186))</x:f>
        <x:v>181405.3482977155</x:v>
      </x:c>
      <x:c r="H186" s="40" t="n">
        <x:f>MAX(0,'Inputs &amp; Summary'!$B$18-F186)</x:f>
        <x:v>0</x:v>
      </x:c>
      <x:c r="I186" s="40" t="n">
        <x:f>S185</x:f>
        <x:v>236950.15397040464</x:v>
      </x:c>
      <x:c r="J186" s="40" t="n">
        <x:f>I186*'Inputs &amp; Summary'!$B$16</x:f>
        <x:v>1283.4800006730252</x:v>
      </x:c>
      <x:c r="K186" s="40" t="n">
        <x:f>IF(C186=1,J186,K185+J186)</x:f>
        <x:v>2558.0852777327295</x:v>
      </x:c>
      <x:c r="L186" s="40" t="n">
        <x:f>IF(C186=12,K186*'Inputs &amp; Summary'!$B$11*'Inputs &amp; Summary'!$B$12,0)</x:f>
        <x:v>0</x:v>
      </x:c>
      <x:c r="M186" s="40" t="n">
        <x:f>MIN(L186,G186)</x:f>
        <x:v>0</x:v>
      </x:c>
      <x:c r="N186" s="40" t="n">
        <x:f>MAX(0,L186-M186)</x:f>
        <x:v>0</x:v>
      </x:c>
      <x:c r="O186" s="40" t="n">
        <x:f>IF(ABS(MAX(0,G186-M186))&lt;0.00000001,0,MAX(0,G186-M186))</x:f>
        <x:v>181405.3482977155</x:v>
      </x:c>
      <x:c r="P186" s="40" t="n">
        <x:f>MAX(0,D186-O186)</x:f>
        <x:v>1644.4977318798483</x:v>
      </x:c>
      <x:c r="Q186" s="40" t="n">
        <x:f>MAX(0,'Inputs &amp; Summary'!$B$19*'Inputs &amp; Summary'!$B$4-O186-I186)</x:f>
        <x:v>36644.49773187982</x:v>
      </x:c>
      <x:c r="R186" s="40" t="n">
        <x:f>MIN(P186,Q186)</x:f>
        <x:v>1644.4977318798483</x:v>
      </x:c>
      <x:c r="S186" s="40" t="n">
        <x:f>I186+R186</x:f>
        <x:v>238594.6517022845</x:v>
      </x:c>
      <x:c r="T186" s="40" t="n">
        <x:f>U185</x:f>
        <x:v>351208.3508915164</x:v>
      </x:c>
      <x:c r="U186" s="40" t="n">
        <x:f>T186*(1+'Inputs &amp; Summary'!$B$17)+R186+N186+H186</x:f>
        <x:v>354562.37303033145</x:v>
      </x:c>
      <x:c r="V186" s="40" t="n">
        <x:f>Y185</x:f>
        <x:v>223242.8913878193</x:v>
      </x:c>
      <x:c r="W186" s="40" t="n">
        <x:f>V186*'Inputs &amp; Summary'!$B$15</x:f>
        <x:v>829.418684309722</x:v>
      </x:c>
      <x:c r="X186" s="40" t="n">
        <x:f>IF(V186&lt;=0.00000001,0,MIN('Inputs &amp; Summary'!$B$18,V186+W186))</x:f>
        <x:v>2324.586407999052</x:v>
      </x:c>
      <x:c r="Y186" s="40" t="n">
        <x:f>IF(ABS(MAX(0,V186+W186-X186))&lt;0.00000001,0,MAX(0,V186+W186-X186))</x:f>
        <x:v>221747.72366413</x:v>
      </x:c>
      <x:c r="Z186" s="40" t="n">
        <x:f>MAX(0,'Inputs &amp; Summary'!$B$18-X186)</x:f>
        <x:v>0</x:v>
      </x:c>
      <x:c r="AA186" s="40" t="n">
        <x:f>AC185</x:f>
        <x:v>127147.84537886005</x:v>
      </x:c>
      <x:c r="AB186" s="40" t="n">
        <x:f>J186</x:f>
        <x:v>1283.4800006730252</x:v>
      </x:c>
      <x:c r="AC186" s="40" t="n">
        <x:f>AA186*(1+'Inputs &amp; Summary'!$B$17)+Z186+AB186</x:f>
        <x:v>129050.22394618909</x:v>
      </x:c>
      <x:c r="AD186" s="40" t="n">
        <x:f>F186+H186+J186</x:f>
        <x:v>3608.066408672077</x:v>
      </x:c>
      <x:c r="AE186" s="40" t="n">
        <x:f>X186+Z186+AB186</x:f>
        <x:v>3608.066408672077</x:v>
      </x:c>
      <x:c r="AF186" s="40" t="n">
        <x:f>AD186-AE186</x:f>
        <x:v>0</x:v>
      </x:c>
      <x:c r="AG186" s="42" t="n">
        <x:f>(O186+S186)/'Inputs &amp; Summary'!$B$4</x:f>
        <x:v>0.6</x:v>
      </x:c>
      <x:c r="AH186" s="40" t="n">
        <x:f>U186-O186-S186</x:f>
        <x:v>-65437.62696966855</x:v>
      </x:c>
      <x:c r="AI186" s="40" t="n">
        <x:f>AC186-Y186</x:f>
        <x:v>-92697.49971794091</x:v>
      </x:c>
      <x:c r="AJ186" s="40" t="n">
        <x:f>AH186-AI186</x:f>
        <x:v>27259.872748272363</x:v>
      </x:c>
    </x:row>
    <x:row r="187">
      <x:c r="A187" t="n">
        <x:f>A186+1</x:f>
        <x:v>183</x:v>
      </x:c>
      <x:c r="B187" t="n">
        <x:f>INT((A187-1)/12)+1</x:f>
        <x:v>16</x:v>
      </x:c>
      <x:c r="C187" t="n">
        <x:f>MOD(A187-1,12)+1</x:f>
        <x:v>3</x:v>
      </x:c>
      <x:c r="D187" s="40" t="n">
        <x:f>O186</x:f>
        <x:v>181405.3482977155</x:v>
      </x:c>
      <x:c r="E187" s="40" t="n">
        <x:f>D187*'Inputs &amp; Summary'!$B$15</x:f>
        <x:v>673.9788415052197</x:v>
      </x:c>
      <x:c r="F187" s="40" t="n">
        <x:f>IF(D187&lt;=0.00000001,0,MIN('Inputs &amp; Summary'!$B$18,D187+E187))</x:f>
        <x:v>2324.586407999052</x:v>
      </x:c>
      <x:c r="G187" s="40" t="n">
        <x:f>IF(ABS(MAX(0,D187+E187-F187))&lt;0.00000001,0,MAX(0,D187+E187-F187))</x:f>
        <x:v>179754.74073122168</x:v>
      </x:c>
      <x:c r="H187" s="40" t="n">
        <x:f>MAX(0,'Inputs &amp; Summary'!$B$18-F187)</x:f>
        <x:v>0</x:v>
      </x:c>
      <x:c r="I187" s="40" t="n">
        <x:f>S186</x:f>
        <x:v>238594.6517022845</x:v>
      </x:c>
      <x:c r="J187" s="40" t="n">
        <x:f>I187*'Inputs &amp; Summary'!$B$16</x:f>
        <x:v>1292.3876967207077</x:v>
      </x:c>
      <x:c r="K187" s="40" t="n">
        <x:f>IF(C187=1,J187,K186+J187)</x:f>
        <x:v>3850.472974453437</x:v>
      </x:c>
      <x:c r="L187" s="40" t="n">
        <x:f>IF(C187=12,K187*'Inputs &amp; Summary'!$B$11*'Inputs &amp; Summary'!$B$12,0)</x:f>
        <x:v>0</x:v>
      </x:c>
      <x:c r="M187" s="40" t="n">
        <x:f>MIN(L187,G187)</x:f>
        <x:v>0</x:v>
      </x:c>
      <x:c r="N187" s="40" t="n">
        <x:f>MAX(0,L187-M187)</x:f>
        <x:v>0</x:v>
      </x:c>
      <x:c r="O187" s="40" t="n">
        <x:f>IF(ABS(MAX(0,G187-M187))&lt;0.00000001,0,MAX(0,G187-M187))</x:f>
        <x:v>179754.74073122168</x:v>
      </x:c>
      <x:c r="P187" s="40" t="n">
        <x:f>MAX(0,D187-O187)</x:f>
        <x:v>1650.6075664938253</x:v>
      </x:c>
      <x:c r="Q187" s="40" t="n">
        <x:f>MAX(0,'Inputs &amp; Summary'!$B$19*'Inputs &amp; Summary'!$B$4-O187-I187)</x:f>
        <x:v>36650.607566493825</x:v>
      </x:c>
      <x:c r="R187" s="40" t="n">
        <x:f>MIN(P187,Q187)</x:f>
        <x:v>1650.6075664938253</x:v>
      </x:c>
      <x:c r="S187" s="40" t="n">
        <x:f>I187+R187</x:f>
        <x:v>240245.25926877832</x:v>
      </x:c>
      <x:c r="T187" s="40" t="n">
        <x:f>U186</x:f>
        <x:v>354562.37303033145</x:v>
      </x:c>
      <x:c r="U187" s="40" t="n">
        <x:f>T187*(1+'Inputs &amp; Summary'!$B$17)+R187+N187+H187</x:f>
        <x:v>357938.8308761184</x:v>
      </x:c>
      <x:c r="V187" s="40" t="n">
        <x:f>Y186</x:f>
        <x:v>221747.72366413</x:v>
      </x:c>
      <x:c r="W187" s="40" t="n">
        <x:f>V187*'Inputs &amp; Summary'!$B$15</x:f>
        <x:v>823.8636583982792</x:v>
      </x:c>
      <x:c r="X187" s="40" t="n">
        <x:f>IF(V187&lt;=0.00000001,0,MIN('Inputs &amp; Summary'!$B$18,V187+W187))</x:f>
        <x:v>2324.586407999052</x:v>
      </x:c>
      <x:c r="Y187" s="40" t="n">
        <x:f>IF(ABS(MAX(0,V187+W187-X187))&lt;0.00000001,0,MAX(0,V187+W187-X187))</x:f>
        <x:v>220247.00091452923</x:v>
      </x:c>
      <x:c r="Z187" s="40" t="n">
        <x:f>MAX(0,'Inputs &amp; Summary'!$B$18-X187)</x:f>
        <x:v>0</x:v>
      </x:c>
      <x:c r="AA187" s="40" t="n">
        <x:f>AC186</x:f>
        <x:v>129050.22394618909</x:v>
      </x:c>
      <x:c r="AB187" s="40" t="n">
        <x:f>J187</x:f>
        <x:v>1292.3876967207077</x:v>
      </x:c>
      <x:c r="AC187" s="40" t="n">
        <x:f>AA187*(1+'Inputs &amp; Summary'!$B$17)+Z187+AB187</x:f>
        <x:v>130970.77013343672</x:v>
      </x:c>
      <x:c r="AD187" s="40" t="n">
        <x:f>F187+H187+J187</x:f>
        <x:v>3616.9741047197595</x:v>
      </x:c>
      <x:c r="AE187" s="40" t="n">
        <x:f>X187+Z187+AB187</x:f>
        <x:v>3616.9741047197595</x:v>
      </x:c>
      <x:c r="AF187" s="40" t="n">
        <x:f>AD187-AE187</x:f>
        <x:v>0</x:v>
      </x:c>
      <x:c r="AG187" s="42" t="n">
        <x:f>(O187+S187)/'Inputs &amp; Summary'!$B$4</x:f>
        <x:v>0.6</x:v>
      </x:c>
      <x:c r="AH187" s="40" t="n">
        <x:f>U187-O187-S187</x:f>
        <x:v>-62061.16912388161</x:v>
      </x:c>
      <x:c r="AI187" s="40" t="n">
        <x:f>AC187-Y187</x:f>
        <x:v>-89276.23078109251</x:v>
      </x:c>
      <x:c r="AJ187" s="40" t="n">
        <x:f>AH187-AI187</x:f>
        <x:v>27215.0616572109</x:v>
      </x:c>
    </x:row>
    <x:row r="188">
      <x:c r="A188" t="n">
        <x:f>A187+1</x:f>
        <x:v>184</x:v>
      </x:c>
      <x:c r="B188" t="n">
        <x:f>INT((A188-1)/12)+1</x:f>
        <x:v>16</x:v>
      </x:c>
      <x:c r="C188" t="n">
        <x:f>MOD(A188-1,12)+1</x:f>
        <x:v>4</x:v>
      </x:c>
      <x:c r="D188" s="40" t="n">
        <x:f>O187</x:f>
        <x:v>179754.74073122168</x:v>
      </x:c>
      <x:c r="E188" s="40" t="n">
        <x:f>D188*'Inputs &amp; Summary'!$B$15</x:f>
        <x:v>667.8463069031004</x:v>
      </x:c>
      <x:c r="F188" s="40" t="n">
        <x:f>IF(D188&lt;=0.00000001,0,MIN('Inputs &amp; Summary'!$B$18,D188+E188))</x:f>
        <x:v>2324.586407999052</x:v>
      </x:c>
      <x:c r="G188" s="40" t="n">
        <x:f>IF(ABS(MAX(0,D188+E188-F188))&lt;0.00000001,0,MAX(0,D188+E188-F188))</x:f>
        <x:v>178098.00063012575</x:v>
      </x:c>
      <x:c r="H188" s="40" t="n">
        <x:f>MAX(0,'Inputs &amp; Summary'!$B$18-F188)</x:f>
        <x:v>0</x:v>
      </x:c>
      <x:c r="I188" s="40" t="n">
        <x:f>S187</x:f>
        <x:v>240245.25926877832</x:v>
      </x:c>
      <x:c r="J188" s="40" t="n">
        <x:f>I188*'Inputs &amp; Summary'!$B$16</x:f>
        <x:v>1301.3284877058827</x:v>
      </x:c>
      <x:c r="K188" s="40" t="n">
        <x:f>IF(C188=1,J188,K187+J188)</x:f>
        <x:v>5151.801462159319</x:v>
      </x:c>
      <x:c r="L188" s="40" t="n">
        <x:f>IF(C188=12,K188*'Inputs &amp; Summary'!$B$11*'Inputs &amp; Summary'!$B$12,0)</x:f>
        <x:v>0</x:v>
      </x:c>
      <x:c r="M188" s="40" t="n">
        <x:f>MIN(L188,G188)</x:f>
        <x:v>0</x:v>
      </x:c>
      <x:c r="N188" s="40" t="n">
        <x:f>MAX(0,L188-M188)</x:f>
        <x:v>0</x:v>
      </x:c>
      <x:c r="O188" s="40" t="n">
        <x:f>IF(ABS(MAX(0,G188-M188))&lt;0.00000001,0,MAX(0,G188-M188))</x:f>
        <x:v>178098.00063012575</x:v>
      </x:c>
      <x:c r="P188" s="40" t="n">
        <x:f>MAX(0,D188-O188)</x:f>
        <x:v>1656.7401010959293</x:v>
      </x:c>
      <x:c r="Q188" s="40" t="n">
        <x:f>MAX(0,'Inputs &amp; Summary'!$B$19*'Inputs &amp; Summary'!$B$4-O188-I188)</x:f>
        <x:v>36656.74010109593</x:v>
      </x:c>
      <x:c r="R188" s="40" t="n">
        <x:f>MIN(P188,Q188)</x:f>
        <x:v>1656.7401010959293</x:v>
      </x:c>
      <x:c r="S188" s="40" t="n">
        <x:f>I188+R188</x:f>
        <x:v>241901.99936987425</x:v>
      </x:c>
      <x:c r="T188" s="40" t="n">
        <x:f>U187</x:f>
        <x:v>357938.8308761184</x:v>
      </x:c>
      <x:c r="U188" s="40" t="n">
        <x:f>T188*(1+'Inputs &amp; Summary'!$B$17)+R188+N188+H188</x:f>
        <x:v>361337.8563358036</x:v>
      </x:c>
      <x:c r="V188" s="40" t="n">
        <x:f>Y187</x:f>
        <x:v>220247.00091452923</x:v>
      </x:c>
      <x:c r="W188" s="40" t="n">
        <x:f>V188*'Inputs &amp; Summary'!$B$15</x:f>
        <x:v>818.287993790329</x:v>
      </x:c>
      <x:c r="X188" s="40" t="n">
        <x:f>IF(V188&lt;=0.00000001,0,MIN('Inputs &amp; Summary'!$B$18,V188+W188))</x:f>
        <x:v>2324.586407999052</x:v>
      </x:c>
      <x:c r="Y188" s="40" t="n">
        <x:f>IF(ABS(MAX(0,V188+W188-X188))&lt;0.00000001,0,MAX(0,V188+W188-X188))</x:f>
        <x:v>218740.7025003205</x:v>
      </x:c>
      <x:c r="Z188" s="40" t="n">
        <x:f>MAX(0,'Inputs &amp; Summary'!$B$18-X188)</x:f>
        <x:v>0</x:v>
      </x:c>
      <x:c r="AA188" s="40" t="n">
        <x:f>AC187</x:f>
        <x:v>130970.77013343672</x:v>
      </x:c>
      <x:c r="AB188" s="40" t="n">
        <x:f>J188</x:f>
        <x:v>1301.3284877058827</x:v>
      </x:c>
      <x:c r="AC188" s="40" t="n">
        <x:f>AA188*(1+'Inputs &amp; Summary'!$B$17)+Z188+AB188</x:f>
        <x:v>132909.60546734903</x:v>
      </x:c>
      <x:c r="AD188" s="40" t="n">
        <x:f>F188+H188+J188</x:f>
        <x:v>3625.9148957049347</x:v>
      </x:c>
      <x:c r="AE188" s="40" t="n">
        <x:f>X188+Z188+AB188</x:f>
        <x:v>3625.9148957049347</x:v>
      </x:c>
      <x:c r="AF188" s="40" t="n">
        <x:f>AD188-AE188</x:f>
        <x:v>0</x:v>
      </x:c>
      <x:c r="AG188" s="42" t="n">
        <x:f>(O188+S188)/'Inputs &amp; Summary'!$B$4</x:f>
        <x:v>0.6</x:v>
      </x:c>
      <x:c r="AH188" s="40" t="n">
        <x:f>U188-O188-S188</x:f>
        <x:v>-58662.143664196425</x:v>
      </x:c>
      <x:c r="AI188" s="40" t="n">
        <x:f>AC188-Y188</x:f>
        <x:v>-85831.09703297148</x:v>
      </x:c>
      <x:c r="AJ188" s="40" t="n">
        <x:f>AH188-AI188</x:f>
        <x:v>27168.95336877505</x:v>
      </x:c>
    </x:row>
    <x:row r="189">
      <x:c r="A189" t="n">
        <x:f>A188+1</x:f>
        <x:v>185</x:v>
      </x:c>
      <x:c r="B189" t="n">
        <x:f>INT((A189-1)/12)+1</x:f>
        <x:v>16</x:v>
      </x:c>
      <x:c r="C189" t="n">
        <x:f>MOD(A189-1,12)+1</x:f>
        <x:v>5</x:v>
      </x:c>
      <x:c r="D189" s="40" t="n">
        <x:f>O188</x:f>
        <x:v>178098.00063012575</x:v>
      </x:c>
      <x:c r="E189" s="40" t="n">
        <x:f>D189*'Inputs &amp; Summary'!$B$15</x:f>
        <x:v>661.6909879751306</x:v>
      </x:c>
      <x:c r="F189" s="40" t="n">
        <x:f>IF(D189&lt;=0.00000001,0,MIN('Inputs &amp; Summary'!$B$18,D189+E189))</x:f>
        <x:v>2324.586407999052</x:v>
      </x:c>
      <x:c r="G189" s="40" t="n">
        <x:f>IF(ABS(MAX(0,D189+E189-F189))&lt;0.00000001,0,MAX(0,D189+E189-F189))</x:f>
        <x:v>176435.10521010184</x:v>
      </x:c>
      <x:c r="H189" s="40" t="n">
        <x:f>MAX(0,'Inputs &amp; Summary'!$B$18-F189)</x:f>
        <x:v>0</x:v>
      </x:c>
      <x:c r="I189" s="40" t="n">
        <x:f>S188</x:f>
        <x:v>241901.99936987425</x:v>
      </x:c>
      <x:c r="J189" s="40" t="n">
        <x:f>I189*'Inputs &amp; Summary'!$B$16</x:f>
        <x:v>1310.302496586819</x:v>
      </x:c>
      <x:c r="K189" s="40" t="n">
        <x:f>IF(C189=1,J189,K188+J189)</x:f>
        <x:v>6462.103958746138</x:v>
      </x:c>
      <x:c r="L189" s="40" t="n">
        <x:f>IF(C189=12,K189*'Inputs &amp; Summary'!$B$11*'Inputs &amp; Summary'!$B$12,0)</x:f>
        <x:v>0</x:v>
      </x:c>
      <x:c r="M189" s="40" t="n">
        <x:f>MIN(L189,G189)</x:f>
        <x:v>0</x:v>
      </x:c>
      <x:c r="N189" s="40" t="n">
        <x:f>MAX(0,L189-M189)</x:f>
        <x:v>0</x:v>
      </x:c>
      <x:c r="O189" s="40" t="n">
        <x:f>IF(ABS(MAX(0,G189-M189))&lt;0.00000001,0,MAX(0,G189-M189))</x:f>
        <x:v>176435.10521010184</x:v>
      </x:c>
      <x:c r="P189" s="40" t="n">
        <x:f>MAX(0,D189-O189)</x:f>
        <x:v>1662.8954200239095</x:v>
      </x:c>
      <x:c r="Q189" s="40" t="n">
        <x:f>MAX(0,'Inputs &amp; Summary'!$B$19*'Inputs &amp; Summary'!$B$4-O189-I189)</x:f>
        <x:v>36662.89542002394</x:v>
      </x:c>
      <x:c r="R189" s="40" t="n">
        <x:f>MIN(P189,Q189)</x:f>
        <x:v>1662.8954200239095</x:v>
      </x:c>
      <x:c r="S189" s="40" t="n">
        <x:f>I189+R189</x:f>
        <x:v>243564.89478989816</x:v>
      </x:c>
      <x:c r="T189" s="40" t="n">
        <x:f>U188</x:f>
        <x:v>361337.8563358036</x:v>
      </x:c>
      <x:c r="U189" s="40" t="n">
        <x:f>T189*(1+'Inputs &amp; Summary'!$B$17)+R189+N189+H189</x:f>
        <x:v>364759.5820427147</x:v>
      </x:c>
      <x:c r="V189" s="40" t="n">
        <x:f>Y188</x:f>
        <x:v>218740.7025003205</x:v>
      </x:c>
      <x:c r="W189" s="40" t="n">
        <x:f>V189*'Inputs &amp; Summary'!$B$15</x:f>
        <x:v>812.6916138065183</x:v>
      </x:c>
      <x:c r="X189" s="40" t="n">
        <x:f>IF(V189&lt;=0.00000001,0,MIN('Inputs &amp; Summary'!$B$18,V189+W189))</x:f>
        <x:v>2324.586407999052</x:v>
      </x:c>
      <x:c r="Y189" s="40" t="n">
        <x:f>IF(ABS(MAX(0,V189+W189-X189))&lt;0.00000001,0,MAX(0,V189+W189-X189))</x:f>
        <x:v>217228.807706128</x:v>
      </x:c>
      <x:c r="Z189" s="40" t="n">
        <x:f>MAX(0,'Inputs &amp; Summary'!$B$18-X189)</x:f>
        <x:v>0</x:v>
      </x:c>
      <x:c r="AA189" s="40" t="n">
        <x:f>AC188</x:f>
        <x:v>132909.60546734903</x:v>
      </x:c>
      <x:c r="AB189" s="40" t="n">
        <x:f>J189</x:f>
        <x:v>1310.302496586819</x:v>
      </x:c>
      <x:c r="AC189" s="40" t="n">
        <x:f>AA189*(1+'Inputs &amp; Summary'!$B$17)+Z189+AB189</x:f>
        <x:v>134866.85218916796</x:v>
      </x:c>
      <x:c r="AD189" s="40" t="n">
        <x:f>F189+H189+J189</x:f>
        <x:v>3634.888904585871</x:v>
      </x:c>
      <x:c r="AE189" s="40" t="n">
        <x:f>X189+Z189+AB189</x:f>
        <x:v>3634.888904585871</x:v>
      </x:c>
      <x:c r="AF189" s="40" t="n">
        <x:f>AD189-AE189</x:f>
        <x:v>0</x:v>
      </x:c>
      <x:c r="AG189" s="42" t="n">
        <x:f>(O189+S189)/'Inputs &amp; Summary'!$B$4</x:f>
        <x:v>0.6</x:v>
      </x:c>
      <x:c r="AH189" s="40" t="n">
        <x:f>U189-O189-S189</x:f>
        <x:v>-55240.4179572853</x:v>
      </x:c>
      <x:c r="AI189" s="40" t="n">
        <x:f>AC189-Y189</x:f>
        <x:v>-82361.95551696004</x:v>
      </x:c>
      <x:c r="AJ189" s="40" t="n">
        <x:f>AH189-AI189</x:f>
        <x:v>27121.537559674733</x:v>
      </x:c>
    </x:row>
    <x:row r="190">
      <x:c r="A190" t="n">
        <x:f>A189+1</x:f>
        <x:v>186</x:v>
      </x:c>
      <x:c r="B190" t="n">
        <x:f>INT((A190-1)/12)+1</x:f>
        <x:v>16</x:v>
      </x:c>
      <x:c r="C190" t="n">
        <x:f>MOD(A190-1,12)+1</x:f>
        <x:v>6</x:v>
      </x:c>
      <x:c r="D190" s="40" t="n">
        <x:f>O189</x:f>
        <x:v>176435.10521010184</x:v>
      </x:c>
      <x:c r="E190" s="40" t="n">
        <x:f>D190*'Inputs &amp; Summary'!$B$15</x:f>
        <x:v>655.5128000702585</x:v>
      </x:c>
      <x:c r="F190" s="40" t="n">
        <x:f>IF(D190&lt;=0.00000001,0,MIN('Inputs &amp; Summary'!$B$18,D190+E190))</x:f>
        <x:v>2324.586407999052</x:v>
      </x:c>
      <x:c r="G190" s="40" t="n">
        <x:f>IF(ABS(MAX(0,D190+E190-F190))&lt;0.00000001,0,MAX(0,D190+E190-F190))</x:f>
        <x:v>174766.03160217305</x:v>
      </x:c>
      <x:c r="H190" s="40" t="n">
        <x:f>MAX(0,'Inputs &amp; Summary'!$B$18-F190)</x:f>
        <x:v>0</x:v>
      </x:c>
      <x:c r="I190" s="40" t="n">
        <x:f>S189</x:f>
        <x:v>243564.89478989816</x:v>
      </x:c>
      <x:c r="J190" s="40" t="n">
        <x:f>I190*'Inputs &amp; Summary'!$B$16</x:f>
        <x:v>1319.309846778615</x:v>
      </x:c>
      <x:c r="K190" s="40" t="n">
        <x:f>IF(C190=1,J190,K189+J190)</x:f>
        <x:v>7781.413805524753</x:v>
      </x:c>
      <x:c r="L190" s="40" t="n">
        <x:f>IF(C190=12,K190*'Inputs &amp; Summary'!$B$11*'Inputs &amp; Summary'!$B$12,0)</x:f>
        <x:v>0</x:v>
      </x:c>
      <x:c r="M190" s="40" t="n">
        <x:f>MIN(L190,G190)</x:f>
        <x:v>0</x:v>
      </x:c>
      <x:c r="N190" s="40" t="n">
        <x:f>MAX(0,L190-M190)</x:f>
        <x:v>0</x:v>
      </x:c>
      <x:c r="O190" s="40" t="n">
        <x:f>IF(ABS(MAX(0,G190-M190))&lt;0.00000001,0,MAX(0,G190-M190))</x:f>
        <x:v>174766.03160217305</x:v>
      </x:c>
      <x:c r="P190" s="40" t="n">
        <x:f>MAX(0,D190-O190)</x:f>
        <x:v>1669.073607928789</x:v>
      </x:c>
      <x:c r="Q190" s="40" t="n">
        <x:f>MAX(0,'Inputs &amp; Summary'!$B$19*'Inputs &amp; Summary'!$B$4-O190-I190)</x:f>
        <x:v>36669.07360792879</x:v>
      </x:c>
      <x:c r="R190" s="40" t="n">
        <x:f>MIN(P190,Q190)</x:f>
        <x:v>1669.073607928789</x:v>
      </x:c>
      <x:c r="S190" s="40" t="n">
        <x:f>I190+R190</x:f>
        <x:v>245233.96839782695</x:v>
      </x:c>
      <x:c r="T190" s="40" t="n">
        <x:f>U189</x:f>
        <x:v>364759.5820427147</x:v>
      </x:c>
      <x:c r="U190" s="40" t="n">
        <x:f>T190*(1+'Inputs &amp; Summary'!$B$17)+R190+N190+H190</x:f>
        <x:v>368204.1413604298</x:v>
      </x:c>
      <x:c r="V190" s="40" t="n">
        <x:f>Y189</x:f>
        <x:v>217228.807706128</x:v>
      </x:c>
      <x:c r="W190" s="40" t="n">
        <x:f>V190*'Inputs &amp; Summary'!$B$15</x:f>
        <x:v>807.0744414826057</x:v>
      </x:c>
      <x:c r="X190" s="40" t="n">
        <x:f>IF(V190&lt;=0.00000001,0,MIN('Inputs &amp; Summary'!$B$18,V190+W190))</x:f>
        <x:v>2324.586407999052</x:v>
      </x:c>
      <x:c r="Y190" s="40" t="n">
        <x:f>IF(ABS(MAX(0,V190+W190-X190))&lt;0.00000001,0,MAX(0,V190+W190-X190))</x:f>
        <x:v>215711.29573961155</x:v>
      </x:c>
      <x:c r="Z190" s="40" t="n">
        <x:f>MAX(0,'Inputs &amp; Summary'!$B$18-X190)</x:f>
        <x:v>0</x:v>
      </x:c>
      <x:c r="AA190" s="40" t="n">
        <x:f>AC189</x:f>
        <x:v>134866.85218916796</x:v>
      </x:c>
      <x:c r="AB190" s="40" t="n">
        <x:f>J190</x:f>
        <x:v>1319.309846778615</x:v>
      </x:c>
      <x:c r="AC190" s="40" t="n">
        <x:f>AA190*(1+'Inputs &amp; Summary'!$B$17)+Z190+AB190</x:f>
        <x:v>136842.63325856597</x:v>
      </x:c>
      <x:c r="AD190" s="40" t="n">
        <x:f>F190+H190+J190</x:f>
        <x:v>3643.8962547776673</x:v>
      </x:c>
      <x:c r="AE190" s="40" t="n">
        <x:f>X190+Z190+AB190</x:f>
        <x:v>3643.8962547776673</x:v>
      </x:c>
      <x:c r="AF190" s="40" t="n">
        <x:f>AD190-AE190</x:f>
        <x:v>0</x:v>
      </x:c>
      <x:c r="AG190" s="42" t="n">
        <x:f>(O190+S190)/'Inputs &amp; Summary'!$B$4</x:f>
        <x:v>0.6</x:v>
      </x:c>
      <x:c r="AH190" s="40" t="n">
        <x:f>U190-O190-S190</x:f>
        <x:v>-51795.858639570186</x:v>
      </x:c>
      <x:c r="AI190" s="40" t="n">
        <x:f>AC190-Y190</x:f>
        <x:v>-78868.66248104558</x:v>
      </x:c>
      <x:c r="AJ190" s="40" t="n">
        <x:f>AH190-AI190</x:f>
        <x:v>27072.803841475397</x:v>
      </x:c>
    </x:row>
    <x:row r="191">
      <x:c r="A191" t="n">
        <x:f>A190+1</x:f>
        <x:v>187</x:v>
      </x:c>
      <x:c r="B191" t="n">
        <x:f>INT((A191-1)/12)+1</x:f>
        <x:v>16</x:v>
      </x:c>
      <x:c r="C191" t="n">
        <x:f>MOD(A191-1,12)+1</x:f>
        <x:v>7</x:v>
      </x:c>
      <x:c r="D191" s="40" t="n">
        <x:f>O190</x:f>
        <x:v>174766.03160217305</x:v>
      </x:c>
      <x:c r="E191" s="40" t="n">
        <x:f>D191*'Inputs &amp; Summary'!$B$15</x:f>
        <x:v>649.3116582229267</x:v>
      </x:c>
      <x:c r="F191" s="40" t="n">
        <x:f>IF(D191&lt;=0.00000001,0,MIN('Inputs &amp; Summary'!$B$18,D191+E191))</x:f>
        <x:v>2324.586407999052</x:v>
      </x:c>
      <x:c r="G191" s="40" t="n">
        <x:f>IF(ABS(MAX(0,D191+E191-F191))&lt;0.00000001,0,MAX(0,D191+E191-F191))</x:f>
        <x:v>173090.75685239694</x:v>
      </x:c>
      <x:c r="H191" s="40" t="n">
        <x:f>MAX(0,'Inputs &amp; Summary'!$B$18-F191)</x:f>
        <x:v>0</x:v>
      </x:c>
      <x:c r="I191" s="40" t="n">
        <x:f>S190</x:f>
        <x:v>245233.96839782695</x:v>
      </x:c>
      <x:c r="J191" s="40" t="n">
        <x:f>I191*'Inputs &amp; Summary'!$B$16</x:f>
        <x:v>1328.350662154896</x:v>
      </x:c>
      <x:c r="K191" s="40" t="n">
        <x:f>IF(C191=1,J191,K190+J191)</x:f>
        <x:v>9109.76446767965</x:v>
      </x:c>
      <x:c r="L191" s="40" t="n">
        <x:f>IF(C191=12,K191*'Inputs &amp; Summary'!$B$11*'Inputs &amp; Summary'!$B$12,0)</x:f>
        <x:v>0</x:v>
      </x:c>
      <x:c r="M191" s="40" t="n">
        <x:f>MIN(L191,G191)</x:f>
        <x:v>0</x:v>
      </x:c>
      <x:c r="N191" s="40" t="n">
        <x:f>MAX(0,L191-M191)</x:f>
        <x:v>0</x:v>
      </x:c>
      <x:c r="O191" s="40" t="n">
        <x:f>IF(ABS(MAX(0,G191-M191))&lt;0.00000001,0,MAX(0,G191-M191))</x:f>
        <x:v>173090.75685239694</x:v>
      </x:c>
      <x:c r="P191" s="40" t="n">
        <x:f>MAX(0,D191-O191)</x:f>
        <x:v>1675.2747497761156</x:v>
      </x:c>
      <x:c r="Q191" s="40" t="n">
        <x:f>MAX(0,'Inputs &amp; Summary'!$B$19*'Inputs &amp; Summary'!$B$4-O191-I191)</x:f>
        <x:v>36675.274749776116</x:v>
      </x:c>
      <x:c r="R191" s="40" t="n">
        <x:f>MIN(P191,Q191)</x:f>
        <x:v>1675.2747497761156</x:v>
      </x:c>
      <x:c r="S191" s="40" t="n">
        <x:f>I191+R191</x:f>
        <x:v>246909.24314760306</x:v>
      </x:c>
      <x:c r="T191" s="40" t="n">
        <x:f>U190</x:f>
        <x:v>368204.1413604298</x:v>
      </x:c>
      <x:c r="U191" s="40" t="n">
        <x:f>T191*(1+'Inputs &amp; Summary'!$B$17)+R191+N191+H191</x:f>
        <x:v>371671.66838664655</x:v>
      </x:c>
      <x:c r="V191" s="40" t="n">
        <x:f>Y190</x:f>
        <x:v>215711.29573961155</x:v>
      </x:c>
      <x:c r="W191" s="40" t="n">
        <x:f>V191*'Inputs &amp; Summary'!$B$15</x:f>
        <x:v>801.436399568403</x:v>
      </x:c>
      <x:c r="X191" s="40" t="n">
        <x:f>IF(V191&lt;=0.00000001,0,MIN('Inputs &amp; Summary'!$B$18,V191+W191))</x:f>
        <x:v>2324.586407999052</x:v>
      </x:c>
      <x:c r="Y191" s="40" t="n">
        <x:f>IF(ABS(MAX(0,V191+W191-X191))&lt;0.00000001,0,MAX(0,V191+W191-X191))</x:f>
        <x:v>214188.1457311809</x:v>
      </x:c>
      <x:c r="Z191" s="40" t="n">
        <x:f>MAX(0,'Inputs &amp; Summary'!$B$18-X191)</x:f>
        <x:v>0</x:v>
      </x:c>
      <x:c r="AA191" s="40" t="n">
        <x:f>AC190</x:f>
        <x:v>136842.63325856597</x:v>
      </x:c>
      <x:c r="AB191" s="40" t="n">
        <x:f>J191</x:f>
        <x:v>1328.350662154896</x:v>
      </x:c>
      <x:c r="AC191" s="40" t="n">
        <x:f>AA191*(1+'Inputs &amp; Summary'!$B$17)+Z191+AB191</x:f>
        <x:v>138837.07235760163</x:v>
      </x:c>
      <x:c r="AD191" s="40" t="n">
        <x:f>F191+H191+J191</x:f>
        <x:v>3652.9370701539483</x:v>
      </x:c>
      <x:c r="AE191" s="40" t="n">
        <x:f>X191+Z191+AB191</x:f>
        <x:v>3652.9370701539483</x:v>
      </x:c>
      <x:c r="AF191" s="40" t="n">
        <x:f>AD191-AE191</x:f>
        <x:v>0</x:v>
      </x:c>
      <x:c r="AG191" s="42" t="n">
        <x:f>(O191+S191)/'Inputs &amp; Summary'!$B$4</x:f>
        <x:v>0.6</x:v>
      </x:c>
      <x:c r="AH191" s="40" t="n">
        <x:f>U191-O191-S191</x:f>
        <x:v>-48328.33161335345</x:v>
      </x:c>
      <x:c r="AI191" s="40" t="n">
        <x:f>AC191-Y191</x:f>
        <x:v>-75351.07337357927</x:v>
      </x:c>
      <x:c r="AJ191" s="40" t="n">
        <x:f>AH191-AI191</x:f>
        <x:v>27022.74176022582</x:v>
      </x:c>
    </x:row>
    <x:row r="192">
      <x:c r="A192" t="n">
        <x:f>A191+1</x:f>
        <x:v>188</x:v>
      </x:c>
      <x:c r="B192" t="n">
        <x:f>INT((A192-1)/12)+1</x:f>
        <x:v>16</x:v>
      </x:c>
      <x:c r="C192" t="n">
        <x:f>MOD(A192-1,12)+1</x:f>
        <x:v>8</x:v>
      </x:c>
      <x:c r="D192" s="40" t="n">
        <x:f>O191</x:f>
        <x:v>173090.75685239694</x:v>
      </x:c>
      <x:c r="E192" s="40" t="n">
        <x:f>D192*'Inputs &amp; Summary'!$B$15</x:f>
        <x:v>643.0874771519033</x:v>
      </x:c>
      <x:c r="F192" s="40" t="n">
        <x:f>IF(D192&lt;=0.00000001,0,MIN('Inputs &amp; Summary'!$B$18,D192+E192))</x:f>
        <x:v>2324.586407999052</x:v>
      </x:c>
      <x:c r="G192" s="40" t="n">
        <x:f>IF(ABS(MAX(0,D192+E192-F192))&lt;0.00000001,0,MAX(0,D192+E192-F192))</x:f>
        <x:v>171409.2579215498</x:v>
      </x:c>
      <x:c r="H192" s="40" t="n">
        <x:f>MAX(0,'Inputs &amp; Summary'!$B$18-F192)</x:f>
        <x:v>0</x:v>
      </x:c>
      <x:c r="I192" s="40" t="n">
        <x:f>S191</x:f>
        <x:v>246909.24314760306</x:v>
      </x:c>
      <x:c r="J192" s="40" t="n">
        <x:f>I192*'Inputs &amp; Summary'!$B$16</x:f>
        <x:v>1337.4250670495167</x:v>
      </x:c>
      <x:c r="K192" s="40" t="n">
        <x:f>IF(C192=1,J192,K191+J192)</x:f>
        <x:v>10447.189534729167</x:v>
      </x:c>
      <x:c r="L192" s="40" t="n">
        <x:f>IF(C192=12,K192*'Inputs &amp; Summary'!$B$11*'Inputs &amp; Summary'!$B$12,0)</x:f>
        <x:v>0</x:v>
      </x:c>
      <x:c r="M192" s="40" t="n">
        <x:f>MIN(L192,G192)</x:f>
        <x:v>0</x:v>
      </x:c>
      <x:c r="N192" s="40" t="n">
        <x:f>MAX(0,L192-M192)</x:f>
        <x:v>0</x:v>
      </x:c>
      <x:c r="O192" s="40" t="n">
        <x:f>IF(ABS(MAX(0,G192-M192))&lt;0.00000001,0,MAX(0,G192-M192))</x:f>
        <x:v>171409.2579215498</x:v>
      </x:c>
      <x:c r="P192" s="40" t="n">
        <x:f>MAX(0,D192-O192)</x:f>
        <x:v>1681.4989308471268</x:v>
      </x:c>
      <x:c r="Q192" s="40" t="n">
        <x:f>MAX(0,'Inputs &amp; Summary'!$B$19*'Inputs &amp; Summary'!$B$4-O192-I192)</x:f>
        <x:v>36681.4989308471</x:v>
      </x:c>
      <x:c r="R192" s="40" t="n">
        <x:f>MIN(P192,Q192)</x:f>
        <x:v>1681.4989308471268</x:v>
      </x:c>
      <x:c r="S192" s="40" t="n">
        <x:f>I192+R192</x:f>
        <x:v>248590.7420784502</x:v>
      </x:c>
      <x:c r="T192" s="40" t="n">
        <x:f>U191</x:f>
        <x:v>371671.66838664655</x:v>
      </x:c>
      <x:c r="U192" s="40" t="n">
        <x:f>T192*(1+'Inputs &amp; Summary'!$B$17)+R192+N192+H192</x:f>
        <x:v>375162.2979570711</x:v>
      </x:c>
      <x:c r="V192" s="40" t="n">
        <x:f>Y191</x:f>
        <x:v>214188.1457311809</x:v>
      </x:c>
      <x:c r="W192" s="40" t="n">
        <x:f>V192*'Inputs &amp; Summary'!$B$15</x:f>
        <x:v>795.7774105267129</x:v>
      </x:c>
      <x:c r="X192" s="40" t="n">
        <x:f>IF(V192&lt;=0.00000001,0,MIN('Inputs &amp; Summary'!$B$18,V192+W192))</x:f>
        <x:v>2324.586407999052</x:v>
      </x:c>
      <x:c r="Y192" s="40" t="n">
        <x:f>IF(ABS(MAX(0,V192+W192-X192))&lt;0.00000001,0,MAX(0,V192+W192-X192))</x:f>
        <x:v>212659.33673370857</x:v>
      </x:c>
      <x:c r="Z192" s="40" t="n">
        <x:f>MAX(0,'Inputs &amp; Summary'!$B$18-X192)</x:f>
        <x:v>0</x:v>
      </x:c>
      <x:c r="AA192" s="40" t="n">
        <x:f>AC191</x:f>
        <x:v>138837.07235760163</x:v>
      </x:c>
      <x:c r="AB192" s="40" t="n">
        <x:f>J192</x:f>
        <x:v>1337.4250670495167</x:v>
      </x:c>
      <x:c r="AC192" s="40" t="n">
        <x:f>AA192*(1+'Inputs &amp; Summary'!$B$17)+Z192+AB192</x:f>
        <x:v>140850.29389469596</x:v>
      </x:c>
      <x:c r="AD192" s="40" t="n">
        <x:f>F192+H192+J192</x:f>
        <x:v>3662.0114750485686</x:v>
      </x:c>
      <x:c r="AE192" s="40" t="n">
        <x:f>X192+Z192+AB192</x:f>
        <x:v>3662.0114750485686</x:v>
      </x:c>
      <x:c r="AF192" s="40" t="n">
        <x:f>AD192-AE192</x:f>
        <x:v>0</x:v>
      </x:c>
      <x:c r="AG192" s="42" t="n">
        <x:f>(O192+S192)/'Inputs &amp; Summary'!$B$4</x:f>
        <x:v>0.6</x:v>
      </x:c>
      <x:c r="AH192" s="40" t="n">
        <x:f>U192-O192-S192</x:f>
        <x:v>-44837.7020429289</x:v>
      </x:c>
      <x:c r="AI192" s="40" t="n">
        <x:f>AC192-Y192</x:f>
        <x:v>-71809.0428390126</x:v>
      </x:c>
      <x:c r="AJ192" s="40" t="n">
        <x:f>AH192-AI192</x:f>
        <x:v>26971.340796083707</x:v>
      </x:c>
    </x:row>
    <x:row r="193">
      <x:c r="A193" t="n">
        <x:f>A192+1</x:f>
        <x:v>189</x:v>
      </x:c>
      <x:c r="B193" t="n">
        <x:f>INT((A193-1)/12)+1</x:f>
        <x:v>16</x:v>
      </x:c>
      <x:c r="C193" t="n">
        <x:f>MOD(A193-1,12)+1</x:f>
        <x:v>9</x:v>
      </x:c>
      <x:c r="D193" s="40" t="n">
        <x:f>O192</x:f>
        <x:v>171409.2579215498</x:v>
      </x:c>
      <x:c r="E193" s="40" t="n">
        <x:f>D193*'Inputs &amp; Summary'!$B$15</x:f>
        <x:v>636.8401712591095</x:v>
      </x:c>
      <x:c r="F193" s="40" t="n">
        <x:f>IF(D193&lt;=0.00000001,0,MIN('Inputs &amp; Summary'!$B$18,D193+E193))</x:f>
        <x:v>2324.586407999052</x:v>
      </x:c>
      <x:c r="G193" s="40" t="n">
        <x:f>IF(ABS(MAX(0,D193+E193-F193))&lt;0.00000001,0,MAX(0,D193+E193-F193))</x:f>
        <x:v>169721.51168480987</x:v>
      </x:c>
      <x:c r="H193" s="40" t="n">
        <x:f>MAX(0,'Inputs &amp; Summary'!$B$18-F193)</x:f>
        <x:v>0</x:v>
      </x:c>
      <x:c r="I193" s="40" t="n">
        <x:f>S192</x:f>
        <x:v>248590.7420784502</x:v>
      </x:c>
      <x:c r="J193" s="40" t="n">
        <x:f>I193*'Inputs &amp; Summary'!$B$16</x:f>
        <x:v>1346.5331862582718</x:v>
      </x:c>
      <x:c r="K193" s="40" t="n">
        <x:f>IF(C193=1,J193,K192+J193)</x:f>
        <x:v>11793.722720987438</x:v>
      </x:c>
      <x:c r="L193" s="40" t="n">
        <x:f>IF(C193=12,K193*'Inputs &amp; Summary'!$B$11*'Inputs &amp; Summary'!$B$12,0)</x:f>
        <x:v>0</x:v>
      </x:c>
      <x:c r="M193" s="40" t="n">
        <x:f>MIN(L193,G193)</x:f>
        <x:v>0</x:v>
      </x:c>
      <x:c r="N193" s="40" t="n">
        <x:f>MAX(0,L193-M193)</x:f>
        <x:v>0</x:v>
      </x:c>
      <x:c r="O193" s="40" t="n">
        <x:f>IF(ABS(MAX(0,G193-M193))&lt;0.00000001,0,MAX(0,G193-M193))</x:f>
        <x:v>169721.51168480987</x:v>
      </x:c>
      <x:c r="P193" s="40" t="n">
        <x:f>MAX(0,D193-O193)</x:f>
        <x:v>1687.746236739942</x:v>
      </x:c>
      <x:c r="Q193" s="40" t="n">
        <x:f>MAX(0,'Inputs &amp; Summary'!$B$19*'Inputs &amp; Summary'!$B$4-O193-I193)</x:f>
        <x:v>36687.74623673994</x:v>
      </x:c>
      <x:c r="R193" s="40" t="n">
        <x:f>MIN(P193,Q193)</x:f>
        <x:v>1687.746236739942</x:v>
      </x:c>
      <x:c r="S193" s="40" t="n">
        <x:f>I193+R193</x:f>
        <x:v>250278.48831519013</x:v>
      </x:c>
      <x:c r="T193" s="40" t="n">
        <x:f>U192</x:f>
        <x:v>375162.2979570711</x:v>
      </x:c>
      <x:c r="U193" s="40" t="n">
        <x:f>T193*(1+'Inputs &amp; Summary'!$B$17)+R193+N193+H193</x:f>
        <x:v>378676.16564932733</x:v>
      </x:c>
      <x:c r="V193" s="40" t="n">
        <x:f>Y192</x:f>
        <x:v>212659.33673370857</x:v>
      </x:c>
      <x:c r="W193" s="40" t="n">
        <x:f>V193*'Inputs &amp; Summary'!$B$15</x:f>
        <x:v>790.0973965322626</x:v>
      </x:c>
      <x:c r="X193" s="40" t="n">
        <x:f>IF(V193&lt;=0.00000001,0,MIN('Inputs &amp; Summary'!$B$18,V193+W193))</x:f>
        <x:v>2324.586407999052</x:v>
      </x:c>
      <x:c r="Y193" s="40" t="n">
        <x:f>IF(ABS(MAX(0,V193+W193-X193))&lt;0.00000001,0,MAX(0,V193+W193-X193))</x:f>
        <x:v>211124.84772224177</x:v>
      </x:c>
      <x:c r="Z193" s="40" t="n">
        <x:f>MAX(0,'Inputs &amp; Summary'!$B$18-X193)</x:f>
        <x:v>0</x:v>
      </x:c>
      <x:c r="AA193" s="40" t="n">
        <x:f>AC192</x:f>
        <x:v>140850.29389469596</x:v>
      </x:c>
      <x:c r="AB193" s="40" t="n">
        <x:f>J193</x:f>
        <x:v>1346.5331862582718</x:v>
      </x:c>
      <x:c r="AC193" s="40" t="n">
        <x:f>AA193*(1+'Inputs &amp; Summary'!$B$17)+Z193+AB193</x:f>
        <x:v>142882.4230086301</x:v>
      </x:c>
      <x:c r="AD193" s="40" t="n">
        <x:f>F193+H193+J193</x:f>
        <x:v>3671.119594257324</x:v>
      </x:c>
      <x:c r="AE193" s="40" t="n">
        <x:f>X193+Z193+AB193</x:f>
        <x:v>3671.119594257324</x:v>
      </x:c>
      <x:c r="AF193" s="40" t="n">
        <x:f>AD193-AE193</x:f>
        <x:v>0</x:v>
      </x:c>
      <x:c r="AG193" s="42" t="n">
        <x:f>(O193+S193)/'Inputs &amp; Summary'!$B$4</x:f>
        <x:v>0.6</x:v>
      </x:c>
      <x:c r="AH193" s="40" t="n">
        <x:f>U193-O193-S193</x:f>
        <x:v>-41323.83435067267</x:v>
      </x:c>
      <x:c r="AI193" s="40" t="n">
        <x:f>AC193-Y193</x:f>
        <x:v>-68242.42471361166</x:v>
      </x:c>
      <x:c r="AJ193" s="40" t="n">
        <x:f>AH193-AI193</x:f>
        <x:v>26918.590362938994</x:v>
      </x:c>
    </x:row>
    <x:row r="194">
      <x:c r="A194" t="n">
        <x:f>A193+1</x:f>
        <x:v>190</x:v>
      </x:c>
      <x:c r="B194" t="n">
        <x:f>INT((A194-1)/12)+1</x:f>
        <x:v>16</x:v>
      </x:c>
      <x:c r="C194" t="n">
        <x:f>MOD(A194-1,12)+1</x:f>
        <x:v>10</x:v>
      </x:c>
      <x:c r="D194" s="40" t="n">
        <x:f>O193</x:f>
        <x:v>169721.51168480987</x:v>
      </x:c>
      <x:c r="E194" s="40" t="n">
        <x:f>D194*'Inputs &amp; Summary'!$B$15</x:f>
        <x:v>630.5696546284424</x:v>
      </x:c>
      <x:c r="F194" s="40" t="n">
        <x:f>IF(D194&lt;=0.00000001,0,MIN('Inputs &amp; Summary'!$B$18,D194+E194))</x:f>
        <x:v>2324.586407999052</x:v>
      </x:c>
      <x:c r="G194" s="40" t="n">
        <x:f>IF(ABS(MAX(0,D194+E194-F194))&lt;0.00000001,0,MAX(0,D194+E194-F194))</x:f>
        <x:v>168027.49493143926</x:v>
      </x:c>
      <x:c r="H194" s="40" t="n">
        <x:f>MAX(0,'Inputs &amp; Summary'!$B$18-F194)</x:f>
        <x:v>0</x:v>
      </x:c>
      <x:c r="I194" s="40" t="n">
        <x:f>S193</x:f>
        <x:v>250278.48831519013</x:v>
      </x:c>
      <x:c r="J194" s="40" t="n">
        <x:f>I194*'Inputs &amp; Summary'!$B$16</x:f>
        <x:v>1355.6751450406132</x:v>
      </x:c>
      <x:c r="K194" s="40" t="n">
        <x:f>IF(C194=1,J194,K193+J194)</x:f>
        <x:v>13149.397866028052</x:v>
      </x:c>
      <x:c r="L194" s="40" t="n">
        <x:f>IF(C194=12,K194*'Inputs &amp; Summary'!$B$11*'Inputs &amp; Summary'!$B$12,0)</x:f>
        <x:v>0</x:v>
      </x:c>
      <x:c r="M194" s="40" t="n">
        <x:f>MIN(L194,G194)</x:f>
        <x:v>0</x:v>
      </x:c>
      <x:c r="N194" s="40" t="n">
        <x:f>MAX(0,L194-M194)</x:f>
        <x:v>0</x:v>
      </x:c>
      <x:c r="O194" s="40" t="n">
        <x:f>IF(ABS(MAX(0,G194-M194))&lt;0.00000001,0,MAX(0,G194-M194))</x:f>
        <x:v>168027.49493143926</x:v>
      </x:c>
      <x:c r="P194" s="40" t="n">
        <x:f>MAX(0,D194-O194)</x:f>
        <x:v>1694.0167533706117</x:v>
      </x:c>
      <x:c r="Q194" s="40" t="n">
        <x:f>MAX(0,'Inputs &amp; Summary'!$B$19*'Inputs &amp; Summary'!$B$4-O194-I194)</x:f>
        <x:v>36694.01675337058</x:v>
      </x:c>
      <x:c r="R194" s="40" t="n">
        <x:f>MIN(P194,Q194)</x:f>
        <x:v>1694.0167533706117</x:v>
      </x:c>
      <x:c r="S194" s="40" t="n">
        <x:f>I194+R194</x:f>
        <x:v>251972.50506856074</x:v>
      </x:c>
      <x:c r="T194" s="40" t="n">
        <x:f>U193</x:f>
        <x:v>378676.16564932733</x:v>
      </x:c>
      <x:c r="U194" s="40" t="n">
        <x:f>T194*(1+'Inputs &amp; Summary'!$B$17)+R194+N194+H194</x:f>
        <x:v>382213.4077868862</x:v>
      </x:c>
      <x:c r="V194" s="40" t="n">
        <x:f>Y193</x:f>
        <x:v>211124.84772224177</x:v>
      </x:c>
      <x:c r="W194" s="40" t="n">
        <x:f>V194*'Inputs &amp; Summary'!$B$15</x:f>
        <x:v>784.3962794706334</x:v>
      </x:c>
      <x:c r="X194" s="40" t="n">
        <x:f>IF(V194&lt;=0.00000001,0,MIN('Inputs &amp; Summary'!$B$18,V194+W194))</x:f>
        <x:v>2324.586407999052</x:v>
      </x:c>
      <x:c r="Y194" s="40" t="n">
        <x:f>IF(ABS(MAX(0,V194+W194-X194))&lt;0.00000001,0,MAX(0,V194+W194-X194))</x:f>
        <x:v>209584.65759371337</x:v>
      </x:c>
      <x:c r="Z194" s="40" t="n">
        <x:f>MAX(0,'Inputs &amp; Summary'!$B$18-X194)</x:f>
        <x:v>0</x:v>
      </x:c>
      <x:c r="AA194" s="40" t="n">
        <x:f>AC193</x:f>
        <x:v>142882.4230086301</x:v>
      </x:c>
      <x:c r="AB194" s="40" t="n">
        <x:f>J194</x:f>
        <x:v>1355.6751450406132</x:v>
      </x:c>
      <x:c r="AC194" s="40" t="n">
        <x:f>AA194*(1+'Inputs &amp; Summary'!$B$17)+Z194+AB194</x:f>
        <x:v>144933.58557256396</x:v>
      </x:c>
      <x:c r="AD194" s="40" t="n">
        <x:f>F194+H194+J194</x:f>
        <x:v>3680.261553039665</x:v>
      </x:c>
      <x:c r="AE194" s="40" t="n">
        <x:f>X194+Z194+AB194</x:f>
        <x:v>3680.261553039665</x:v>
      </x:c>
      <x:c r="AF194" s="40" t="n">
        <x:f>AD194-AE194</x:f>
        <x:v>0</x:v>
      </x:c>
      <x:c r="AG194" s="42" t="n">
        <x:f>(O194+S194)/'Inputs &amp; Summary'!$B$4</x:f>
        <x:v>0.6</x:v>
      </x:c>
      <x:c r="AH194" s="40" t="n">
        <x:f>U194-O194-S194</x:f>
        <x:v>-37786.59221311379</x:v>
      </x:c>
      <x:c r="AI194" s="40" t="n">
        <x:f>AC194-Y194</x:f>
        <x:v>-64651.07202114942</x:v>
      </x:c>
      <x:c r="AJ194" s="40" t="n">
        <x:f>AH194-AI194</x:f>
        <x:v>26864.479808035627</x:v>
      </x:c>
    </x:row>
    <x:row r="195">
      <x:c r="A195" t="n">
        <x:f>A194+1</x:f>
        <x:v>191</x:v>
      </x:c>
      <x:c r="B195" t="n">
        <x:f>INT((A195-1)/12)+1</x:f>
        <x:v>16</x:v>
      </x:c>
      <x:c r="C195" t="n">
        <x:f>MOD(A195-1,12)+1</x:f>
        <x:v>11</x:v>
      </x:c>
      <x:c r="D195" s="40" t="n">
        <x:f>O194</x:f>
        <x:v>168027.49493143926</x:v>
      </x:c>
      <x:c r="E195" s="40" t="n">
        <x:f>D195*'Inputs &amp; Summary'!$B$15</x:f>
        <x:v>624.2758410245933</x:v>
      </x:c>
      <x:c r="F195" s="40" t="n">
        <x:f>IF(D195&lt;=0.00000001,0,MIN('Inputs &amp; Summary'!$B$18,D195+E195))</x:f>
        <x:v>2324.586407999052</x:v>
      </x:c>
      <x:c r="G195" s="40" t="n">
        <x:f>IF(ABS(MAX(0,D195+E195-F195))&lt;0.00000001,0,MAX(0,D195+E195-F195))</x:f>
        <x:v>166327.1843644648</x:v>
      </x:c>
      <x:c r="H195" s="40" t="n">
        <x:f>MAX(0,'Inputs &amp; Summary'!$B$18-F195)</x:f>
        <x:v>0</x:v>
      </x:c>
      <x:c r="I195" s="40" t="n">
        <x:f>S194</x:f>
        <x:v>251972.50506856074</x:v>
      </x:c>
      <x:c r="J195" s="40" t="n">
        <x:f>I195*'Inputs &amp; Summary'!$B$16</x:f>
        <x:v>1364.8510691213708</x:v>
      </x:c>
      <x:c r="K195" s="40" t="n">
        <x:f>IF(C195=1,J195,K194+J195)</x:f>
        <x:v>14514.248935149422</x:v>
      </x:c>
      <x:c r="L195" s="40" t="n">
        <x:f>IF(C195=12,K195*'Inputs &amp; Summary'!$B$11*'Inputs &amp; Summary'!$B$12,0)</x:f>
        <x:v>0</x:v>
      </x:c>
      <x:c r="M195" s="40" t="n">
        <x:f>MIN(L195,G195)</x:f>
        <x:v>0</x:v>
      </x:c>
      <x:c r="N195" s="40" t="n">
        <x:f>MAX(0,L195-M195)</x:f>
        <x:v>0</x:v>
      </x:c>
      <x:c r="O195" s="40" t="n">
        <x:f>IF(ABS(MAX(0,G195-M195))&lt;0.00000001,0,MAX(0,G195-M195))</x:f>
        <x:v>166327.1843644648</x:v>
      </x:c>
      <x:c r="P195" s="40" t="n">
        <x:f>MAX(0,D195-O195)</x:f>
        <x:v>1700.3105669744546</x:v>
      </x:c>
      <x:c r="Q195" s="40" t="n">
        <x:f>MAX(0,'Inputs &amp; Summary'!$B$19*'Inputs &amp; Summary'!$B$4-O195-I195)</x:f>
        <x:v>36700.310566974425</x:v>
      </x:c>
      <x:c r="R195" s="40" t="n">
        <x:f>MIN(P195,Q195)</x:f>
        <x:v>1700.3105669744546</x:v>
      </x:c>
      <x:c r="S195" s="40" t="n">
        <x:f>I195+R195</x:f>
        <x:v>253672.8156355352</x:v>
      </x:c>
      <x:c r="T195" s="40" t="n">
        <x:f>U194</x:f>
        <x:v>382213.4077868862</x:v>
      </x:c>
      <x:c r="U195" s="40" t="n">
        <x:f>T195*(1+'Inputs &amp; Summary'!$B$17)+R195+N195+H195</x:f>
        <x:v>385774.1614430154</x:v>
      </x:c>
      <x:c r="V195" s="40" t="n">
        <x:f>Y194</x:f>
        <x:v>209584.65759371337</x:v>
      </x:c>
      <x:c r="W195" s="40" t="n">
        <x:f>V195*'Inputs &amp; Summary'!$B$15</x:f>
        <x:v>778.673980937187</x:v>
      </x:c>
      <x:c r="X195" s="40" t="n">
        <x:f>IF(V195&lt;=0.00000001,0,MIN('Inputs &amp; Summary'!$B$18,V195+W195))</x:f>
        <x:v>2324.586407999052</x:v>
      </x:c>
      <x:c r="Y195" s="40" t="n">
        <x:f>IF(ABS(MAX(0,V195+W195-X195))&lt;0.00000001,0,MAX(0,V195+W195-X195))</x:f>
        <x:v>208038.74516665153</x:v>
      </x:c>
      <x:c r="Z195" s="40" t="n">
        <x:f>MAX(0,'Inputs &amp; Summary'!$B$18-X195)</x:f>
        <x:v>0</x:v>
      </x:c>
      <x:c r="AA195" s="40" t="n">
        <x:f>AC194</x:f>
        <x:v>144933.58557256396</x:v>
      </x:c>
      <x:c r="AB195" s="40" t="n">
        <x:f>J195</x:f>
        <x:v>1364.8510691213708</x:v>
      </x:c>
      <x:c r="AC195" s="40" t="n">
        <x:f>AA195*(1+'Inputs &amp; Summary'!$B$17)+Z195+AB195</x:f>
        <x:v>147003.90819807624</x:v>
      </x:c>
      <x:c r="AD195" s="40" t="n">
        <x:f>F195+H195+J195</x:f>
        <x:v>3689.437477120423</x:v>
      </x:c>
      <x:c r="AE195" s="40" t="n">
        <x:f>X195+Z195+AB195</x:f>
        <x:v>3689.437477120423</x:v>
      </x:c>
      <x:c r="AF195" s="40" t="n">
        <x:f>AD195-AE195</x:f>
        <x:v>0</x:v>
      </x:c>
      <x:c r="AG195" s="42" t="n">
        <x:f>(O195+S195)/'Inputs &amp; Summary'!$B$4</x:f>
        <x:v>0.6</x:v>
      </x:c>
      <x:c r="AH195" s="40" t="n">
        <x:f>U195-O195-S195</x:f>
        <x:v>-34225.838556984614</x:v>
      </x:c>
      <x:c r="AI195" s="40" t="n">
        <x:f>AC195-Y195</x:f>
        <x:v>-61034.836968575284</x:v>
      </x:c>
      <x:c r="AJ195" s="40" t="n">
        <x:f>AH195-AI195</x:f>
        <x:v>26808.99841159067</x:v>
      </x:c>
    </x:row>
    <x:row r="196">
      <x:c r="A196" t="n">
        <x:f>A195+1</x:f>
        <x:v>192</x:v>
      </x:c>
      <x:c r="B196" t="n">
        <x:f>INT((A196-1)/12)+1</x:f>
        <x:v>16</x:v>
      </x:c>
      <x:c r="C196" t="n">
        <x:f>MOD(A196-1,12)+1</x:f>
        <x:v>12</x:v>
      </x:c>
      <x:c r="D196" s="40" t="n">
        <x:f>O195</x:f>
        <x:v>166327.1843644648</x:v>
      </x:c>
      <x:c r="E196" s="40" t="n">
        <x:f>D196*'Inputs &amp; Summary'!$B$15</x:f>
        <x:v>617.9586438918616</x:v>
      </x:c>
      <x:c r="F196" s="40" t="n">
        <x:f>IF(D196&lt;=0.00000001,0,MIN('Inputs &amp; Summary'!$B$18,D196+E196))</x:f>
        <x:v>2324.586407999052</x:v>
      </x:c>
      <x:c r="G196" s="40" t="n">
        <x:f>IF(ABS(MAX(0,D196+E196-F196))&lt;0.00000001,0,MAX(0,D196+E196-F196))</x:f>
        <x:v>164620.5566003576</x:v>
      </x:c>
      <x:c r="H196" s="40" t="n">
        <x:f>MAX(0,'Inputs &amp; Summary'!$B$18-F196)</x:f>
        <x:v>0</x:v>
      </x:c>
      <x:c r="I196" s="40" t="n">
        <x:f>S195</x:f>
        <x:v>253672.8156355352</x:v>
      </x:c>
      <x:c r="J196" s="40" t="n">
        <x:f>I196*'Inputs &amp; Summary'!$B$16</x:f>
        <x:v>1374.0610846924824</x:v>
      </x:c>
      <x:c r="K196" s="40" t="n">
        <x:f>IF(C196=1,J196,K195+J196)</x:f>
        <x:v>15888.310019841905</x:v>
      </x:c>
      <x:c r="L196" s="40" t="n">
        <x:f>IF(C196=12,K196*'Inputs &amp; Summary'!$B$11*'Inputs &amp; Summary'!$B$12,0)</x:f>
        <x:v>5560.908506944666</x:v>
      </x:c>
      <x:c r="M196" s="40" t="n">
        <x:f>MIN(L196,G196)</x:f>
        <x:v>5560.908506944666</x:v>
      </x:c>
      <x:c r="N196" s="40" t="n">
        <x:f>MAX(0,L196-M196)</x:f>
        <x:v>0</x:v>
      </x:c>
      <x:c r="O196" s="40" t="n">
        <x:f>IF(ABS(MAX(0,G196-M196))&lt;0.00000001,0,MAX(0,G196-M196))</x:f>
        <x:v>159059.64809341295</x:v>
      </x:c>
      <x:c r="P196" s="40" t="n">
        <x:f>MAX(0,D196-O196)</x:f>
        <x:v>7267.536271051853</x:v>
      </x:c>
      <x:c r="Q196" s="40" t="n">
        <x:f>MAX(0,'Inputs &amp; Summary'!$B$19*'Inputs &amp; Summary'!$B$4-O196-I196)</x:f>
        <x:v>42267.536271051824</x:v>
      </x:c>
      <x:c r="R196" s="40" t="n">
        <x:f>MIN(P196,Q196)</x:f>
        <x:v>7267.536271051853</x:v>
      </x:c>
      <x:c r="S196" s="40" t="n">
        <x:f>I196+R196</x:f>
        <x:v>260940.35190658705</x:v>
      </x:c>
      <x:c r="T196" s="40" t="n">
        <x:f>U195</x:f>
        <x:v>385774.1614430154</x:v>
      </x:c>
      <x:c r="U196" s="40" t="n">
        <x:f>T196*(1+'Inputs &amp; Summary'!$B$17)+R196+N196+H196</x:f>
        <x:v>394919.4729516939</x:v>
      </x:c>
      <x:c r="V196" s="40" t="n">
        <x:f>Y195</x:f>
        <x:v>208038.74516665153</x:v>
      </x:c>
      <x:c r="W196" s="40" t="n">
        <x:f>V196*'Inputs &amp; Summary'!$B$15</x:f>
        <x:v>772.9304222359865</x:v>
      </x:c>
      <x:c r="X196" s="40" t="n">
        <x:f>IF(V196&lt;=0.00000001,0,MIN('Inputs &amp; Summary'!$B$18,V196+W196))</x:f>
        <x:v>2324.586407999052</x:v>
      </x:c>
      <x:c r="Y196" s="40" t="n">
        <x:f>IF(ABS(MAX(0,V196+W196-X196))&lt;0.00000001,0,MAX(0,V196+W196-X196))</x:f>
        <x:v>206487.08918088846</x:v>
      </x:c>
      <x:c r="Z196" s="40" t="n">
        <x:f>MAX(0,'Inputs &amp; Summary'!$B$18-X196)</x:f>
        <x:v>0</x:v>
      </x:c>
      <x:c r="AA196" s="40" t="n">
        <x:f>AC195</x:f>
        <x:v>147003.90819807624</x:v>
      </x:c>
      <x:c r="AB196" s="40" t="n">
        <x:f>J196</x:f>
        <x:v>1374.0610846924824</x:v>
      </x:c>
      <x:c r="AC196" s="40" t="n">
        <x:f>AA196*(1+'Inputs &amp; Summary'!$B$17)+Z196+AB196</x:f>
        <x:v>149093.5182392259</x:v>
      </x:c>
      <x:c r="AD196" s="40" t="n">
        <x:f>F196+H196+J196</x:f>
        <x:v>3698.6474926915344</x:v>
      </x:c>
      <x:c r="AE196" s="40" t="n">
        <x:f>X196+Z196+AB196</x:f>
        <x:v>3698.6474926915344</x:v>
      </x:c>
      <x:c r="AF196" s="40" t="n">
        <x:f>AD196-AE196</x:f>
        <x:v>0</x:v>
      </x:c>
      <x:c r="AG196" s="42" t="n">
        <x:f>(O196+S196)/'Inputs &amp; Summary'!$B$4</x:f>
        <x:v>0.6</x:v>
      </x:c>
      <x:c r="AH196" s="40" t="n">
        <x:f>U196-O196-S196</x:f>
        <x:v>-25080.527048306074</x:v>
      </x:c>
      <x:c r="AI196" s="40" t="n">
        <x:f>AC196-Y196</x:f>
        <x:v>-57393.57094166256</x:v>
      </x:c>
      <x:c r="AJ196" s="40" t="n">
        <x:f>AH196-AI196</x:f>
        <x:v>32313.043893356487</x:v>
      </x:c>
    </x:row>
    <x:row r="197">
      <x:c r="A197" t="n">
        <x:f>A196+1</x:f>
        <x:v>193</x:v>
      </x:c>
      <x:c r="B197" t="n">
        <x:f>INT((A197-1)/12)+1</x:f>
        <x:v>17</x:v>
      </x:c>
      <x:c r="C197" t="n">
        <x:f>MOD(A197-1,12)+1</x:f>
        <x:v>1</x:v>
      </x:c>
      <x:c r="D197" s="40" t="n">
        <x:f>O196</x:f>
        <x:v>159059.64809341295</x:v>
      </x:c>
      <x:c r="E197" s="40" t="n">
        <x:f>D197*'Inputs &amp; Summary'!$B$15</x:f>
        <x:v>590.9574241234013</x:v>
      </x:c>
      <x:c r="F197" s="40" t="n">
        <x:f>IF(D197&lt;=0.00000001,0,MIN('Inputs &amp; Summary'!$B$18,D197+E197))</x:f>
        <x:v>2324.586407999052</x:v>
      </x:c>
      <x:c r="G197" s="40" t="n">
        <x:f>IF(ABS(MAX(0,D197+E197-F197))&lt;0.00000001,0,MAX(0,D197+E197-F197))</x:f>
        <x:v>157326.0191095373</x:v>
      </x:c>
      <x:c r="H197" s="40" t="n">
        <x:f>MAX(0,'Inputs &amp; Summary'!$B$18-F197)</x:f>
        <x:v>0</x:v>
      </x:c>
      <x:c r="I197" s="40" t="n">
        <x:f>S196</x:f>
        <x:v>260940.35190658705</x:v>
      </x:c>
      <x:c r="J197" s="40" t="n">
        <x:f>I197*'Inputs &amp; Summary'!$B$16</x:f>
        <x:v>1413.42690616068</x:v>
      </x:c>
      <x:c r="K197" s="40" t="n">
        <x:f>IF(C197=1,J197,K196+J197)</x:f>
        <x:v>1413.42690616068</x:v>
      </x:c>
      <x:c r="L197" s="40" t="n">
        <x:f>IF(C197=12,K197*'Inputs &amp; Summary'!$B$11*'Inputs &amp; Summary'!$B$12,0)</x:f>
        <x:v>0</x:v>
      </x:c>
      <x:c r="M197" s="40" t="n">
        <x:f>MIN(L197,G197)</x:f>
        <x:v>0</x:v>
      </x:c>
      <x:c r="N197" s="40" t="n">
        <x:f>MAX(0,L197-M197)</x:f>
        <x:v>0</x:v>
      </x:c>
      <x:c r="O197" s="40" t="n">
        <x:f>IF(ABS(MAX(0,G197-M197))&lt;0.00000001,0,MAX(0,G197-M197))</x:f>
        <x:v>157326.0191095373</x:v>
      </x:c>
      <x:c r="P197" s="40" t="n">
        <x:f>MAX(0,D197-O197)</x:f>
        <x:v>1733.6289838756493</x:v>
      </x:c>
      <x:c r="Q197" s="40" t="n">
        <x:f>MAX(0,'Inputs &amp; Summary'!$B$19*'Inputs &amp; Summary'!$B$4-O197-I197)</x:f>
        <x:v>36733.62898387565</x:v>
      </x:c>
      <x:c r="R197" s="40" t="n">
        <x:f>MIN(P197,Q197)</x:f>
        <x:v>1733.6289838756493</x:v>
      </x:c>
      <x:c r="S197" s="40" t="n">
        <x:f>I197+R197</x:f>
        <x:v>262673.9808904627</x:v>
      </x:c>
      <x:c r="T197" s="40" t="n">
        <x:f>U196</x:f>
        <x:v>394919.4729516939</x:v>
      </x:c>
      <x:c r="U197" s="40" t="n">
        <x:f>T197*(1+'Inputs &amp; Summary'!$B$17)+R197+N197+H197</x:f>
        <x:v>398575.39243940054</x:v>
      </x:c>
      <x:c r="V197" s="40" t="n">
        <x:f>Y196</x:f>
        <x:v>206487.08918088846</x:v>
      </x:c>
      <x:c r="W197" s="40" t="n">
        <x:f>V197*'Inputs &amp; Summary'!$B$15</x:f>
        <x:v>767.1655243787142</x:v>
      </x:c>
      <x:c r="X197" s="40" t="n">
        <x:f>IF(V197&lt;=0.00000001,0,MIN('Inputs &amp; Summary'!$B$18,V197+W197))</x:f>
        <x:v>2324.586407999052</x:v>
      </x:c>
      <x:c r="Y197" s="40" t="n">
        <x:f>IF(ABS(MAX(0,V197+W197-X197))&lt;0.00000001,0,MAX(0,V197+W197-X197))</x:f>
        <x:v>204929.66829726813</x:v>
      </x:c>
      <x:c r="Z197" s="40" t="n">
        <x:f>MAX(0,'Inputs &amp; Summary'!$B$18-X197)</x:f>
        <x:v>0</x:v>
      </x:c>
      <x:c r="AA197" s="40" t="n">
        <x:f>AC196</x:f>
        <x:v>149093.5182392259</x:v>
      </x:c>
      <x:c r="AB197" s="40" t="n">
        <x:f>J197</x:f>
        <x:v>1413.42690616068</x:v>
      </x:c>
      <x:c r="AC197" s="40" t="n">
        <x:f>AA197*(1+'Inputs &amp; Summary'!$B$17)+Z197+AB197</x:f>
        <x:v>151232.66538438093</x:v>
      </x:c>
      <x:c r="AD197" s="40" t="n">
        <x:f>F197+H197+J197</x:f>
        <x:v>3738.0133141597316</x:v>
      </x:c>
      <x:c r="AE197" s="40" t="n">
        <x:f>X197+Z197+AB197</x:f>
        <x:v>3738.0133141597316</x:v>
      </x:c>
      <x:c r="AF197" s="40" t="n">
        <x:f>AD197-AE197</x:f>
        <x:v>0</x:v>
      </x:c>
      <x:c r="AG197" s="42" t="n">
        <x:f>(O197+S197)/'Inputs &amp; Summary'!$B$4</x:f>
        <x:v>0.6</x:v>
      </x:c>
      <x:c r="AH197" s="40" t="n">
        <x:f>U197-O197-S197</x:f>
        <x:v>-21424.607560599456</x:v>
      </x:c>
      <x:c r="AI197" s="40" t="n">
        <x:f>AC197-Y197</x:f>
        <x:v>-53697.0029128872</x:v>
      </x:c>
      <x:c r="AJ197" s="40" t="n">
        <x:f>AH197-AI197</x:f>
        <x:v>32272.395352287742</x:v>
      </x:c>
    </x:row>
    <x:row r="198">
      <x:c r="A198" t="n">
        <x:f>A197+1</x:f>
        <x:v>194</x:v>
      </x:c>
      <x:c r="B198" t="n">
        <x:f>INT((A198-1)/12)+1</x:f>
        <x:v>17</x:v>
      </x:c>
      <x:c r="C198" t="n">
        <x:f>MOD(A198-1,12)+1</x:f>
        <x:v>2</x:v>
      </x:c>
      <x:c r="D198" s="40" t="n">
        <x:f>O197</x:f>
        <x:v>157326.0191095373</x:v>
      </x:c>
      <x:c r="E198" s="40" t="n">
        <x:f>D198*'Inputs &amp; Summary'!$B$15</x:f>
        <x:v>584.516438424155</x:v>
      </x:c>
      <x:c r="F198" s="40" t="n">
        <x:f>IF(D198&lt;=0.00000001,0,MIN('Inputs &amp; Summary'!$B$18,D198+E198))</x:f>
        <x:v>2324.586407999052</x:v>
      </x:c>
      <x:c r="G198" s="40" t="n">
        <x:f>IF(ABS(MAX(0,D198+E198-F198))&lt;0.00000001,0,MAX(0,D198+E198-F198))</x:f>
        <x:v>155585.9491399624</x:v>
      </x:c>
      <x:c r="H198" s="40" t="n">
        <x:f>MAX(0,'Inputs &amp; Summary'!$B$18-F198)</x:f>
        <x:v>0</x:v>
      </x:c>
      <x:c r="I198" s="40" t="n">
        <x:f>S197</x:f>
        <x:v>262673.9808904627</x:v>
      </x:c>
      <x:c r="J198" s="40" t="n">
        <x:f>I198*'Inputs &amp; Summary'!$B$16</x:f>
        <x:v>1422.8173964900063</x:v>
      </x:c>
      <x:c r="K198" s="40" t="n">
        <x:f>IF(C198=1,J198,K197+J198)</x:f>
        <x:v>2836.244302650686</x:v>
      </x:c>
      <x:c r="L198" s="40" t="n">
        <x:f>IF(C198=12,K198*'Inputs &amp; Summary'!$B$11*'Inputs &amp; Summary'!$B$12,0)</x:f>
        <x:v>0</x:v>
      </x:c>
      <x:c r="M198" s="40" t="n">
        <x:f>MIN(L198,G198)</x:f>
        <x:v>0</x:v>
      </x:c>
      <x:c r="N198" s="40" t="n">
        <x:f>MAX(0,L198-M198)</x:f>
        <x:v>0</x:v>
      </x:c>
      <x:c r="O198" s="40" t="n">
        <x:f>IF(ABS(MAX(0,G198-M198))&lt;0.00000001,0,MAX(0,G198-M198))</x:f>
        <x:v>155585.9491399624</x:v>
      </x:c>
      <x:c r="P198" s="40" t="n">
        <x:f>MAX(0,D198-O198)</x:f>
        <x:v>1740.0699695748917</x:v>
      </x:c>
      <x:c r="Q198" s="40" t="n">
        <x:f>MAX(0,'Inputs &amp; Summary'!$B$19*'Inputs &amp; Summary'!$B$4-O198-I198)</x:f>
        <x:v>36740.06996957486</x:v>
      </x:c>
      <x:c r="R198" s="40" t="n">
        <x:f>MIN(P198,Q198)</x:f>
        <x:v>1740.0699695748917</x:v>
      </x:c>
      <x:c r="S198" s="40" t="n">
        <x:f>I198+R198</x:f>
        <x:v>264414.05086003756</x:v>
      </x:c>
      <x:c r="T198" s="40" t="n">
        <x:f>U197</x:f>
        <x:v>398575.39243940054</x:v>
      </x:c>
      <x:c r="U198" s="40" t="n">
        <x:f>T198*(1+'Inputs &amp; Summary'!$B$17)+R198+N198+H198</x:f>
        <x:v>402255.5482857757</x:v>
      </x:c>
      <x:c r="V198" s="40" t="n">
        <x:f>Y197</x:f>
        <x:v>204929.66829726813</x:v>
      </x:c>
      <x:c r="W198" s="40" t="n">
        <x:f>V198*'Inputs &amp; Summary'!$B$15</x:f>
        <x:v>761.379208083586</x:v>
      </x:c>
      <x:c r="X198" s="40" t="n">
        <x:f>IF(V198&lt;=0.00000001,0,MIN('Inputs &amp; Summary'!$B$18,V198+W198))</x:f>
        <x:v>2324.586407999052</x:v>
      </x:c>
      <x:c r="Y198" s="40" t="n">
        <x:f>IF(ABS(MAX(0,V198+W198-X198))&lt;0.00000001,0,MAX(0,V198+W198-X198))</x:f>
        <x:v>203366.46109735267</x:v>
      </x:c>
      <x:c r="Z198" s="40" t="n">
        <x:f>MAX(0,'Inputs &amp; Summary'!$B$18-X198)</x:f>
        <x:v>0</x:v>
      </x:c>
      <x:c r="AA198" s="40" t="n">
        <x:f>AC197</x:f>
        <x:v>151232.66538438093</x:v>
      </x:c>
      <x:c r="AB198" s="40" t="n">
        <x:f>J198</x:f>
        <x:v>1422.8173964900063</x:v>
      </x:c>
      <x:c r="AC198" s="40" t="n">
        <x:f>AA198*(1+'Inputs &amp; Summary'!$B$17)+Z198+AB198</x:f>
        <x:v>153391.61542676104</x:v>
      </x:c>
      <x:c r="AD198" s="40" t="n">
        <x:f>F198+H198+J198</x:f>
        <x:v>3747.4038044890585</x:v>
      </x:c>
      <x:c r="AE198" s="40" t="n">
        <x:f>X198+Z198+AB198</x:f>
        <x:v>3747.4038044890585</x:v>
      </x:c>
      <x:c r="AF198" s="40" t="n">
        <x:f>AD198-AE198</x:f>
        <x:v>0</x:v>
      </x:c>
      <x:c r="AG198" s="42" t="n">
        <x:f>(O198+S198)/'Inputs &amp; Summary'!$B$4</x:f>
        <x:v>0.6</x:v>
      </x:c>
      <x:c r="AH198" s="40" t="n">
        <x:f>U198-O198-S198</x:f>
        <x:v>-17744.45171422427</x:v>
      </x:c>
      <x:c r="AI198" s="40" t="n">
        <x:f>AC198-Y198</x:f>
        <x:v>-49974.84567059163</x:v>
      </x:c>
      <x:c r="AJ198" s="40" t="n">
        <x:f>AH198-AI198</x:f>
        <x:v>32230.393956367363</x:v>
      </x:c>
    </x:row>
    <x:row r="199">
      <x:c r="A199" t="n">
        <x:f>A198+1</x:f>
        <x:v>195</x:v>
      </x:c>
      <x:c r="B199" t="n">
        <x:f>INT((A199-1)/12)+1</x:f>
        <x:v>17</x:v>
      </x:c>
      <x:c r="C199" t="n">
        <x:f>MOD(A199-1,12)+1</x:f>
        <x:v>3</x:v>
      </x:c>
      <x:c r="D199" s="40" t="n">
        <x:f>O198</x:f>
        <x:v>155585.9491399624</x:v>
      </x:c>
      <x:c r="E199" s="40" t="n">
        <x:f>D199*'Inputs &amp; Summary'!$B$15</x:f>
        <x:v>578.0515224046593</x:v>
      </x:c>
      <x:c r="F199" s="40" t="n">
        <x:f>IF(D199&lt;=0.00000001,0,MIN('Inputs &amp; Summary'!$B$18,D199+E199))</x:f>
        <x:v>2324.586407999052</x:v>
      </x:c>
      <x:c r="G199" s="40" t="n">
        <x:f>IF(ABS(MAX(0,D199+E199-F199))&lt;0.00000001,0,MAX(0,D199+E199-F199))</x:f>
        <x:v>153839.41425436802</x:v>
      </x:c>
      <x:c r="H199" s="40" t="n">
        <x:f>MAX(0,'Inputs &amp; Summary'!$B$18-F199)</x:f>
        <x:v>0</x:v>
      </x:c>
      <x:c r="I199" s="40" t="n">
        <x:f>S198</x:f>
        <x:v>264414.05086003756</x:v>
      </x:c>
      <x:c r="J199" s="40" t="n">
        <x:f>I199*'Inputs &amp; Summary'!$B$16</x:f>
        <x:v>1432.2427754918701</x:v>
      </x:c>
      <x:c r="K199" s="40" t="n">
        <x:f>IF(C199=1,J199,K198+J199)</x:f>
        <x:v>4268.487078142556</x:v>
      </x:c>
      <x:c r="L199" s="40" t="n">
        <x:f>IF(C199=12,K199*'Inputs &amp; Summary'!$B$11*'Inputs &amp; Summary'!$B$12,0)</x:f>
        <x:v>0</x:v>
      </x:c>
      <x:c r="M199" s="40" t="n">
        <x:f>MIN(L199,G199)</x:f>
        <x:v>0</x:v>
      </x:c>
      <x:c r="N199" s="40" t="n">
        <x:f>MAX(0,L199-M199)</x:f>
        <x:v>0</x:v>
      </x:c>
      <x:c r="O199" s="40" t="n">
        <x:f>IF(ABS(MAX(0,G199-M199))&lt;0.00000001,0,MAX(0,G199-M199))</x:f>
        <x:v>153839.41425436802</x:v>
      </x:c>
      <x:c r="P199" s="40" t="n">
        <x:f>MAX(0,D199-O199)</x:f>
        <x:v>1746.5348855943885</x:v>
      </x:c>
      <x:c r="Q199" s="40" t="n">
        <x:f>MAX(0,'Inputs &amp; Summary'!$B$19*'Inputs &amp; Summary'!$B$4-O199-I199)</x:f>
        <x:v>36746.53488559439</x:v>
      </x:c>
      <x:c r="R199" s="40" t="n">
        <x:f>MIN(P199,Q199)</x:f>
        <x:v>1746.5348855943885</x:v>
      </x:c>
      <x:c r="S199" s="40" t="n">
        <x:f>I199+R199</x:f>
        <x:v>266160.58574563195</x:v>
      </x:c>
      <x:c r="T199" s="40" t="n">
        <x:f>U198</x:f>
        <x:v>402255.5482857757</x:v>
      </x:c>
      <x:c r="U199" s="40" t="n">
        <x:f>T199*(1+'Inputs &amp; Summary'!$B$17)+R199+N199+H199</x:f>
        <x:v>405960.0823928409</x:v>
      </x:c>
      <x:c r="V199" s="40" t="n">
        <x:f>Y198</x:f>
        <x:v>203366.46109735267</x:v>
      </x:c>
      <x:c r="W199" s="40" t="n">
        <x:f>V199*'Inputs &amp; Summary'!$B$15</x:f>
        <x:v>755.5713937742606</x:v>
      </x:c>
      <x:c r="X199" s="40" t="n">
        <x:f>IF(V199&lt;=0.00000001,0,MIN('Inputs &amp; Summary'!$B$18,V199+W199))</x:f>
        <x:v>2324.586407999052</x:v>
      </x:c>
      <x:c r="Y199" s="40" t="n">
        <x:f>IF(ABS(MAX(0,V199+W199-X199))&lt;0.00000001,0,MAX(0,V199+W199-X199))</x:f>
        <x:v>201797.4460831279</x:v>
      </x:c>
      <x:c r="Z199" s="40" t="n">
        <x:f>MAX(0,'Inputs &amp; Summary'!$B$18-X199)</x:f>
        <x:v>0</x:v>
      </x:c>
      <x:c r="AA199" s="40" t="n">
        <x:f>AC198</x:f>
        <x:v>153391.61542676104</x:v>
      </x:c>
      <x:c r="AB199" s="40" t="n">
        <x:f>J199</x:f>
        <x:v>1432.2427754918701</x:v>
      </x:c>
      <x:c r="AC199" s="40" t="n">
        <x:f>AA199*(1+'Inputs &amp; Summary'!$B$17)+Z199+AB199</x:f>
        <x:v>155570.49964664233</x:v>
      </x:c>
      <x:c r="AD199" s="40" t="n">
        <x:f>F199+H199+J199</x:f>
        <x:v>3756.8291834909223</x:v>
      </x:c>
      <x:c r="AE199" s="40" t="n">
        <x:f>X199+Z199+AB199</x:f>
        <x:v>3756.8291834909223</x:v>
      </x:c>
      <x:c r="AF199" s="40" t="n">
        <x:f>AD199-AE199</x:f>
        <x:v>0</x:v>
      </x:c>
      <x:c r="AG199" s="42" t="n">
        <x:f>(O199+S199)/'Inputs &amp; Summary'!$B$4</x:f>
        <x:v>0.6</x:v>
      </x:c>
      <x:c r="AH199" s="40" t="n">
        <x:f>U199-O199-S199</x:f>
        <x:v>-14039.917607159092</x:v>
      </x:c>
      <x:c r="AI199" s="40" t="n">
        <x:f>AC199-Y199</x:f>
        <x:v>-46226.94643648557</x:v>
      </x:c>
      <x:c r="AJ199" s="40" t="n">
        <x:f>AH199-AI199</x:f>
        <x:v>32187.028829326475</x:v>
      </x:c>
    </x:row>
    <x:row r="200">
      <x:c r="A200" t="n">
        <x:f>A199+1</x:f>
        <x:v>196</x:v>
      </x:c>
      <x:c r="B200" t="n">
        <x:f>INT((A200-1)/12)+1</x:f>
        <x:v>17</x:v>
      </x:c>
      <x:c r="C200" t="n">
        <x:f>MOD(A200-1,12)+1</x:f>
        <x:v>4</x:v>
      </x:c>
      <x:c r="D200" s="40" t="n">
        <x:f>O199</x:f>
        <x:v>153839.41425436802</x:v>
      </x:c>
      <x:c r="E200" s="40" t="n">
        <x:f>D200*'Inputs &amp; Summary'!$B$15</x:f>
        <x:v>571.5625871561267</x:v>
      </x:c>
      <x:c r="F200" s="40" t="n">
        <x:f>IF(D200&lt;=0.00000001,0,MIN('Inputs &amp; Summary'!$B$18,D200+E200))</x:f>
        <x:v>2324.586407999052</x:v>
      </x:c>
      <x:c r="G200" s="40" t="n">
        <x:f>IF(ABS(MAX(0,D200+E200-F200))&lt;0.00000001,0,MAX(0,D200+E200-F200))</x:f>
        <x:v>152086.3904335251</x:v>
      </x:c>
      <x:c r="H200" s="40" t="n">
        <x:f>MAX(0,'Inputs &amp; Summary'!$B$18-F200)</x:f>
        <x:v>0</x:v>
      </x:c>
      <x:c r="I200" s="40" t="n">
        <x:f>S199</x:f>
        <x:v>266160.58574563195</x:v>
      </x:c>
      <x:c r="J200" s="40" t="n">
        <x:f>I200*'Inputs &amp; Summary'!$B$16</x:f>
        <x:v>1441.7031727888398</x:v>
      </x:c>
      <x:c r="K200" s="40" t="n">
        <x:f>IF(C200=1,J200,K199+J200)</x:f>
        <x:v>5710.190250931396</x:v>
      </x:c>
      <x:c r="L200" s="40" t="n">
        <x:f>IF(C200=12,K200*'Inputs &amp; Summary'!$B$11*'Inputs &amp; Summary'!$B$12,0)</x:f>
        <x:v>0</x:v>
      </x:c>
      <x:c r="M200" s="40" t="n">
        <x:f>MIN(L200,G200)</x:f>
        <x:v>0</x:v>
      </x:c>
      <x:c r="N200" s="40" t="n">
        <x:f>MAX(0,L200-M200)</x:f>
        <x:v>0</x:v>
      </x:c>
      <x:c r="O200" s="40" t="n">
        <x:f>IF(ABS(MAX(0,G200-M200))&lt;0.00000001,0,MAX(0,G200-M200))</x:f>
        <x:v>152086.3904335251</x:v>
      </x:c>
      <x:c r="P200" s="40" t="n">
        <x:f>MAX(0,D200-O200)</x:f>
        <x:v>1753.0238208429073</x:v>
      </x:c>
      <x:c r="Q200" s="40" t="n">
        <x:f>MAX(0,'Inputs &amp; Summary'!$B$19*'Inputs &amp; Summary'!$B$4-O200-I200)</x:f>
        <x:v>36753.023820842966</x:v>
      </x:c>
      <x:c r="R200" s="40" t="n">
        <x:f>MIN(P200,Q200)</x:f>
        <x:v>1753.0238208429073</x:v>
      </x:c>
      <x:c r="S200" s="40" t="n">
        <x:f>I200+R200</x:f>
        <x:v>267913.60956647486</x:v>
      </x:c>
      <x:c r="T200" s="40" t="n">
        <x:f>U199</x:f>
        <x:v>405960.0823928409</x:v>
      </x:c>
      <x:c r="U200" s="40" t="n">
        <x:f>T200*(1+'Inputs &amp; Summary'!$B$17)+R200+N200+H200</x:f>
        <x:v>409689.1374422418</x:v>
      </x:c>
      <x:c r="V200" s="40" t="n">
        <x:f>Y199</x:f>
        <x:v>201797.4460831279</x:v>
      </x:c>
      <x:c r="W200" s="40" t="n">
        <x:f>V200*'Inputs &amp; Summary'!$B$15</x:f>
        <x:v>749.7420015787449</x:v>
      </x:c>
      <x:c r="X200" s="40" t="n">
        <x:f>IF(V200&lt;=0.00000001,0,MIN('Inputs &amp; Summary'!$B$18,V200+W200))</x:f>
        <x:v>2324.586407999052</x:v>
      </x:c>
      <x:c r="Y200" s="40" t="n">
        <x:f>IF(ABS(MAX(0,V200+W200-X200))&lt;0.00000001,0,MAX(0,V200+W200-X200))</x:f>
        <x:v>200222.6016767076</x:v>
      </x:c>
      <x:c r="Z200" s="40" t="n">
        <x:f>MAX(0,'Inputs &amp; Summary'!$B$18-X200)</x:f>
        <x:v>0</x:v>
      </x:c>
      <x:c r="AA200" s="40" t="n">
        <x:f>AC199</x:f>
        <x:v>155570.49964664233</x:v>
      </x:c>
      <x:c r="AB200" s="40" t="n">
        <x:f>J200</x:f>
        <x:v>1441.7031727888398</x:v>
      </x:c>
      <x:c r="AC200" s="40" t="n">
        <x:f>AA200*(1+'Inputs &amp; Summary'!$B$17)+Z200+AB200</x:f>
        <x:v>157769.4500929369</x:v>
      </x:c>
      <x:c r="AD200" s="40" t="n">
        <x:f>F200+H200+J200</x:f>
        <x:v>3766.2895807878917</x:v>
      </x:c>
      <x:c r="AE200" s="40" t="n">
        <x:f>X200+Z200+AB200</x:f>
        <x:v>3766.2895807878917</x:v>
      </x:c>
      <x:c r="AF200" s="40" t="n">
        <x:f>AD200-AE200</x:f>
        <x:v>0</x:v>
      </x:c>
      <x:c r="AG200" s="42" t="n">
        <x:f>(O200+S200)/'Inputs &amp; Summary'!$B$4</x:f>
        <x:v>0.6</x:v>
      </x:c>
      <x:c r="AH200" s="40" t="n">
        <x:f>U200-O200-S200</x:f>
        <x:v>-10310.862557758199</x:v>
      </x:c>
      <x:c r="AI200" s="40" t="n">
        <x:f>AC200-Y200</x:f>
        <x:v>-42453.1515837707</x:v>
      </x:c>
      <x:c r="AJ200" s="40" t="n">
        <x:f>AH200-AI200</x:f>
        <x:v>32142.2890260125</x:v>
      </x:c>
    </x:row>
    <x:row r="201">
      <x:c r="A201" t="n">
        <x:f>A200+1</x:f>
        <x:v>197</x:v>
      </x:c>
      <x:c r="B201" t="n">
        <x:f>INT((A201-1)/12)+1</x:f>
        <x:v>17</x:v>
      </x:c>
      <x:c r="C201" t="n">
        <x:f>MOD(A201-1,12)+1</x:f>
        <x:v>5</x:v>
      </x:c>
      <x:c r="D201" s="40" t="n">
        <x:f>O200</x:f>
        <x:v>152086.3904335251</x:v>
      </x:c>
      <x:c r="E201" s="40" t="n">
        <x:f>D201*'Inputs &amp; Summary'!$B$15</x:f>
        <x:v>565.0495434394458</x:v>
      </x:c>
      <x:c r="F201" s="40" t="n">
        <x:f>IF(D201&lt;=0.00000001,0,MIN('Inputs &amp; Summary'!$B$18,D201+E201))</x:f>
        <x:v>2324.586407999052</x:v>
      </x:c>
      <x:c r="G201" s="40" t="n">
        <x:f>IF(ABS(MAX(0,D201+E201-F201))&lt;0.00000001,0,MAX(0,D201+E201-F201))</x:f>
        <x:v>150326.8535689655</x:v>
      </x:c>
      <x:c r="H201" s="40" t="n">
        <x:f>MAX(0,'Inputs &amp; Summary'!$B$18-F201)</x:f>
        <x:v>0</x:v>
      </x:c>
      <x:c r="I201" s="40" t="n">
        <x:f>S200</x:f>
        <x:v>267913.60956647486</x:v>
      </x:c>
      <x:c r="J201" s="40" t="n">
        <x:f>I201*'Inputs &amp; Summary'!$B$16</x:f>
        <x:v>1451.1987184850723</x:v>
      </x:c>
      <x:c r="K201" s="40" t="n">
        <x:f>IF(C201=1,J201,K200+J201)</x:f>
        <x:v>7161.388969416468</x:v>
      </x:c>
      <x:c r="L201" s="40" t="n">
        <x:f>IF(C201=12,K201*'Inputs &amp; Summary'!$B$11*'Inputs &amp; Summary'!$B$12,0)</x:f>
        <x:v>0</x:v>
      </x:c>
      <x:c r="M201" s="40" t="n">
        <x:f>MIN(L201,G201)</x:f>
        <x:v>0</x:v>
      </x:c>
      <x:c r="N201" s="40" t="n">
        <x:f>MAX(0,L201-M201)</x:f>
        <x:v>0</x:v>
      </x:c>
      <x:c r="O201" s="40" t="n">
        <x:f>IF(ABS(MAX(0,G201-M201))&lt;0.00000001,0,MAX(0,G201-M201))</x:f>
        <x:v>150326.8535689655</x:v>
      </x:c>
      <x:c r="P201" s="40" t="n">
        <x:f>MAX(0,D201-O201)</x:f>
        <x:v>1759.5368645596027</x:v>
      </x:c>
      <x:c r="Q201" s="40" t="n">
        <x:f>MAX(0,'Inputs &amp; Summary'!$B$19*'Inputs &amp; Summary'!$B$4-O201-I201)</x:f>
        <x:v>36759.53686455963</x:v>
      </x:c>
      <x:c r="R201" s="40" t="n">
        <x:f>MIN(P201,Q201)</x:f>
        <x:v>1759.5368645596027</x:v>
      </x:c>
      <x:c r="S201" s="40" t="n">
        <x:f>I201+R201</x:f>
        <x:v>269673.14643103443</x:v>
      </x:c>
      <x:c r="T201" s="40" t="n">
        <x:f>U200</x:f>
        <x:v>409689.1374422418</x:v>
      </x:c>
      <x:c r="U201" s="40" t="n">
        <x:f>T201*(1+'Inputs &amp; Summary'!$B$17)+R201+N201+H201</x:f>
        <x:v>413442.85689937323</x:v>
      </x:c>
      <x:c r="V201" s="40" t="n">
        <x:f>Y200</x:f>
        <x:v>200222.6016767076</x:v>
      </x:c>
      <x:c r="W201" s="40" t="n">
        <x:f>V201*'Inputs &amp; Summary'!$B$15</x:f>
        <x:v>743.890951328296</x:v>
      </x:c>
      <x:c r="X201" s="40" t="n">
        <x:f>IF(V201&lt;=0.00000001,0,MIN('Inputs &amp; Summary'!$B$18,V201+W201))</x:f>
        <x:v>2324.586407999052</x:v>
      </x:c>
      <x:c r="Y201" s="40" t="n">
        <x:f>IF(ABS(MAX(0,V201+W201-X201))&lt;0.00000001,0,MAX(0,V201+W201-X201))</x:f>
        <x:v>198641.90622003685</x:v>
      </x:c>
      <x:c r="Z201" s="40" t="n">
        <x:f>MAX(0,'Inputs &amp; Summary'!$B$18-X201)</x:f>
        <x:v>0</x:v>
      </x:c>
      <x:c r="AA201" s="40" t="n">
        <x:f>AC200</x:f>
        <x:v>157769.4500929369</x:v>
      </x:c>
      <x:c r="AB201" s="40" t="n">
        <x:f>J201</x:f>
        <x:v>1451.1987184850723</x:v>
      </x:c>
      <x:c r="AC201" s="40" t="n">
        <x:f>AA201*(1+'Inputs &amp; Summary'!$B$17)+Z201+AB201</x:f>
        <x:v>159988.5995874157</x:v>
      </x:c>
      <x:c r="AD201" s="40" t="n">
        <x:f>F201+H201+J201</x:f>
        <x:v>3775.7851264841242</x:v>
      </x:c>
      <x:c r="AE201" s="40" t="n">
        <x:f>X201+Z201+AB201</x:f>
        <x:v>3775.7851264841242</x:v>
      </x:c>
      <x:c r="AF201" s="40" t="n">
        <x:f>AD201-AE201</x:f>
        <x:v>0</x:v>
      </x:c>
      <x:c r="AG201" s="42" t="n">
        <x:f>(O201+S201)/'Inputs &amp; Summary'!$B$4</x:f>
        <x:v>0.5999999999999999</x:v>
      </x:c>
      <x:c r="AH201" s="40" t="n">
        <x:f>U201-O201-S201</x:f>
        <x:v>-6557.1431006267085</x:v>
      </x:c>
      <x:c r="AI201" s="40" t="n">
        <x:f>AC201-Y201</x:f>
        <x:v>-38653.306632621156</x:v>
      </x:c>
      <x:c r="AJ201" s="40" t="n">
        <x:f>AH201-AI201</x:f>
        <x:v>32096.163531994447</x:v>
      </x:c>
    </x:row>
    <x:row r="202">
      <x:c r="A202" t="n">
        <x:f>A201+1</x:f>
        <x:v>198</x:v>
      </x:c>
      <x:c r="B202" t="n">
        <x:f>INT((A202-1)/12)+1</x:f>
        <x:v>17</x:v>
      </x:c>
      <x:c r="C202" t="n">
        <x:f>MOD(A202-1,12)+1</x:f>
        <x:v>6</x:v>
      </x:c>
      <x:c r="D202" s="40" t="n">
        <x:f>O201</x:f>
        <x:v>150326.8535689655</x:v>
      </x:c>
      <x:c r="E202" s="40" t="n">
        <x:f>D202*'Inputs &amp; Summary'!$B$15</x:f>
        <x:v>558.5123016839526</x:v>
      </x:c>
      <x:c r="F202" s="40" t="n">
        <x:f>IF(D202&lt;=0.00000001,0,MIN('Inputs &amp; Summary'!$B$18,D202+E202))</x:f>
        <x:v>2324.586407999052</x:v>
      </x:c>
      <x:c r="G202" s="40" t="n">
        <x:f>IF(ABS(MAX(0,D202+E202-F202))&lt;0.00000001,0,MAX(0,D202+E202-F202))</x:f>
        <x:v>148560.77946265042</x:v>
      </x:c>
      <x:c r="H202" s="40" t="n">
        <x:f>MAX(0,'Inputs &amp; Summary'!$B$18-F202)</x:f>
        <x:v>0</x:v>
      </x:c>
      <x:c r="I202" s="40" t="n">
        <x:f>S201</x:f>
        <x:v>269673.14643103443</x:v>
      </x:c>
      <x:c r="J202" s="40" t="n">
        <x:f>I202*'Inputs &amp; Summary'!$B$16</x:f>
        <x:v>1460.7295431681032</x:v>
      </x:c>
      <x:c r="K202" s="40" t="n">
        <x:f>IF(C202=1,J202,K201+J202)</x:f>
        <x:v>8622.118512584571</x:v>
      </x:c>
      <x:c r="L202" s="40" t="n">
        <x:f>IF(C202=12,K202*'Inputs &amp; Summary'!$B$11*'Inputs &amp; Summary'!$B$12,0)</x:f>
        <x:v>0</x:v>
      </x:c>
      <x:c r="M202" s="40" t="n">
        <x:f>MIN(L202,G202)</x:f>
        <x:v>0</x:v>
      </x:c>
      <x:c r="N202" s="40" t="n">
        <x:f>MAX(0,L202-M202)</x:f>
        <x:v>0</x:v>
      </x:c>
      <x:c r="O202" s="40" t="n">
        <x:f>IF(ABS(MAX(0,G202-M202))&lt;0.00000001,0,MAX(0,G202-M202))</x:f>
        <x:v>148560.77946265042</x:v>
      </x:c>
      <x:c r="P202" s="40" t="n">
        <x:f>MAX(0,D202-O202)</x:f>
        <x:v>1766.0741063150926</x:v>
      </x:c>
      <x:c r="Q202" s="40" t="n">
        <x:f>MAX(0,'Inputs &amp; Summary'!$B$19*'Inputs &amp; Summary'!$B$4-O202-I202)</x:f>
        <x:v>36766.07410631515</x:v>
      </x:c>
      <x:c r="R202" s="40" t="n">
        <x:f>MIN(P202,Q202)</x:f>
        <x:v>1766.0741063150926</x:v>
      </x:c>
      <x:c r="S202" s="40" t="n">
        <x:f>I202+R202</x:f>
        <x:v>271439.2205373495</x:v>
      </x:c>
      <x:c r="T202" s="40" t="n">
        <x:f>U201</x:f>
        <x:v>413442.85689937323</x:v>
      </x:c>
      <x:c r="U202" s="40" t="n">
        <x:f>T202*(1+'Inputs &amp; Summary'!$B$17)+R202+N202+H202</x:f>
        <x:v>417221.3850175259</x:v>
      </x:c>
      <x:c r="V202" s="40" t="n">
        <x:f>Y201</x:f>
        <x:v>198641.90622003685</x:v>
      </x:c>
      <x:c r="W202" s="40" t="n">
        <x:f>V202*'Inputs &amp; Summary'!$B$15</x:f>
        <x:v>738.0181625563183</x:v>
      </x:c>
      <x:c r="X202" s="40" t="n">
        <x:f>IF(V202&lt;=0.00000001,0,MIN('Inputs &amp; Summary'!$B$18,V202+W202))</x:f>
        <x:v>2324.586407999052</x:v>
      </x:c>
      <x:c r="Y202" s="40" t="n">
        <x:f>IF(ABS(MAX(0,V202+W202-X202))&lt;0.00000001,0,MAX(0,V202+W202-X202))</x:f>
        <x:v>197055.33797459412</x:v>
      </x:c>
      <x:c r="Z202" s="40" t="n">
        <x:f>MAX(0,'Inputs &amp; Summary'!$B$18-X202)</x:f>
        <x:v>0</x:v>
      </x:c>
      <x:c r="AA202" s="40" t="n">
        <x:f>AC201</x:f>
        <x:v>159988.5995874157</x:v>
      </x:c>
      <x:c r="AB202" s="40" t="n">
        <x:f>J202</x:f>
        <x:v>1460.7295431681032</x:v>
      </x:c>
      <x:c r="AC202" s="40" t="n">
        <x:f>AA202*(1+'Inputs &amp; Summary'!$B$17)+Z202+AB202</x:f>
        <x:v>162228.08172895396</x:v>
      </x:c>
      <x:c r="AD202" s="40" t="n">
        <x:f>F202+H202+J202</x:f>
        <x:v>3785.315951167155</x:v>
      </x:c>
      <x:c r="AE202" s="40" t="n">
        <x:f>X202+Z202+AB202</x:f>
        <x:v>3785.315951167155</x:v>
      </x:c>
      <x:c r="AF202" s="40" t="n">
        <x:f>AD202-AE202</x:f>
        <x:v>0</x:v>
      </x:c>
      <x:c r="AG202" s="42" t="n">
        <x:f>(O202+S202)/'Inputs &amp; Summary'!$B$4</x:f>
        <x:v>0.5999999999999999</x:v>
      </x:c>
      <x:c r="AH202" s="40" t="n">
        <x:f>U202-O202-S202</x:f>
        <x:v>-2778.6149824740132</x:v>
      </x:c>
      <x:c r="AI202" s="40" t="n">
        <x:f>AC202-Y202</x:f>
        <x:v>-34827.256245640165</x:v>
      </x:c>
      <x:c r="AJ202" s="40" t="n">
        <x:f>AH202-AI202</x:f>
        <x:v>32048.64126316615</x:v>
      </x:c>
    </x:row>
    <x:row r="203">
      <x:c r="A203" t="n">
        <x:f>A202+1</x:f>
        <x:v>199</x:v>
      </x:c>
      <x:c r="B203" t="n">
        <x:f>INT((A203-1)/12)+1</x:f>
        <x:v>17</x:v>
      </x:c>
      <x:c r="C203" t="n">
        <x:f>MOD(A203-1,12)+1</x:f>
        <x:v>7</x:v>
      </x:c>
      <x:c r="D203" s="40" t="n">
        <x:f>O202</x:f>
        <x:v>148560.77946265042</x:v>
      </x:c>
      <x:c r="E203" s="40" t="n">
        <x:f>D203*'Inputs &amp; Summary'!$B$15</x:f>
        <x:v>551.9507719862</x:v>
      </x:c>
      <x:c r="F203" s="40" t="n">
        <x:f>IF(D203&lt;=0.00000001,0,MIN('Inputs &amp; Summary'!$B$18,D203+E203))</x:f>
        <x:v>2324.586407999052</x:v>
      </x:c>
      <x:c r="G203" s="40" t="n">
        <x:f>IF(ABS(MAX(0,D203+E203-F203))&lt;0.00000001,0,MAX(0,D203+E203-F203))</x:f>
        <x:v>146788.14382663756</x:v>
      </x:c>
      <x:c r="H203" s="40" t="n">
        <x:f>MAX(0,'Inputs &amp; Summary'!$B$18-F203)</x:f>
        <x:v>0</x:v>
      </x:c>
      <x:c r="I203" s="40" t="n">
        <x:f>S202</x:f>
        <x:v>271439.2205373495</x:v>
      </x:c>
      <x:c r="J203" s="40" t="n">
        <x:f>I203*'Inputs &amp; Summary'!$B$16</x:f>
        <x:v>1470.2957779106432</x:v>
      </x:c>
      <x:c r="K203" s="40" t="n">
        <x:f>IF(C203=1,J203,K202+J203)</x:f>
        <x:v>10092.414290495215</x:v>
      </x:c>
      <x:c r="L203" s="40" t="n">
        <x:f>IF(C203=12,K203*'Inputs &amp; Summary'!$B$11*'Inputs &amp; Summary'!$B$12,0)</x:f>
        <x:v>0</x:v>
      </x:c>
      <x:c r="M203" s="40" t="n">
        <x:f>MIN(L203,G203)</x:f>
        <x:v>0</x:v>
      </x:c>
      <x:c r="N203" s="40" t="n">
        <x:f>MAX(0,L203-M203)</x:f>
        <x:v>0</x:v>
      </x:c>
      <x:c r="O203" s="40" t="n">
        <x:f>IF(ABS(MAX(0,G203-M203))&lt;0.00000001,0,MAX(0,G203-M203))</x:f>
        <x:v>146788.14382663756</x:v>
      </x:c>
      <x:c r="P203" s="40" t="n">
        <x:f>MAX(0,D203-O203)</x:f>
        <x:v>1772.6356360128557</x:v>
      </x:c>
      <x:c r="Q203" s="40" t="n">
        <x:f>MAX(0,'Inputs &amp; Summary'!$B$19*'Inputs &amp; Summary'!$B$4-O203-I203)</x:f>
        <x:v>36772.63563601294</x:v>
      </x:c>
      <x:c r="R203" s="40" t="n">
        <x:f>MIN(P203,Q203)</x:f>
        <x:v>1772.6356360128557</x:v>
      </x:c>
      <x:c r="S203" s="40" t="n">
        <x:f>I203+R203</x:f>
        <x:v>273211.85617336235</x:v>
      </x:c>
      <x:c r="T203" s="40" t="n">
        <x:f>U202</x:f>
        <x:v>417221.3850175259</x:v>
      </x:c>
      <x:c r="U203" s="40" t="n">
        <x:f>T203*(1+'Inputs &amp; Summary'!$B$17)+R203+N203+H203</x:f>
        <x:v>421024.86684205406</x:v>
      </x:c>
      <x:c r="V203" s="40" t="n">
        <x:f>Y202</x:f>
        <x:v>197055.33797459412</x:v>
      </x:c>
      <x:c r="W203" s="40" t="n">
        <x:f>V203*'Inputs &amp; Summary'!$B$15</x:f>
        <x:v>732.1235544972575</x:v>
      </x:c>
      <x:c r="X203" s="40" t="n">
        <x:f>IF(V203&lt;=0.00000001,0,MIN('Inputs &amp; Summary'!$B$18,V203+W203))</x:f>
        <x:v>2324.586407999052</x:v>
      </x:c>
      <x:c r="Y203" s="40" t="n">
        <x:f>IF(ABS(MAX(0,V203+W203-X203))&lt;0.00000001,0,MAX(0,V203+W203-X203))</x:f>
        <x:v>195462.87512109234</x:v>
      </x:c>
      <x:c r="Z203" s="40" t="n">
        <x:f>MAX(0,'Inputs &amp; Summary'!$B$18-X203)</x:f>
        <x:v>0</x:v>
      </x:c>
      <x:c r="AA203" s="40" t="n">
        <x:f>AC202</x:f>
        <x:v>162228.08172895396</x:v>
      </x:c>
      <x:c r="AB203" s="40" t="n">
        <x:f>J203</x:f>
        <x:v>1470.2957779106432</x:v>
      </x:c>
      <x:c r="AC203" s="40" t="n">
        <x:f>AA203*(1+'Inputs &amp; Summary'!$B$17)+Z203+AB203</x:f>
        <x:v>164488.0308977989</x:v>
      </x:c>
      <x:c r="AD203" s="40" t="n">
        <x:f>F203+H203+J203</x:f>
        <x:v>3794.882185909695</x:v>
      </x:c>
      <x:c r="AE203" s="40" t="n">
        <x:f>X203+Z203+AB203</x:f>
        <x:v>3794.882185909695</x:v>
      </x:c>
      <x:c r="AF203" s="40" t="n">
        <x:f>AD203-AE203</x:f>
        <x:v>0</x:v>
      </x:c>
      <x:c r="AG203" s="42" t="n">
        <x:f>(O203+S203)/'Inputs &amp; Summary'!$B$4</x:f>
        <x:v>0.5999999999999999</x:v>
      </x:c>
      <x:c r="AH203" s="40" t="n">
        <x:f>U203-O203-S203</x:f>
        <x:v>1024.8668420541799</x:v>
      </x:c>
      <x:c r="AI203" s="40" t="n">
        <x:f>AC203-Y203</x:f>
        <x:v>-30974.844223293447</x:v>
      </x:c>
      <x:c r="AJ203" s="40" t="n">
        <x:f>AH203-AI203</x:f>
        <x:v>31999.711065347627</x:v>
      </x:c>
    </x:row>
    <x:row r="204">
      <x:c r="A204" t="n">
        <x:f>A203+1</x:f>
        <x:v>200</x:v>
      </x:c>
      <x:c r="B204" t="n">
        <x:f>INT((A204-1)/12)+1</x:f>
        <x:v>17</x:v>
      </x:c>
      <x:c r="C204" t="n">
        <x:f>MOD(A204-1,12)+1</x:f>
        <x:v>8</x:v>
      </x:c>
      <x:c r="D204" s="40" t="n">
        <x:f>O203</x:f>
        <x:v>146788.14382663756</x:v>
      </x:c>
      <x:c r="E204" s="40" t="n">
        <x:f>D204*'Inputs &amp; Summary'!$B$15</x:f>
        <x:v>545.3648641087207</x:v>
      </x:c>
      <x:c r="F204" s="40" t="n">
        <x:f>IF(D204&lt;=0.00000001,0,MIN('Inputs &amp; Summary'!$B$18,D204+E204))</x:f>
        <x:v>2324.586407999052</x:v>
      </x:c>
      <x:c r="G204" s="40" t="n">
        <x:f>IF(ABS(MAX(0,D204+E204-F204))&lt;0.00000001,0,MAX(0,D204+E204-F204))</x:f>
        <x:v>145008.92228274725</x:v>
      </x:c>
      <x:c r="H204" s="40" t="n">
        <x:f>MAX(0,'Inputs &amp; Summary'!$B$18-F204)</x:f>
        <x:v>0</x:v>
      </x:c>
      <x:c r="I204" s="40" t="n">
        <x:f>S203</x:f>
        <x:v>273211.85617336235</x:v>
      </x:c>
      <x:c r="J204" s="40" t="n">
        <x:f>I204*'Inputs &amp; Summary'!$B$16</x:f>
        <x:v>1479.8975542723795</x:v>
      </x:c>
      <x:c r="K204" s="40" t="n">
        <x:f>IF(C204=1,J204,K203+J204)</x:f>
        <x:v>11572.311844767595</x:v>
      </x:c>
      <x:c r="L204" s="40" t="n">
        <x:f>IF(C204=12,K204*'Inputs &amp; Summary'!$B$11*'Inputs &amp; Summary'!$B$12,0)</x:f>
        <x:v>0</x:v>
      </x:c>
      <x:c r="M204" s="40" t="n">
        <x:f>MIN(L204,G204)</x:f>
        <x:v>0</x:v>
      </x:c>
      <x:c r="N204" s="40" t="n">
        <x:f>MAX(0,L204-M204)</x:f>
        <x:v>0</x:v>
      </x:c>
      <x:c r="O204" s="40" t="n">
        <x:f>IF(ABS(MAX(0,G204-M204))&lt;0.00000001,0,MAX(0,G204-M204))</x:f>
        <x:v>145008.92228274725</x:v>
      </x:c>
      <x:c r="P204" s="40" t="n">
        <x:f>MAX(0,D204-O204)</x:f>
        <x:v>1779.2215438903077</x:v>
      </x:c>
      <x:c r="Q204" s="40" t="n">
        <x:f>MAX(0,'Inputs &amp; Summary'!$B$19*'Inputs &amp; Summary'!$B$4-O204-I204)</x:f>
        <x:v>36779.221543890424</x:v>
      </x:c>
      <x:c r="R204" s="40" t="n">
        <x:f>MIN(P204,Q204)</x:f>
        <x:v>1779.2215438903077</x:v>
      </x:c>
      <x:c r="S204" s="40" t="n">
        <x:f>I204+R204</x:f>
        <x:v>274991.07771725266</x:v>
      </x:c>
      <x:c r="T204" s="40" t="n">
        <x:f>U203</x:f>
        <x:v>421024.86684205406</x:v>
      </x:c>
      <x:c r="U204" s="40" t="n">
        <x:f>T204*(1+'Inputs &amp; Summary'!$B$17)+R204+N204+H204</x:f>
        <x:v>424853.4482145649</x:v>
      </x:c>
      <x:c r="V204" s="40" t="n">
        <x:f>Y203</x:f>
        <x:v>195462.87512109234</x:v>
      </x:c>
      <x:c r="W204" s="40" t="n">
        <x:f>V204*'Inputs &amp; Summary'!$B$15</x:f>
        <x:v>726.207046085489</x:v>
      </x:c>
      <x:c r="X204" s="40" t="n">
        <x:f>IF(V204&lt;=0.00000001,0,MIN('Inputs &amp; Summary'!$B$18,V204+W204))</x:f>
        <x:v>2324.586407999052</x:v>
      </x:c>
      <x:c r="Y204" s="40" t="n">
        <x:f>IF(ABS(MAX(0,V204+W204-X204))&lt;0.00000001,0,MAX(0,V204+W204-X204))</x:f>
        <x:v>193864.4957591788</x:v>
      </x:c>
      <x:c r="Z204" s="40" t="n">
        <x:f>MAX(0,'Inputs &amp; Summary'!$B$18-X204)</x:f>
        <x:v>0</x:v>
      </x:c>
      <x:c r="AA204" s="40" t="n">
        <x:f>AC203</x:f>
        <x:v>164488.0308977989</x:v>
      </x:c>
      <x:c r="AB204" s="40" t="n">
        <x:f>J204</x:f>
        <x:v>1479.8975542723795</x:v>
      </x:c>
      <x:c r="AC204" s="40" t="n">
        <x:f>AA204*(1+'Inputs &amp; Summary'!$B$17)+Z204+AB204</x:f>
        <x:v>166768.58225986</x:v>
      </x:c>
      <x:c r="AD204" s="40" t="n">
        <x:f>F204+H204+J204</x:f>
        <x:v>3804.4839622714317</x:v>
      </x:c>
      <x:c r="AE204" s="40" t="n">
        <x:f>X204+Z204+AB204</x:f>
        <x:v>3804.4839622714317</x:v>
      </x:c>
      <x:c r="AF204" s="40" t="n">
        <x:f>AD204-AE204</x:f>
        <x:v>0</x:v>
      </x:c>
      <x:c r="AG204" s="42" t="n">
        <x:f>(O204+S204)/'Inputs &amp; Summary'!$B$4</x:f>
        <x:v>0.5999999999999999</x:v>
      </x:c>
      <x:c r="AH204" s="40" t="n">
        <x:f>U204-O204-S204</x:f>
        <x:v>4853.448214564938</x:v>
      </x:c>
      <x:c r="AI204" s="40" t="n">
        <x:f>AC204-Y204</x:f>
        <x:v>-27095.91349931879</x:v>
      </x:c>
      <x:c r="AJ204" s="40" t="n">
        <x:f>AH204-AI204</x:f>
        <x:v>31949.36171388373</x:v>
      </x:c>
    </x:row>
    <x:row r="205">
      <x:c r="A205" t="n">
        <x:f>A204+1</x:f>
        <x:v>201</x:v>
      </x:c>
      <x:c r="B205" t="n">
        <x:f>INT((A205-1)/12)+1</x:f>
        <x:v>17</x:v>
      </x:c>
      <x:c r="C205" t="n">
        <x:f>MOD(A205-1,12)+1</x:f>
        <x:v>9</x:v>
      </x:c>
      <x:c r="D205" s="40" t="n">
        <x:f>O204</x:f>
        <x:v>145008.92228274725</x:v>
      </x:c>
      <x:c r="E205" s="40" t="n">
        <x:f>D205*'Inputs &amp; Summary'!$B$15</x:f>
        <x:v>538.7544874787864</x:v>
      </x:c>
      <x:c r="F205" s="40" t="n">
        <x:f>IF(D205&lt;=0.00000001,0,MIN('Inputs &amp; Summary'!$B$18,D205+E205))</x:f>
        <x:v>2324.586407999052</x:v>
      </x:c>
      <x:c r="G205" s="40" t="n">
        <x:f>IF(ABS(MAX(0,D205+E205-F205))&lt;0.00000001,0,MAX(0,D205+E205-F205))</x:f>
        <x:v>143223.090362227</x:v>
      </x:c>
      <x:c r="H205" s="40" t="n">
        <x:f>MAX(0,'Inputs &amp; Summary'!$B$18-F205)</x:f>
        <x:v>0</x:v>
      </x:c>
      <x:c r="I205" s="40" t="n">
        <x:f>S204</x:f>
        <x:v>274991.07771725266</x:v>
      </x:c>
      <x:c r="J205" s="40" t="n">
        <x:f>I205*'Inputs &amp; Summary'!$B$16</x:f>
        <x:v>1489.5350043017852</x:v>
      </x:c>
      <x:c r="K205" s="40" t="n">
        <x:f>IF(C205=1,J205,K204+J205)</x:f>
        <x:v>13061.846849069381</x:v>
      </x:c>
      <x:c r="L205" s="40" t="n">
        <x:f>IF(C205=12,K205*'Inputs &amp; Summary'!$B$11*'Inputs &amp; Summary'!$B$12,0)</x:f>
        <x:v>0</x:v>
      </x:c>
      <x:c r="M205" s="40" t="n">
        <x:f>MIN(L205,G205)</x:f>
        <x:v>0</x:v>
      </x:c>
      <x:c r="N205" s="40" t="n">
        <x:f>MAX(0,L205-M205)</x:f>
        <x:v>0</x:v>
      </x:c>
      <x:c r="O205" s="40" t="n">
        <x:f>IF(ABS(MAX(0,G205-M205))&lt;0.00000001,0,MAX(0,G205-M205))</x:f>
        <x:v>143223.090362227</x:v>
      </x:c>
      <x:c r="P205" s="40" t="n">
        <x:f>MAX(0,D205-O205)</x:f>
        <x:v>1785.831920520257</x:v>
      </x:c>
      <x:c r="Q205" s="40" t="n">
        <x:f>MAX(0,'Inputs &amp; Summary'!$B$19*'Inputs &amp; Summary'!$B$4-O205-I205)</x:f>
        <x:v>36785.831920520344</x:v>
      </x:c>
      <x:c r="R205" s="40" t="n">
        <x:f>MIN(P205,Q205)</x:f>
        <x:v>1785.831920520257</x:v>
      </x:c>
      <x:c r="S205" s="40" t="n">
        <x:f>I205+R205</x:f>
        <x:v>276776.90963777294</x:v>
      </x:c>
      <x:c r="T205" s="40" t="n">
        <x:f>U204</x:f>
        <x:v>424853.4482145649</x:v>
      </x:c>
      <x:c r="U205" s="40" t="n">
        <x:f>T205*(1+'Inputs &amp; Summary'!$B$17)+R205+N205+H205</x:f>
        <x:v>428707.2757771299</x:v>
      </x:c>
      <x:c r="V205" s="40" t="n">
        <x:f>Y204</x:f>
        <x:v>193864.4957591788</x:v>
      </x:c>
      <x:c r="W205" s="40" t="n">
        <x:f>V205*'Inputs &amp; Summary'!$B$15</x:f>
        <x:v>720.2685559542037</x:v>
      </x:c>
      <x:c r="X205" s="40" t="n">
        <x:f>IF(V205&lt;=0.00000001,0,MIN('Inputs &amp; Summary'!$B$18,V205+W205))</x:f>
        <x:v>2324.586407999052</x:v>
      </x:c>
      <x:c r="Y205" s="40" t="n">
        <x:f>IF(ABS(MAX(0,V205+W205-X205))&lt;0.00000001,0,MAX(0,V205+W205-X205))</x:f>
        <x:v>192260.17790713397</x:v>
      </x:c>
      <x:c r="Z205" s="40" t="n">
        <x:f>MAX(0,'Inputs &amp; Summary'!$B$18-X205)</x:f>
        <x:v>0</x:v>
      </x:c>
      <x:c r="AA205" s="40" t="n">
        <x:f>AC204</x:f>
        <x:v>166768.58225986</x:v>
      </x:c>
      <x:c r="AB205" s="40" t="n">
        <x:f>J205</x:f>
        <x:v>1489.5350043017852</x:v>
      </x:c>
      <x:c r="AC205" s="40" t="n">
        <x:f>AA205*(1+'Inputs &amp; Summary'!$B$17)+Z205+AB205</x:f>
        <x:v>169069.87177102224</x:v>
      </x:c>
      <x:c r="AD205" s="40" t="n">
        <x:f>F205+H205+J205</x:f>
        <x:v>3814.121412300837</x:v>
      </x:c>
      <x:c r="AE205" s="40" t="n">
        <x:f>X205+Z205+AB205</x:f>
        <x:v>3814.121412300837</x:v>
      </x:c>
      <x:c r="AF205" s="40" t="n">
        <x:f>AD205-AE205</x:f>
        <x:v>0</x:v>
      </x:c>
      <x:c r="AG205" s="42" t="n">
        <x:f>(O205+S205)/'Inputs &amp; Summary'!$B$4</x:f>
        <x:v>0.5999999999999999</x:v>
      </x:c>
      <x:c r="AH205" s="40" t="n">
        <x:f>U205-O205-S205</x:f>
        <x:v>8707.27577712998</x:v>
      </x:c>
      <x:c r="AI205" s="40" t="n">
        <x:f>AC205-Y205</x:f>
        <x:v>-23190.30613611173</x:v>
      </x:c>
      <x:c r="AJ205" s="40" t="n">
        <x:f>AH205-AI205</x:f>
        <x:v>31897.58191324171</x:v>
      </x:c>
    </x:row>
    <x:row r="206">
      <x:c r="A206" t="n">
        <x:f>A205+1</x:f>
        <x:v>202</x:v>
      </x:c>
      <x:c r="B206" t="n">
        <x:f>INT((A206-1)/12)+1</x:f>
        <x:v>17</x:v>
      </x:c>
      <x:c r="C206" t="n">
        <x:f>MOD(A206-1,12)+1</x:f>
        <x:v>10</x:v>
      </x:c>
      <x:c r="D206" s="40" t="n">
        <x:f>O205</x:f>
        <x:v>143223.090362227</x:v>
      </x:c>
      <x:c r="E206" s="40" t="n">
        <x:f>D206*'Inputs &amp; Summary'!$B$15</x:f>
        <x:v>532.1195511871618</x:v>
      </x:c>
      <x:c r="F206" s="40" t="n">
        <x:f>IF(D206&lt;=0.00000001,0,MIN('Inputs &amp; Summary'!$B$18,D206+E206))</x:f>
        <x:v>2324.586407999052</x:v>
      </x:c>
      <x:c r="G206" s="40" t="n">
        <x:f>IF(ABS(MAX(0,D206+E206-F206))&lt;0.00000001,0,MAX(0,D206+E206-F206))</x:f>
        <x:v>141430.6235054151</x:v>
      </x:c>
      <x:c r="H206" s="40" t="n">
        <x:f>MAX(0,'Inputs &amp; Summary'!$B$18-F206)</x:f>
        <x:v>0</x:v>
      </x:c>
      <x:c r="I206" s="40" t="n">
        <x:f>S205</x:f>
        <x:v>276776.90963777294</x:v>
      </x:c>
      <x:c r="J206" s="40" t="n">
        <x:f>I206*'Inputs &amp; Summary'!$B$16</x:f>
        <x:v>1499.208260537937</x:v>
      </x:c>
      <x:c r="K206" s="40" t="n">
        <x:f>IF(C206=1,J206,K205+J206)</x:f>
        <x:v>14561.055109607318</x:v>
      </x:c>
      <x:c r="L206" s="40" t="n">
        <x:f>IF(C206=12,K206*'Inputs &amp; Summary'!$B$11*'Inputs &amp; Summary'!$B$12,0)</x:f>
        <x:v>0</x:v>
      </x:c>
      <x:c r="M206" s="40" t="n">
        <x:f>MIN(L206,G206)</x:f>
        <x:v>0</x:v>
      </x:c>
      <x:c r="N206" s="40" t="n">
        <x:f>MAX(0,L206-M206)</x:f>
        <x:v>0</x:v>
      </x:c>
      <x:c r="O206" s="40" t="n">
        <x:f>IF(ABS(MAX(0,G206-M206))&lt;0.00000001,0,MAX(0,G206-M206))</x:f>
        <x:v>141430.6235054151</x:v>
      </x:c>
      <x:c r="P206" s="40" t="n">
        <x:f>MAX(0,D206-O206)</x:f>
        <x:v>1792.466856811894</x:v>
      </x:c>
      <x:c r="Q206" s="40" t="n">
        <x:f>MAX(0,'Inputs &amp; Summary'!$B$19*'Inputs &amp; Summary'!$B$4-O206-I206)</x:f>
        <x:v>36792.46685681195</x:v>
      </x:c>
      <x:c r="R206" s="40" t="n">
        <x:f>MIN(P206,Q206)</x:f>
        <x:v>1792.466856811894</x:v>
      </x:c>
      <x:c r="S206" s="40" t="n">
        <x:f>I206+R206</x:f>
        <x:v>278569.37649458484</x:v>
      </x:c>
      <x:c r="T206" s="40" t="n">
        <x:f>U205</x:f>
        <x:v>428707.2757771299</x:v>
      </x:c>
      <x:c r="U206" s="40" t="n">
        <x:f>T206*(1+'Inputs &amp; Summary'!$B$17)+R206+N206+H206</x:f>
        <x:v>432586.4969765175</x:v>
      </x:c>
      <x:c r="V206" s="40" t="n">
        <x:f>Y205</x:f>
        <x:v>192260.17790713397</x:v>
      </x:c>
      <x:c r="W206" s="40" t="n">
        <x:f>V206*'Inputs &amp; Summary'!$B$15</x:f>
        <x:v>714.3080024342889</x:v>
      </x:c>
      <x:c r="X206" s="40" t="n">
        <x:f>IF(V206&lt;=0.00000001,0,MIN('Inputs &amp; Summary'!$B$18,V206+W206))</x:f>
        <x:v>2324.586407999052</x:v>
      </x:c>
      <x:c r="Y206" s="40" t="n">
        <x:f>IF(ABS(MAX(0,V206+W206-X206))&lt;0.00000001,0,MAX(0,V206+W206-X206))</x:f>
        <x:v>190649.89950156922</x:v>
      </x:c>
      <x:c r="Z206" s="40" t="n">
        <x:f>MAX(0,'Inputs &amp; Summary'!$B$18-X206)</x:f>
        <x:v>0</x:v>
      </x:c>
      <x:c r="AA206" s="40" t="n">
        <x:f>AC205</x:f>
        <x:v>169069.87177102224</x:v>
      </x:c>
      <x:c r="AB206" s="40" t="n">
        <x:f>J206</x:f>
        <x:v>1499.208260537937</x:v>
      </x:c>
      <x:c r="AC206" s="40" t="n">
        <x:f>AA206*(1+'Inputs &amp; Summary'!$B$17)+Z206+AB206</x:f>
        <x:v>171392.0361814817</x:v>
      </x:c>
      <x:c r="AD206" s="40" t="n">
        <x:f>F206+H206+J206</x:f>
        <x:v>3823.794668536989</x:v>
      </x:c>
      <x:c r="AE206" s="40" t="n">
        <x:f>X206+Z206+AB206</x:f>
        <x:v>3823.794668536989</x:v>
      </x:c>
      <x:c r="AF206" s="40" t="n">
        <x:f>AD206-AE206</x:f>
        <x:v>0</x:v>
      </x:c>
      <x:c r="AG206" s="42" t="n">
        <x:f>(O206+S206)/'Inputs &amp; Summary'!$B$4</x:f>
        <x:v>0.5999999999999999</x:v>
      </x:c>
      <x:c r="AH206" s="40" t="n">
        <x:f>U206-O206-S206</x:f>
        <x:v>12586.496976517548</x:v>
      </x:c>
      <x:c r="AI206" s="40" t="n">
        <x:f>AC206-Y206</x:f>
        <x:v>-19257.86332008752</x:v>
      </x:c>
      <x:c r="AJ206" s="40" t="n">
        <x:f>AH206-AI206</x:f>
        <x:v>31844.360296605068</x:v>
      </x:c>
    </x:row>
    <x:row r="207">
      <x:c r="A207" t="n">
        <x:f>A206+1</x:f>
        <x:v>203</x:v>
      </x:c>
      <x:c r="B207" t="n">
        <x:f>INT((A207-1)/12)+1</x:f>
        <x:v>17</x:v>
      </x:c>
      <x:c r="C207" t="n">
        <x:f>MOD(A207-1,12)+1</x:f>
        <x:v>11</x:v>
      </x:c>
      <x:c r="D207" s="40" t="n">
        <x:f>O206</x:f>
        <x:v>141430.6235054151</x:v>
      </x:c>
      <x:c r="E207" s="40" t="n">
        <x:f>D207*'Inputs &amp; Summary'!$B$15</x:f>
        <x:v>525.4599639868555</x:v>
      </x:c>
      <x:c r="F207" s="40" t="n">
        <x:f>IF(D207&lt;=0.00000001,0,MIN('Inputs &amp; Summary'!$B$18,D207+E207))</x:f>
        <x:v>2324.586407999052</x:v>
      </x:c>
      <x:c r="G207" s="40" t="n">
        <x:f>IF(ABS(MAX(0,D207+E207-F207))&lt;0.00000001,0,MAX(0,D207+E207-F207))</x:f>
        <x:v>139631.49706140292</x:v>
      </x:c>
      <x:c r="H207" s="40" t="n">
        <x:f>MAX(0,'Inputs &amp; Summary'!$B$18-F207)</x:f>
        <x:v>0</x:v>
      </x:c>
      <x:c r="I207" s="40" t="n">
        <x:f>S206</x:f>
        <x:v>278569.37649458484</x:v>
      </x:c>
      <x:c r="J207" s="40" t="n">
        <x:f>I207*'Inputs &amp; Summary'!$B$16</x:f>
        <x:v>1508.9174560123347</x:v>
      </x:c>
      <x:c r="K207" s="40" t="n">
        <x:f>IF(C207=1,J207,K206+J207)</x:f>
        <x:v>16069.972565619653</x:v>
      </x:c>
      <x:c r="L207" s="40" t="n">
        <x:f>IF(C207=12,K207*'Inputs &amp; Summary'!$B$11*'Inputs &amp; Summary'!$B$12,0)</x:f>
        <x:v>0</x:v>
      </x:c>
      <x:c r="M207" s="40" t="n">
        <x:f>MIN(L207,G207)</x:f>
        <x:v>0</x:v>
      </x:c>
      <x:c r="N207" s="40" t="n">
        <x:f>MAX(0,L207-M207)</x:f>
        <x:v>0</x:v>
      </x:c>
      <x:c r="O207" s="40" t="n">
        <x:f>IF(ABS(MAX(0,G207-M207))&lt;0.00000001,0,MAX(0,G207-M207))</x:f>
        <x:v>139631.49706140292</x:v>
      </x:c>
      <x:c r="P207" s="40" t="n">
        <x:f>MAX(0,D207-O207)</x:f>
        <x:v>1799.1264440121886</x:v>
      </x:c>
      <x:c r="Q207" s="40" t="n">
        <x:f>MAX(0,'Inputs &amp; Summary'!$B$19*'Inputs &amp; Summary'!$B$4-O207-I207)</x:f>
        <x:v>36799.126444012276</x:v>
      </x:c>
      <x:c r="R207" s="40" t="n">
        <x:f>MIN(P207,Q207)</x:f>
        <x:v>1799.1264440121886</x:v>
      </x:c>
      <x:c r="S207" s="40" t="n">
        <x:f>I207+R207</x:f>
        <x:v>280368.502938597</x:v>
      </x:c>
      <x:c r="T207" s="40" t="n">
        <x:f>U206</x:f>
        <x:v>432586.4969765175</x:v>
      </x:c>
      <x:c r="U207" s="40" t="n">
        <x:f>T207*(1+'Inputs &amp; Summary'!$B$17)+R207+N207+H207</x:f>
        <x:v>436491.26006844745</x:v>
      </x:c>
      <x:c r="V207" s="40" t="n">
        <x:f>Y206</x:f>
        <x:v>190649.89950156922</x:v>
      </x:c>
      <x:c r="W207" s="40" t="n">
        <x:f>V207*'Inputs &amp; Summary'!$B$15</x:f>
        <x:v>708.3253035532049</x:v>
      </x:c>
      <x:c r="X207" s="40" t="n">
        <x:f>IF(V207&lt;=0.00000001,0,MIN('Inputs &amp; Summary'!$B$18,V207+W207))</x:f>
        <x:v>2324.586407999052</x:v>
      </x:c>
      <x:c r="Y207" s="40" t="n">
        <x:f>IF(ABS(MAX(0,V207+W207-X207))&lt;0.00000001,0,MAX(0,V207+W207-X207))</x:f>
        <x:v>189033.63839712337</x:v>
      </x:c>
      <x:c r="Z207" s="40" t="n">
        <x:f>MAX(0,'Inputs &amp; Summary'!$B$18-X207)</x:f>
        <x:v>0</x:v>
      </x:c>
      <x:c r="AA207" s="40" t="n">
        <x:f>AC206</x:f>
        <x:v>171392.0361814817</x:v>
      </x:c>
      <x:c r="AB207" s="40" t="n">
        <x:f>J207</x:f>
        <x:v>1508.9174560123347</x:v>
      </x:c>
      <x:c r="AC207" s="40" t="n">
        <x:f>AA207*(1+'Inputs &amp; Summary'!$B$17)+Z207+AB207</x:f>
        <x:v>173735.2130401045</x:v>
      </x:c>
      <x:c r="AD207" s="40" t="n">
        <x:f>F207+H207+J207</x:f>
        <x:v>3833.5038640113867</x:v>
      </x:c>
      <x:c r="AE207" s="40" t="n">
        <x:f>X207+Z207+AB207</x:f>
        <x:v>3833.5038640113867</x:v>
      </x:c>
      <x:c r="AF207" s="40" t="n">
        <x:f>AD207-AE207</x:f>
        <x:v>0</x:v>
      </x:c>
      <x:c r="AG207" s="42" t="n">
        <x:f>(O207+S207)/'Inputs &amp; Summary'!$B$4</x:f>
        <x:v>0.5999999999999999</x:v>
      </x:c>
      <x:c r="AH207" s="40" t="n">
        <x:f>U207-O207-S207</x:f>
        <x:v>16491.260068447562</x:v>
      </x:c>
      <x:c r="AI207" s="40" t="n">
        <x:f>AC207-Y207</x:f>
        <x:v>-15298.42535701886</x:v>
      </x:c>
      <x:c r="AJ207" s="40" t="n">
        <x:f>AH207-AI207</x:f>
        <x:v>31789.68542546642</x:v>
      </x:c>
    </x:row>
    <x:row r="208">
      <x:c r="A208" t="n">
        <x:f>A207+1</x:f>
        <x:v>204</x:v>
      </x:c>
      <x:c r="B208" t="n">
        <x:f>INT((A208-1)/12)+1</x:f>
        <x:v>17</x:v>
      </x:c>
      <x:c r="C208" t="n">
        <x:f>MOD(A208-1,12)+1</x:f>
        <x:v>12</x:v>
      </x:c>
      <x:c r="D208" s="40" t="n">
        <x:f>O207</x:f>
        <x:v>139631.49706140292</x:v>
      </x:c>
      <x:c r="E208" s="40" t="n">
        <x:f>D208*'Inputs &amp; Summary'!$B$15</x:f>
        <x:v>518.7756342918638</x:v>
      </x:c>
      <x:c r="F208" s="40" t="n">
        <x:f>IF(D208&lt;=0.00000001,0,MIN('Inputs &amp; Summary'!$B$18,D208+E208))</x:f>
        <x:v>2324.586407999052</x:v>
      </x:c>
      <x:c r="G208" s="40" t="n">
        <x:f>IF(ABS(MAX(0,D208+E208-F208))&lt;0.00000001,0,MAX(0,D208+E208-F208))</x:f>
        <x:v>137825.68628769575</x:v>
      </x:c>
      <x:c r="H208" s="40" t="n">
        <x:f>MAX(0,'Inputs &amp; Summary'!$B$18-F208)</x:f>
        <x:v>0</x:v>
      </x:c>
      <x:c r="I208" s="40" t="n">
        <x:f>S207</x:f>
        <x:v>280368.502938597</x:v>
      </x:c>
      <x:c r="J208" s="40" t="n">
        <x:f>I208*'Inputs &amp; Summary'!$B$16</x:f>
        <x:v>1518.6627242507338</x:v>
      </x:c>
      <x:c r="K208" s="40" t="n">
        <x:f>IF(C208=1,J208,K207+J208)</x:f>
        <x:v>17588.635289870388</x:v>
      </x:c>
      <x:c r="L208" s="40" t="n">
        <x:f>IF(C208=12,K208*'Inputs &amp; Summary'!$B$11*'Inputs &amp; Summary'!$B$12,0)</x:f>
        <x:v>6156.022351454635</x:v>
      </x:c>
      <x:c r="M208" s="40" t="n">
        <x:f>MIN(L208,G208)</x:f>
        <x:v>6156.022351454635</x:v>
      </x:c>
      <x:c r="N208" s="40" t="n">
        <x:f>MAX(0,L208-M208)</x:f>
        <x:v>0</x:v>
      </x:c>
      <x:c r="O208" s="40" t="n">
        <x:f>IF(ABS(MAX(0,G208-M208))&lt;0.00000001,0,MAX(0,G208-M208))</x:f>
        <x:v>131669.66393624112</x:v>
      </x:c>
      <x:c r="P208" s="40" t="n">
        <x:f>MAX(0,D208-O208)</x:f>
        <x:v>7961.833125161793</x:v>
      </x:c>
      <x:c r="Q208" s="40" t="n">
        <x:f>MAX(0,'Inputs &amp; Summary'!$B$19*'Inputs &amp; Summary'!$B$4-O208-I208)</x:f>
        <x:v>42961.83312516188</x:v>
      </x:c>
      <x:c r="R208" s="40" t="n">
        <x:f>MIN(P208,Q208)</x:f>
        <x:v>7961.833125161793</x:v>
      </x:c>
      <x:c r="S208" s="40" t="n">
        <x:f>I208+R208</x:f>
        <x:v>288330.3360637588</x:v>
      </x:c>
      <x:c r="T208" s="40" t="n">
        <x:f>U207</x:f>
        <x:v>436491.26006844745</x:v>
      </x:c>
      <x:c r="U208" s="40" t="n">
        <x:f>T208*(1+'Inputs &amp; Summary'!$B$17)+R208+N208+H208</x:f>
        <x:v>446577.73647332273</x:v>
      </x:c>
      <x:c r="V208" s="40" t="n">
        <x:f>Y207</x:f>
        <x:v>189033.63839712337</x:v>
      </x:c>
      <x:c r="W208" s="40" t="n">
        <x:f>V208*'Inputs &amp; Summary'!$B$15</x:f>
        <x:v>702.3203770338578</x:v>
      </x:c>
      <x:c r="X208" s="40" t="n">
        <x:f>IF(V208&lt;=0.00000001,0,MIN('Inputs &amp; Summary'!$B$18,V208+W208))</x:f>
        <x:v>2324.586407999052</x:v>
      </x:c>
      <x:c r="Y208" s="40" t="n">
        <x:f>IF(ABS(MAX(0,V208+W208-X208))&lt;0.00000001,0,MAX(0,V208+W208-X208))</x:f>
        <x:v>187411.37236615818</x:v>
      </x:c>
      <x:c r="Z208" s="40" t="n">
        <x:f>MAX(0,'Inputs &amp; Summary'!$B$18-X208)</x:f>
        <x:v>0</x:v>
      </x:c>
      <x:c r="AA208" s="40" t="n">
        <x:f>AC207</x:f>
        <x:v>173735.2130401045</x:v>
      </x:c>
      <x:c r="AB208" s="40" t="n">
        <x:f>J208</x:f>
        <x:v>1518.6627242507338</x:v>
      </x:c>
      <x:c r="AC208" s="40" t="n">
        <x:f>AA208*(1+'Inputs &amp; Summary'!$B$17)+Z208+AB208</x:f>
        <x:v>176099.5406988086</x:v>
      </x:c>
      <x:c r="AD208" s="40" t="n">
        <x:f>F208+H208+J208</x:f>
        <x:v>3843.249132249786</x:v>
      </x:c>
      <x:c r="AE208" s="40" t="n">
        <x:f>X208+Z208+AB208</x:f>
        <x:v>3843.249132249786</x:v>
      </x:c>
      <x:c r="AF208" s="40" t="n">
        <x:f>AD208-AE208</x:f>
        <x:v>0</x:v>
      </x:c>
      <x:c r="AG208" s="42" t="n">
        <x:f>(O208+S208)/'Inputs &amp; Summary'!$B$4</x:f>
        <x:v>0.5999999999999999</x:v>
      </x:c>
      <x:c r="AH208" s="40" t="n">
        <x:f>U208-O208-S208</x:f>
        <x:v>26577.736473322788</x:v>
      </x:c>
      <x:c r="AI208" s="40" t="n">
        <x:f>AC208-Y208</x:f>
        <x:v>-11311.831667349586</x:v>
      </x:c>
      <x:c r="AJ208" s="40" t="n">
        <x:f>AH208-AI208</x:f>
        <x:v>37889.568140672374</x:v>
      </x:c>
    </x:row>
    <x:row r="209">
      <x:c r="A209" t="n">
        <x:f>A208+1</x:f>
        <x:v>205</x:v>
      </x:c>
      <x:c r="B209" t="n">
        <x:f>INT((A209-1)/12)+1</x:f>
        <x:v>18</x:v>
      </x:c>
      <x:c r="C209" t="n">
        <x:f>MOD(A209-1,12)+1</x:f>
        <x:v>1</x:v>
      </x:c>
      <x:c r="D209" s="40" t="n">
        <x:f>O208</x:f>
        <x:v>131669.66393624112</x:v>
      </x:c>
      <x:c r="E209" s="40" t="n">
        <x:f>D209*'Inputs &amp; Summary'!$B$15</x:f>
        <x:v>489.19487983060185</x:v>
      </x:c>
      <x:c r="F209" s="40" t="n">
        <x:f>IF(D209&lt;=0.00000001,0,MIN('Inputs &amp; Summary'!$B$18,D209+E209))</x:f>
        <x:v>2324.586407999052</x:v>
      </x:c>
      <x:c r="G209" s="40" t="n">
        <x:f>IF(ABS(MAX(0,D209+E209-F209))&lt;0.00000001,0,MAX(0,D209+E209-F209))</x:f>
        <x:v>129834.27240807268</x:v>
      </x:c>
      <x:c r="H209" s="40" t="n">
        <x:f>MAX(0,'Inputs &amp; Summary'!$B$18-F209)</x:f>
        <x:v>0</x:v>
      </x:c>
      <x:c r="I209" s="40" t="n">
        <x:f>S208</x:f>
        <x:v>288330.3360637588</x:v>
      </x:c>
      <x:c r="J209" s="40" t="n">
        <x:f>I209*'Inputs &amp; Summary'!$B$16</x:f>
        <x:v>1561.7893203453602</x:v>
      </x:c>
      <x:c r="K209" s="40" t="n">
        <x:f>IF(C209=1,J209,K208+J209)</x:f>
        <x:v>1561.7893203453602</x:v>
      </x:c>
      <x:c r="L209" s="40" t="n">
        <x:f>IF(C209=12,K209*'Inputs &amp; Summary'!$B$11*'Inputs &amp; Summary'!$B$12,0)</x:f>
        <x:v>0</x:v>
      </x:c>
      <x:c r="M209" s="40" t="n">
        <x:f>MIN(L209,G209)</x:f>
        <x:v>0</x:v>
      </x:c>
      <x:c r="N209" s="40" t="n">
        <x:f>MAX(0,L209-M209)</x:f>
        <x:v>0</x:v>
      </x:c>
      <x:c r="O209" s="40" t="n">
        <x:f>IF(ABS(MAX(0,G209-M209))&lt;0.00000001,0,MAX(0,G209-M209))</x:f>
        <x:v>129834.27240807268</x:v>
      </x:c>
      <x:c r="P209" s="40" t="n">
        <x:f>MAX(0,D209-O209)</x:f>
        <x:v>1835.3915281684458</x:v>
      </x:c>
      <x:c r="Q209" s="40" t="n">
        <x:f>MAX(0,'Inputs &amp; Summary'!$B$19*'Inputs &amp; Summary'!$B$4-O209-I209)</x:f>
        <x:v>36835.39152816852</x:v>
      </x:c>
      <x:c r="R209" s="40" t="n">
        <x:f>MIN(P209,Q209)</x:f>
        <x:v>1835.3915281684458</x:v>
      </x:c>
      <x:c r="S209" s="40" t="n">
        <x:f>I209+R209</x:f>
        <x:v>290165.7275919273</x:v>
      </x:c>
      <x:c r="T209" s="40" t="n">
        <x:f>U208</x:f>
        <x:v>446577.73647332273</x:v>
      </x:c>
      <x:c r="U209" s="40" t="n">
        <x:f>T209*(1+'Inputs &amp; Summary'!$B$17)+R209+N209+H209</x:f>
        <x:v>450586.86771513155</x:v>
      </x:c>
      <x:c r="V209" s="40" t="n">
        <x:f>Y208</x:f>
        <x:v>187411.37236615818</x:v>
      </x:c>
      <x:c r="W209" s="40" t="n">
        <x:f>V209*'Inputs &amp; Summary'!$B$15</x:f>
        <x:v>696.293140293468</x:v>
      </x:c>
      <x:c r="X209" s="40" t="n">
        <x:f>IF(V209&lt;=0.00000001,0,MIN('Inputs &amp; Summary'!$B$18,V209+W209))</x:f>
        <x:v>2324.586407999052</x:v>
      </x:c>
      <x:c r="Y209" s="40" t="n">
        <x:f>IF(ABS(MAX(0,V209+W209-X209))&lt;0.00000001,0,MAX(0,V209+W209-X209))</x:f>
        <x:v>185783.0790984526</x:v>
      </x:c>
      <x:c r="Z209" s="40" t="n">
        <x:f>MAX(0,'Inputs &amp; Summary'!$B$18-X209)</x:f>
        <x:v>0</x:v>
      </x:c>
      <x:c r="AA209" s="40" t="n">
        <x:f>AC208</x:f>
        <x:v>176099.5406988086</x:v>
      </x:c>
      <x:c r="AB209" s="40" t="n">
        <x:f>J209</x:f>
        <x:v>1561.7893203453602</x:v>
      </x:c>
      <x:c r="AC209" s="40" t="n">
        <x:f>AA209*(1+'Inputs &amp; Summary'!$B$17)+Z209+AB209</x:f>
        <x:v>178518.50343803907</x:v>
      </x:c>
      <x:c r="AD209" s="40" t="n">
        <x:f>F209+H209+J209</x:f>
        <x:v>3886.375728344412</x:v>
      </x:c>
      <x:c r="AE209" s="40" t="n">
        <x:f>X209+Z209+AB209</x:f>
        <x:v>3886.375728344412</x:v>
      </x:c>
      <x:c r="AF209" s="40" t="n">
        <x:f>AD209-AE209</x:f>
        <x:v>0</x:v>
      </x:c>
      <x:c r="AG209" s="42" t="n">
        <x:f>(O209+S209)/'Inputs &amp; Summary'!$B$4</x:f>
        <x:v>0.5999999999999999</x:v>
      </x:c>
      <x:c r="AH209" s="40" t="n">
        <x:f>U209-O209-S209</x:f>
        <x:v>30586.867715131608</x:v>
      </x:c>
      <x:c r="AI209" s="40" t="n">
        <x:f>AC209-Y209</x:f>
        <x:v>-7264.575660413539</x:v>
      </x:c>
      <x:c r="AJ209" s="40" t="n">
        <x:f>AH209-AI209</x:f>
        <x:v>37851.44337554515</x:v>
      </x:c>
    </x:row>
    <x:row r="210">
      <x:c r="A210" t="n">
        <x:f>A209+1</x:f>
        <x:v>206</x:v>
      </x:c>
      <x:c r="B210" t="n">
        <x:f>INT((A210-1)/12)+1</x:f>
        <x:v>18</x:v>
      </x:c>
      <x:c r="C210" t="n">
        <x:f>MOD(A210-1,12)+1</x:f>
        <x:v>2</x:v>
      </x:c>
      <x:c r="D210" s="40" t="n">
        <x:f>O209</x:f>
        <x:v>129834.27240807268</x:v>
      </x:c>
      <x:c r="E210" s="40" t="n">
        <x:f>D210*'Inputs &amp; Summary'!$B$15</x:f>
        <x:v>482.3758137585623</x:v>
      </x:c>
      <x:c r="F210" s="40" t="n">
        <x:f>IF(D210&lt;=0.00000001,0,MIN('Inputs &amp; Summary'!$B$18,D210+E210))</x:f>
        <x:v>2324.586407999052</x:v>
      </x:c>
      <x:c r="G210" s="40" t="n">
        <x:f>IF(ABS(MAX(0,D210+E210-F210))&lt;0.00000001,0,MAX(0,D210+E210-F210))</x:f>
        <x:v>127992.06181383219</x:v>
      </x:c>
      <x:c r="H210" s="40" t="n">
        <x:f>MAX(0,'Inputs &amp; Summary'!$B$18-F210)</x:f>
        <x:v>0</x:v>
      </x:c>
      <x:c r="I210" s="40" t="n">
        <x:f>S209</x:f>
        <x:v>290165.7275919273</x:v>
      </x:c>
      <x:c r="J210" s="40" t="n">
        <x:f>I210*'Inputs &amp; Summary'!$B$16</x:f>
        <x:v>1571.7310244562727</x:v>
      </x:c>
      <x:c r="K210" s="40" t="n">
        <x:f>IF(C210=1,J210,K209+J210)</x:f>
        <x:v>3133.5203448016327</x:v>
      </x:c>
      <x:c r="L210" s="40" t="n">
        <x:f>IF(C210=12,K210*'Inputs &amp; Summary'!$B$11*'Inputs &amp; Summary'!$B$12,0)</x:f>
        <x:v>0</x:v>
      </x:c>
      <x:c r="M210" s="40" t="n">
        <x:f>MIN(L210,G210)</x:f>
        <x:v>0</x:v>
      </x:c>
      <x:c r="N210" s="40" t="n">
        <x:f>MAX(0,L210-M210)</x:f>
        <x:v>0</x:v>
      </x:c>
      <x:c r="O210" s="40" t="n">
        <x:f>IF(ABS(MAX(0,G210-M210))&lt;0.00000001,0,MAX(0,G210-M210))</x:f>
        <x:v>127992.06181383219</x:v>
      </x:c>
      <x:c r="P210" s="40" t="n">
        <x:f>MAX(0,D210-O210)</x:f>
        <x:v>1842.2105942404887</x:v>
      </x:c>
      <x:c r="Q210" s="40" t="n">
        <x:f>MAX(0,'Inputs &amp; Summary'!$B$19*'Inputs &amp; Summary'!$B$4-O210-I210)</x:f>
        <x:v>36842.21059424052</x:v>
      </x:c>
      <x:c r="R210" s="40" t="n">
        <x:f>MIN(P210,Q210)</x:f>
        <x:v>1842.2105942404887</x:v>
      </x:c>
      <x:c r="S210" s="40" t="n">
        <x:f>I210+R210</x:f>
        <x:v>292007.93818616774</x:v>
      </x:c>
      <x:c r="T210" s="40" t="n">
        <x:f>U209</x:f>
        <x:v>450586.86771513155</x:v>
      </x:c>
      <x:c r="U210" s="40" t="n">
        <x:f>T210*(1+'Inputs &amp; Summary'!$B$17)+R210+N210+H210</x:f>
        <x:v>454622.332672055</x:v>
      </x:c>
      <x:c r="V210" s="40" t="n">
        <x:f>Y209</x:f>
        <x:v>185783.0790984526</x:v>
      </x:c>
      <x:c r="W210" s="40" t="n">
        <x:f>V210*'Inputs &amp; Summary'!$B$15</x:f>
        <x:v>690.2435104424347</x:v>
      </x:c>
      <x:c r="X210" s="40" t="n">
        <x:f>IF(V210&lt;=0.00000001,0,MIN('Inputs &amp; Summary'!$B$18,V210+W210))</x:f>
        <x:v>2324.586407999052</x:v>
      </x:c>
      <x:c r="Y210" s="40" t="n">
        <x:f>IF(ABS(MAX(0,V210+W210-X210))&lt;0.00000001,0,MAX(0,V210+W210-X210))</x:f>
        <x:v>184148.736200896</x:v>
      </x:c>
      <x:c r="Z210" s="40" t="n">
        <x:f>MAX(0,'Inputs &amp; Summary'!$B$18-X210)</x:f>
        <x:v>0</x:v>
      </x:c>
      <x:c r="AA210" s="40" t="n">
        <x:f>AC209</x:f>
        <x:v>178518.50343803907</x:v>
      </x:c>
      <x:c r="AB210" s="40" t="n">
        <x:f>J210</x:f>
        <x:v>1571.7310244562727</x:v>
      </x:c>
      <x:c r="AC210" s="40" t="n">
        <x:f>AA210*(1+'Inputs &amp; Summary'!$B$17)+Z210+AB210</x:f>
        <x:v>180959.18230482936</x:v>
      </x:c>
      <x:c r="AD210" s="40" t="n">
        <x:f>F210+H210+J210</x:f>
        <x:v>3896.3174324553247</x:v>
      </x:c>
      <x:c r="AE210" s="40" t="n">
        <x:f>X210+Z210+AB210</x:f>
        <x:v>3896.3174324553247</x:v>
      </x:c>
      <x:c r="AF210" s="40" t="n">
        <x:f>AD210-AE210</x:f>
        <x:v>0</x:v>
      </x:c>
      <x:c r="AG210" s="42" t="n">
        <x:f>(O210+S210)/'Inputs &amp; Summary'!$B$4</x:f>
        <x:v>0.5999999999999999</x:v>
      </x:c>
      <x:c r="AH210" s="40" t="n">
        <x:f>U210-O210-S210</x:f>
        <x:v>34622.332672055054</x:v>
      </x:c>
      <x:c r="AI210" s="40" t="n">
        <x:f>AC210-Y210</x:f>
        <x:v>-3189.5538960666454</x:v>
      </x:c>
      <x:c r="AJ210" s="40" t="n">
        <x:f>AH210-AI210</x:f>
        <x:v>37811.8865681217</x:v>
      </x:c>
    </x:row>
    <x:row r="211">
      <x:c r="A211" t="n">
        <x:f>A210+1</x:f>
        <x:v>207</x:v>
      </x:c>
      <x:c r="B211" t="n">
        <x:f>INT((A211-1)/12)+1</x:f>
        <x:v>18</x:v>
      </x:c>
      <x:c r="C211" t="n">
        <x:f>MOD(A211-1,12)+1</x:f>
        <x:v>3</x:v>
      </x:c>
      <x:c r="D211" s="40" t="n">
        <x:f>O210</x:f>
        <x:v>127992.06181383219</x:v>
      </x:c>
      <x:c r="E211" s="40" t="n">
        <x:f>D211*'Inputs &amp; Summary'!$B$15</x:f>
        <x:v>475.5314126768634</x:v>
      </x:c>
      <x:c r="F211" s="40" t="n">
        <x:f>IF(D211&lt;=0.00000001,0,MIN('Inputs &amp; Summary'!$B$18,D211+E211))</x:f>
        <x:v>2324.586407999052</x:v>
      </x:c>
      <x:c r="G211" s="40" t="n">
        <x:f>IF(ABS(MAX(0,D211+E211-F211))&lt;0.00000001,0,MAX(0,D211+E211-F211))</x:f>
        <x:v>126143.00681851</x:v>
      </x:c>
      <x:c r="H211" s="40" t="n">
        <x:f>MAX(0,'Inputs &amp; Summary'!$B$18-F211)</x:f>
        <x:v>0</x:v>
      </x:c>
      <x:c r="I211" s="40" t="n">
        <x:f>S210</x:f>
        <x:v>292007.93818616774</x:v>
      </x:c>
      <x:c r="J211" s="40" t="n">
        <x:f>I211*'Inputs &amp; Summary'!$B$16</x:f>
        <x:v>1581.7096651750753</x:v>
      </x:c>
      <x:c r="K211" s="40" t="n">
        <x:f>IF(C211=1,J211,K210+J211)</x:f>
        <x:v>4715.230009976708</x:v>
      </x:c>
      <x:c r="L211" s="40" t="n">
        <x:f>IF(C211=12,K211*'Inputs &amp; Summary'!$B$11*'Inputs &amp; Summary'!$B$12,0)</x:f>
        <x:v>0</x:v>
      </x:c>
      <x:c r="M211" s="40" t="n">
        <x:f>MIN(L211,G211)</x:f>
        <x:v>0</x:v>
      </x:c>
      <x:c r="N211" s="40" t="n">
        <x:f>MAX(0,L211-M211)</x:f>
        <x:v>0</x:v>
      </x:c>
      <x:c r="O211" s="40" t="n">
        <x:f>IF(ABS(MAX(0,G211-M211))&lt;0.00000001,0,MAX(0,G211-M211))</x:f>
        <x:v>126143.00681851</x:v>
      </x:c>
      <x:c r="P211" s="40" t="n">
        <x:f>MAX(0,D211-O211)</x:f>
        <x:v>1849.0549953221926</x:v>
      </x:c>
      <x:c r="Q211" s="40" t="n">
        <x:f>MAX(0,'Inputs &amp; Summary'!$B$19*'Inputs &amp; Summary'!$B$4-O211-I211)</x:f>
        <x:v>36849.05499532225</x:v>
      </x:c>
      <x:c r="R211" s="40" t="n">
        <x:f>MIN(P211,Q211)</x:f>
        <x:v>1849.0549953221926</x:v>
      </x:c>
      <x:c r="S211" s="40" t="n">
        <x:f>I211+R211</x:f>
        <x:v>293856.99318148993</x:v>
      </x:c>
      <x:c r="T211" s="40" t="n">
        <x:f>U210</x:f>
        <x:v>454622.332672055</x:v>
      </x:c>
      <x:c r="U211" s="40" t="n">
        <x:f>T211*(1+'Inputs &amp; Summary'!$B$17)+R211+N211+H211</x:f>
        <x:v>458684.2848597926</x:v>
      </x:c>
      <x:c r="V211" s="40" t="n">
        <x:f>Y210</x:f>
        <x:v>184148.736200896</x:v>
      </x:c>
      <x:c r="W211" s="40" t="n">
        <x:f>V211*'Inputs &amp; Summary'!$B$15</x:f>
        <x:v>684.1714042831956</x:v>
      </x:c>
      <x:c r="X211" s="40" t="n">
        <x:f>IF(V211&lt;=0.00000001,0,MIN('Inputs &amp; Summary'!$B$18,V211+W211))</x:f>
        <x:v>2324.586407999052</x:v>
      </x:c>
      <x:c r="Y211" s="40" t="n">
        <x:f>IF(ABS(MAX(0,V211+W211-X211))&lt;0.00000001,0,MAX(0,V211+W211-X211))</x:f>
        <x:v>182508.32119718016</x:v>
      </x:c>
      <x:c r="Z211" s="40" t="n">
        <x:f>MAX(0,'Inputs &amp; Summary'!$B$18-X211)</x:f>
        <x:v>0</x:v>
      </x:c>
      <x:c r="AA211" s="40" t="n">
        <x:f>AC210</x:f>
        <x:v>180959.18230482936</x:v>
      </x:c>
      <x:c r="AB211" s="40" t="n">
        <x:f>J211</x:f>
        <x:v>1581.7096651750753</x:v>
      </x:c>
      <x:c r="AC211" s="40" t="n">
        <x:f>AA211*(1+'Inputs &amp; Summary'!$B$17)+Z211+AB211</x:f>
        <x:v>183421.7199401363</x:v>
      </x:c>
      <x:c r="AD211" s="40" t="n">
        <x:f>F211+H211+J211</x:f>
        <x:v>3906.2960731741273</x:v>
      </x:c>
      <x:c r="AE211" s="40" t="n">
        <x:f>X211+Z211+AB211</x:f>
        <x:v>3906.2960731741273</x:v>
      </x:c>
      <x:c r="AF211" s="40" t="n">
        <x:f>AD211-AE211</x:f>
        <x:v>0</x:v>
      </x:c>
      <x:c r="AG211" s="42" t="n">
        <x:f>(O211+S211)/'Inputs &amp; Summary'!$B$4</x:f>
        <x:v>0.5999999999999999</x:v>
      </x:c>
      <x:c r="AH211" s="40" t="n">
        <x:f>U211-O211-S211</x:f>
        <x:v>38684.28485979268</x:v>
      </x:c>
      <x:c r="AI211" s="40" t="n">
        <x:f>AC211-Y211</x:f>
        <x:v>913.3987429561384</x:v>
      </x:c>
      <x:c r="AJ211" s="40" t="n">
        <x:f>AH211-AI211</x:f>
        <x:v>37770.88611683654</x:v>
      </x:c>
    </x:row>
    <x:row r="212">
      <x:c r="A212" t="n">
        <x:f>A211+1</x:f>
        <x:v>208</x:v>
      </x:c>
      <x:c r="B212" t="n">
        <x:f>INT((A212-1)/12)+1</x:f>
        <x:v>18</x:v>
      </x:c>
      <x:c r="C212" t="n">
        <x:f>MOD(A212-1,12)+1</x:f>
        <x:v>4</x:v>
      </x:c>
      <x:c r="D212" s="40" t="n">
        <x:f>O211</x:f>
        <x:v>126143.00681851</x:v>
      </x:c>
      <x:c r="E212" s="40" t="n">
        <x:f>D212*'Inputs &amp; Summary'!$B$15</x:f>
        <x:v>468.6615824578478</x:v>
      </x:c>
      <x:c r="F212" s="40" t="n">
        <x:f>IF(D212&lt;=0.00000001,0,MIN('Inputs &amp; Summary'!$B$18,D212+E212))</x:f>
        <x:v>2324.586407999052</x:v>
      </x:c>
      <x:c r="G212" s="40" t="n">
        <x:f>IF(ABS(MAX(0,D212+E212-F212))&lt;0.00000001,0,MAX(0,D212+E212-F212))</x:f>
        <x:v>124287.08199296879</x:v>
      </x:c>
      <x:c r="H212" s="40" t="n">
        <x:f>MAX(0,'Inputs &amp; Summary'!$B$18-F212)</x:f>
        <x:v>0</x:v>
      </x:c>
      <x:c r="I212" s="40" t="n">
        <x:f>S211</x:f>
        <x:v>293856.99318148993</x:v>
      </x:c>
      <x:c r="J212" s="40" t="n">
        <x:f>I212*'Inputs &amp; Summary'!$B$16</x:f>
        <x:v>1591.7253797330704</x:v>
      </x:c>
      <x:c r="K212" s="40" t="n">
        <x:f>IF(C212=1,J212,K211+J212)</x:f>
        <x:v>6306.9553897097785</x:v>
      </x:c>
      <x:c r="L212" s="40" t="n">
        <x:f>IF(C212=12,K212*'Inputs &amp; Summary'!$B$11*'Inputs &amp; Summary'!$B$12,0)</x:f>
        <x:v>0</x:v>
      </x:c>
      <x:c r="M212" s="40" t="n">
        <x:f>MIN(L212,G212)</x:f>
        <x:v>0</x:v>
      </x:c>
      <x:c r="N212" s="40" t="n">
        <x:f>MAX(0,L212-M212)</x:f>
        <x:v>0</x:v>
      </x:c>
      <x:c r="O212" s="40" t="n">
        <x:f>IF(ABS(MAX(0,G212-M212))&lt;0.00000001,0,MAX(0,G212-M212))</x:f>
        <x:v>124287.08199296879</x:v>
      </x:c>
      <x:c r="P212" s="40" t="n">
        <x:f>MAX(0,D212-O212)</x:f>
        <x:v>1855.9248255412094</x:v>
      </x:c>
      <x:c r="Q212" s="40" t="n">
        <x:f>MAX(0,'Inputs &amp; Summary'!$B$19*'Inputs &amp; Summary'!$B$4-O212-I212)</x:f>
        <x:v>36855.92482554127</x:v>
      </x:c>
      <x:c r="R212" s="40" t="n">
        <x:f>MIN(P212,Q212)</x:f>
        <x:v>1855.9248255412094</x:v>
      </x:c>
      <x:c r="S212" s="40" t="n">
        <x:f>I212+R212</x:f>
        <x:v>295712.91800703114</x:v>
      </x:c>
      <x:c r="T212" s="40" t="n">
        <x:f>U211</x:f>
        <x:v>458684.2848597926</x:v>
      </x:c>
      <x:c r="U212" s="40" t="n">
        <x:f>T212*(1+'Inputs &amp; Summary'!$B$17)+R212+N212+H212</x:f>
        <x:v>462772.8786354171</x:v>
      </x:c>
      <x:c r="V212" s="40" t="n">
        <x:f>Y211</x:f>
        <x:v>182508.32119718016</x:v>
      </x:c>
      <x:c r="W212" s="40" t="n">
        <x:f>V212*'Inputs &amp; Summary'!$B$15</x:f>
        <x:v>678.0767383090827</x:v>
      </x:c>
      <x:c r="X212" s="40" t="n">
        <x:f>IF(V212&lt;=0.00000001,0,MIN('Inputs &amp; Summary'!$B$18,V212+W212))</x:f>
        <x:v>2324.586407999052</x:v>
      </x:c>
      <x:c r="Y212" s="40" t="n">
        <x:f>IF(ABS(MAX(0,V212+W212-X212))&lt;0.00000001,0,MAX(0,V212+W212-X212))</x:f>
        <x:v>180861.8115274902</x:v>
      </x:c>
      <x:c r="Z212" s="40" t="n">
        <x:f>MAX(0,'Inputs &amp; Summary'!$B$18-X212)</x:f>
        <x:v>0</x:v>
      </x:c>
      <x:c r="AA212" s="40" t="n">
        <x:f>AC211</x:f>
        <x:v>183421.7199401363</x:v>
      </x:c>
      <x:c r="AB212" s="40" t="n">
        <x:f>J212</x:f>
        <x:v>1591.7253797330704</x:v>
      </x:c>
      <x:c r="AC212" s="40" t="n">
        <x:f>AA212*(1+'Inputs &amp; Summary'!$B$17)+Z212+AB212</x:f>
        <x:v>185906.2598164602</x:v>
      </x:c>
      <x:c r="AD212" s="40" t="n">
        <x:f>F212+H212+J212</x:f>
        <x:v>3916.3117877321224</x:v>
      </x:c>
      <x:c r="AE212" s="40" t="n">
        <x:f>X212+Z212+AB212</x:f>
        <x:v>3916.3117877321224</x:v>
      </x:c>
      <x:c r="AF212" s="40" t="n">
        <x:f>AD212-AE212</x:f>
        <x:v>0</x:v>
      </x:c>
      <x:c r="AG212" s="42" t="n">
        <x:f>(O212+S212)/'Inputs &amp; Summary'!$B$4</x:f>
        <x:v>0.5999999999999999</x:v>
      </x:c>
      <x:c r="AH212" s="40" t="n">
        <x:f>U212-O212-S212</x:f>
        <x:v>42772.878635417146</x:v>
      </x:c>
      <x:c r="AI212" s="40" t="n">
        <x:f>AC212-Y212</x:f>
        <x:v>5044.448288969987</x:v>
      </x:c>
      <x:c r="AJ212" s="40" t="n">
        <x:f>AH212-AI212</x:f>
        <x:v>37728.43034644716</x:v>
      </x:c>
    </x:row>
    <x:row r="213">
      <x:c r="A213" t="n">
        <x:f>A212+1</x:f>
        <x:v>209</x:v>
      </x:c>
      <x:c r="B213" t="n">
        <x:f>INT((A213-1)/12)+1</x:f>
        <x:v>18</x:v>
      </x:c>
      <x:c r="C213" t="n">
        <x:f>MOD(A213-1,12)+1</x:f>
        <x:v>5</x:v>
      </x:c>
      <x:c r="D213" s="40" t="n">
        <x:f>O212</x:f>
        <x:v>124287.08199296879</x:v>
      </x:c>
      <x:c r="E213" s="40" t="n">
        <x:f>D213*'Inputs &amp; Summary'!$B$15</x:f>
        <x:v>461.766228624144</x:v>
      </x:c>
      <x:c r="F213" s="40" t="n">
        <x:f>IF(D213&lt;=0.00000001,0,MIN('Inputs &amp; Summary'!$B$18,D213+E213))</x:f>
        <x:v>2324.586407999052</x:v>
      </x:c>
      <x:c r="G213" s="40" t="n">
        <x:f>IF(ABS(MAX(0,D213+E213-F213))&lt;0.00000001,0,MAX(0,D213+E213-F213))</x:f>
        <x:v>122424.26181359387</x:v>
      </x:c>
      <x:c r="H213" s="40" t="n">
        <x:f>MAX(0,'Inputs &amp; Summary'!$B$18-F213)</x:f>
        <x:v>0</x:v>
      </x:c>
      <x:c r="I213" s="40" t="n">
        <x:f>S212</x:f>
        <x:v>295712.91800703114</x:v>
      </x:c>
      <x:c r="J213" s="40" t="n">
        <x:f>I213*'Inputs &amp; Summary'!$B$16</x:f>
        <x:v>1601.7783058714188</x:v>
      </x:c>
      <x:c r="K213" s="40" t="n">
        <x:f>IF(C213=1,J213,K212+J213)</x:f>
        <x:v>7908.733695581197</x:v>
      </x:c>
      <x:c r="L213" s="40" t="n">
        <x:f>IF(C213=12,K213*'Inputs &amp; Summary'!$B$11*'Inputs &amp; Summary'!$B$12,0)</x:f>
        <x:v>0</x:v>
      </x:c>
      <x:c r="M213" s="40" t="n">
        <x:f>MIN(L213,G213)</x:f>
        <x:v>0</x:v>
      </x:c>
      <x:c r="N213" s="40" t="n">
        <x:f>MAX(0,L213-M213)</x:f>
        <x:v>0</x:v>
      </x:c>
      <x:c r="O213" s="40" t="n">
        <x:f>IF(ABS(MAX(0,G213-M213))&lt;0.00000001,0,MAX(0,G213-M213))</x:f>
        <x:v>122424.26181359387</x:v>
      </x:c>
      <x:c r="P213" s="40" t="n">
        <x:f>MAX(0,D213-O213)</x:f>
        <x:v>1862.8201793749176</x:v>
      </x:c>
      <x:c r="Q213" s="40" t="n">
        <x:f>MAX(0,'Inputs &amp; Summary'!$B$19*'Inputs &amp; Summary'!$B$4-O213-I213)</x:f>
        <x:v>36862.820179375005</x:v>
      </x:c>
      <x:c r="R213" s="40" t="n">
        <x:f>MIN(P213,Q213)</x:f>
        <x:v>1862.8201793749176</x:v>
      </x:c>
      <x:c r="S213" s="40" t="n">
        <x:f>I213+R213</x:f>
        <x:v>297575.7381864061</x:v>
      </x:c>
      <x:c r="T213" s="40" t="n">
        <x:f>U212</x:f>
        <x:v>462772.8786354171</x:v>
      </x:c>
      <x:c r="U213" s="40" t="n">
        <x:f>T213*(1+'Inputs &amp; Summary'!$B$17)+R213+N213+H213</x:f>
        <x:v>466888.2692018192</x:v>
      </x:c>
      <x:c r="V213" s="40" t="n">
        <x:f>Y212</x:f>
        <x:v>180861.8115274902</x:v>
      </x:c>
      <x:c r="W213" s="40" t="n">
        <x:f>V213*'Inputs &amp; Summary'!$B$15</x:f>
        <x:v>671.9594287031742</x:v>
      </x:c>
      <x:c r="X213" s="40" t="n">
        <x:f>IF(V213&lt;=0.00000001,0,MIN('Inputs &amp; Summary'!$B$18,V213+W213))</x:f>
        <x:v>2324.586407999052</x:v>
      </x:c>
      <x:c r="Y213" s="40" t="n">
        <x:f>IF(ABS(MAX(0,V213+W213-X213))&lt;0.00000001,0,MAX(0,V213+W213-X213))</x:f>
        <x:v>179209.18454819435</x:v>
      </x:c>
      <x:c r="Z213" s="40" t="n">
        <x:f>MAX(0,'Inputs &amp; Summary'!$B$18-X213)</x:f>
        <x:v>0</x:v>
      </x:c>
      <x:c r="AA213" s="40" t="n">
        <x:f>AC212</x:f>
        <x:v>185906.2598164602</x:v>
      </x:c>
      <x:c r="AB213" s="40" t="n">
        <x:f>J213</x:f>
        <x:v>1601.7783058714188</x:v>
      </x:c>
      <x:c r="AC213" s="40" t="n">
        <x:f>AA213*(1+'Inputs &amp; Summary'!$B$17)+Z213+AB213</x:f>
        <x:v>188412.94624240202</x:v>
      </x:c>
      <x:c r="AD213" s="40" t="n">
        <x:f>F213+H213+J213</x:f>
        <x:v>3926.364713870471</x:v>
      </x:c>
      <x:c r="AE213" s="40" t="n">
        <x:f>X213+Z213+AB213</x:f>
        <x:v>3926.364713870471</x:v>
      </x:c>
      <x:c r="AF213" s="40" t="n">
        <x:f>AD213-AE213</x:f>
        <x:v>0</x:v>
      </x:c>
      <x:c r="AG213" s="42" t="n">
        <x:f>(O213+S213)/'Inputs &amp; Summary'!$B$4</x:f>
        <x:v>0.5999999999999999</x:v>
      </x:c>
      <x:c r="AH213" s="40" t="n">
        <x:f>U213-O213-S213</x:f>
        <x:v>46888.26920181926</x:v>
      </x:c>
      <x:c r="AI213" s="40" t="n">
        <x:f>AC213-Y213</x:f>
        <x:v>9203.761694207671</x:v>
      </x:c>
      <x:c r="AJ213" s="40" t="n">
        <x:f>AH213-AI213</x:f>
        <x:v>37684.50750761159</x:v>
      </x:c>
    </x:row>
    <x:row r="214">
      <x:c r="A214" t="n">
        <x:f>A213+1</x:f>
        <x:v>210</x:v>
      </x:c>
      <x:c r="B214" t="n">
        <x:f>INT((A214-1)/12)+1</x:f>
        <x:v>18</x:v>
      </x:c>
      <x:c r="C214" t="n">
        <x:f>MOD(A214-1,12)+1</x:f>
        <x:v>6</x:v>
      </x:c>
      <x:c r="D214" s="40" t="n">
        <x:f>O213</x:f>
        <x:v>122424.26181359387</x:v>
      </x:c>
      <x:c r="E214" s="40" t="n">
        <x:f>D214*'Inputs &amp; Summary'!$B$15</x:f>
        <x:v>454.8452563473665</x:v>
      </x:c>
      <x:c r="F214" s="40" t="n">
        <x:f>IF(D214&lt;=0.00000001,0,MIN('Inputs &amp; Summary'!$B$18,D214+E214))</x:f>
        <x:v>2324.586407999052</x:v>
      </x:c>
      <x:c r="G214" s="40" t="n">
        <x:f>IF(ABS(MAX(0,D214+E214-F214))&lt;0.00000001,0,MAX(0,D214+E214-F214))</x:f>
        <x:v>120554.52066194218</x:v>
      </x:c>
      <x:c r="H214" s="40" t="n">
        <x:f>MAX(0,'Inputs &amp; Summary'!$B$18-F214)</x:f>
        <x:v>0</x:v>
      </x:c>
      <x:c r="I214" s="40" t="n">
        <x:f>S213</x:f>
        <x:v>297575.7381864061</x:v>
      </x:c>
      <x:c r="J214" s="40" t="n">
        <x:f>I214*'Inputs &amp; Summary'!$B$16</x:f>
        <x:v>1611.868581843033</x:v>
      </x:c>
      <x:c r="K214" s="40" t="n">
        <x:f>IF(C214=1,J214,K213+J214)</x:f>
        <x:v>9520.60227742423</x:v>
      </x:c>
      <x:c r="L214" s="40" t="n">
        <x:f>IF(C214=12,K214*'Inputs &amp; Summary'!$B$11*'Inputs &amp; Summary'!$B$12,0)</x:f>
        <x:v>0</x:v>
      </x:c>
      <x:c r="M214" s="40" t="n">
        <x:f>MIN(L214,G214)</x:f>
        <x:v>0</x:v>
      </x:c>
      <x:c r="N214" s="40" t="n">
        <x:f>MAX(0,L214-M214)</x:f>
        <x:v>0</x:v>
      </x:c>
      <x:c r="O214" s="40" t="n">
        <x:f>IF(ABS(MAX(0,G214-M214))&lt;0.00000001,0,MAX(0,G214-M214))</x:f>
        <x:v>120554.52066194218</x:v>
      </x:c>
      <x:c r="P214" s="40" t="n">
        <x:f>MAX(0,D214-O214)</x:f>
        <x:v>1869.7411516516877</x:v>
      </x:c>
      <x:c r="Q214" s="40" t="n">
        <x:f>MAX(0,'Inputs &amp; Summary'!$B$19*'Inputs &amp; Summary'!$B$4-O214-I214)</x:f>
        <x:v>36869.74115165172</x:v>
      </x:c>
      <x:c r="R214" s="40" t="n">
        <x:f>MIN(P214,Q214)</x:f>
        <x:v>1869.7411516516877</x:v>
      </x:c>
      <x:c r="S214" s="40" t="n">
        <x:f>I214+R214</x:f>
        <x:v>299445.4793380578</x:v>
      </x:c>
      <x:c r="T214" s="40" t="n">
        <x:f>U213</x:f>
        <x:v>466888.2692018192</x:v>
      </x:c>
      <x:c r="U214" s="40" t="n">
        <x:f>T214*(1+'Inputs &amp; Summary'!$B$17)+R214+N214+H214</x:f>
        <x:v>471030.6126121762</x:v>
      </x:c>
      <x:c r="V214" s="40" t="n">
        <x:f>Y213</x:f>
        <x:v>179209.18454819435</x:v>
      </x:c>
      <x:c r="W214" s="40" t="n">
        <x:f>V214*'Inputs &amp; Summary'!$B$15</x:f>
        <x:v>665.8193913371418</x:v>
      </x:c>
      <x:c r="X214" s="40" t="n">
        <x:f>IF(V214&lt;=0.00000001,0,MIN('Inputs &amp; Summary'!$B$18,V214+W214))</x:f>
        <x:v>2324.586407999052</x:v>
      </x:c>
      <x:c r="Y214" s="40" t="n">
        <x:f>IF(ABS(MAX(0,V214+W214-X214))&lt;0.00000001,0,MAX(0,V214+W214-X214))</x:f>
        <x:v>177550.41753153244</x:v>
      </x:c>
      <x:c r="Z214" s="40" t="n">
        <x:f>MAX(0,'Inputs &amp; Summary'!$B$18-X214)</x:f>
        <x:v>0</x:v>
      </x:c>
      <x:c r="AA214" s="40" t="n">
        <x:f>AC213</x:f>
        <x:v>188412.94624240202</x:v>
      </x:c>
      <x:c r="AB214" s="40" t="n">
        <x:f>J214</x:f>
        <x:v>1611.868581843033</x:v>
      </x:c>
      <x:c r="AC214" s="40" t="n">
        <x:f>AA214*(1+'Inputs &amp; Summary'!$B$17)+Z214+AB214</x:f>
        <x:v>190941.9243672452</x:v>
      </x:c>
      <x:c r="AD214" s="40" t="n">
        <x:f>F214+H214+J214</x:f>
        <x:v>3936.454989842085</x:v>
      </x:c>
      <x:c r="AE214" s="40" t="n">
        <x:f>X214+Z214+AB214</x:f>
        <x:v>3936.454989842085</x:v>
      </x:c>
      <x:c r="AF214" s="40" t="n">
        <x:f>AD214-AE214</x:f>
        <x:v>0</x:v>
      </x:c>
      <x:c r="AG214" s="42" t="n">
        <x:f>(O214+S214)/'Inputs &amp; Summary'!$B$4</x:f>
        <x:v>0.6</x:v>
      </x:c>
      <x:c r="AH214" s="40" t="n">
        <x:f>U214-O214-S214</x:f>
        <x:v>51030.61261217622</x:v>
      </x:c>
      <x:c r="AI214" s="40" t="n">
        <x:f>AC214-Y214</x:f>
        <x:v>13391.50683571276</x:v>
      </x:c>
      <x:c r="AJ214" s="40" t="n">
        <x:f>AH214-AI214</x:f>
        <x:v>37639.10577646346</x:v>
      </x:c>
    </x:row>
    <x:row r="215">
      <x:c r="A215" t="n">
        <x:f>A214+1</x:f>
        <x:v>211</x:v>
      </x:c>
      <x:c r="B215" t="n">
        <x:f>INT((A215-1)/12)+1</x:f>
        <x:v>18</x:v>
      </x:c>
      <x:c r="C215" t="n">
        <x:f>MOD(A215-1,12)+1</x:f>
        <x:v>7</x:v>
      </x:c>
      <x:c r="D215" s="40" t="n">
        <x:f>O214</x:f>
        <x:v>120554.52066194218</x:v>
      </x:c>
      <x:c r="E215" s="40" t="n">
        <x:f>D215*'Inputs &amp; Summary'!$B$15</x:f>
        <x:v>447.8985704468124</x:v>
      </x:c>
      <x:c r="F215" s="40" t="n">
        <x:f>IF(D215&lt;=0.00000001,0,MIN('Inputs &amp; Summary'!$B$18,D215+E215))</x:f>
        <x:v>2324.586407999052</x:v>
      </x:c>
      <x:c r="G215" s="40" t="n">
        <x:f>IF(ABS(MAX(0,D215+E215-F215))&lt;0.00000001,0,MAX(0,D215+E215-F215))</x:f>
        <x:v>118677.83282438993</x:v>
      </x:c>
      <x:c r="H215" s="40" t="n">
        <x:f>MAX(0,'Inputs &amp; Summary'!$B$18-F215)</x:f>
        <x:v>0</x:v>
      </x:c>
      <x:c r="I215" s="40" t="n">
        <x:f>S214</x:f>
        <x:v>299445.4793380578</x:v>
      </x:c>
      <x:c r="J215" s="40" t="n">
        <x:f>I215*'Inputs &amp; Summary'!$B$16</x:f>
        <x:v>1621.9963464144798</x:v>
      </x:c>
      <x:c r="K215" s="40" t="n">
        <x:f>IF(C215=1,J215,K214+J215)</x:f>
        <x:v>11142.59862383871</x:v>
      </x:c>
      <x:c r="L215" s="40" t="n">
        <x:f>IF(C215=12,K215*'Inputs &amp; Summary'!$B$11*'Inputs &amp; Summary'!$B$12,0)</x:f>
        <x:v>0</x:v>
      </x:c>
      <x:c r="M215" s="40" t="n">
        <x:f>MIN(L215,G215)</x:f>
        <x:v>0</x:v>
      </x:c>
      <x:c r="N215" s="40" t="n">
        <x:f>MAX(0,L215-M215)</x:f>
        <x:v>0</x:v>
      </x:c>
      <x:c r="O215" s="40" t="n">
        <x:f>IF(ABS(MAX(0,G215-M215))&lt;0.00000001,0,MAX(0,G215-M215))</x:f>
        <x:v>118677.83282438993</x:v>
      </x:c>
      <x:c r="P215" s="40" t="n">
        <x:f>MAX(0,D215-O215)</x:f>
        <x:v>1876.6878375522501</x:v>
      </x:c>
      <x:c r="Q215" s="40" t="n">
        <x:f>MAX(0,'Inputs &amp; Summary'!$B$19*'Inputs &amp; Summary'!$B$4-O215-I215)</x:f>
        <x:v>36876.68783755228</x:v>
      </x:c>
      <x:c r="R215" s="40" t="n">
        <x:f>MIN(P215,Q215)</x:f>
        <x:v>1876.6878375522501</x:v>
      </x:c>
      <x:c r="S215" s="40" t="n">
        <x:f>I215+R215</x:f>
        <x:v>301322.1671756101</x:v>
      </x:c>
      <x:c r="T215" s="40" t="n">
        <x:f>U214</x:f>
        <x:v>471030.6126121762</x:v>
      </x:c>
      <x:c r="U215" s="40" t="n">
        <x:f>T215*(1+'Inputs &amp; Summary'!$B$17)+R215+N215+H215</x:f>
        <x:v>475200.06577444274</x:v>
      </x:c>
      <x:c r="V215" s="40" t="n">
        <x:f>Y214</x:f>
        <x:v>177550.41753153244</x:v>
      </x:c>
      <x:c r="W215" s="40" t="n">
        <x:f>V215*'Inputs &amp; Summary'!$B$15</x:f>
        <x:v>659.6565417700933</x:v>
      </x:c>
      <x:c r="X215" s="40" t="n">
        <x:f>IF(V215&lt;=0.00000001,0,MIN('Inputs &amp; Summary'!$B$18,V215+W215))</x:f>
        <x:v>2324.586407999052</x:v>
      </x:c>
      <x:c r="Y215" s="40" t="n">
        <x:f>IF(ABS(MAX(0,V215+W215-X215))&lt;0.00000001,0,MAX(0,V215+W215-X215))</x:f>
        <x:v>175885.4876653035</x:v>
      </x:c>
      <x:c r="Z215" s="40" t="n">
        <x:f>MAX(0,'Inputs &amp; Summary'!$B$18-X215)</x:f>
        <x:v>0</x:v>
      </x:c>
      <x:c r="AA215" s="40" t="n">
        <x:f>AC214</x:f>
        <x:v>190941.9243672452</x:v>
      </x:c>
      <x:c r="AB215" s="40" t="n">
        <x:f>J215</x:f>
        <x:v>1621.9963464144798</x:v>
      </x:c>
      <x:c r="AC215" s="40" t="n">
        <x:f>AA215*(1+'Inputs &amp; Summary'!$B$17)+Z215+AB215</x:f>
        <x:v>193493.34018556113</x:v>
      </x:c>
      <x:c r="AD215" s="40" t="n">
        <x:f>F215+H215+J215</x:f>
        <x:v>3946.582754413532</x:v>
      </x:c>
      <x:c r="AE215" s="40" t="n">
        <x:f>X215+Z215+AB215</x:f>
        <x:v>3946.582754413532</x:v>
      </x:c>
      <x:c r="AF215" s="40" t="n">
        <x:f>AD215-AE215</x:f>
        <x:v>0</x:v>
      </x:c>
      <x:c r="AG215" s="42" t="n">
        <x:f>(O215+S215)/'Inputs &amp; Summary'!$B$4</x:f>
        <x:v>0.6</x:v>
      </x:c>
      <x:c r="AH215" s="40" t="n">
        <x:f>U215-O215-S215</x:f>
        <x:v>55200.065774442744</x:v>
      </x:c>
      <x:c r="AI215" s="40" t="n">
        <x:f>AC215-Y215</x:f>
        <x:v>17607.852520257642</x:v>
      </x:c>
      <x:c r="AJ215" s="40" t="n">
        <x:f>AH215-AI215</x:f>
        <x:v>37592.2132541851</x:v>
      </x:c>
    </x:row>
    <x:row r="216">
      <x:c r="A216" t="n">
        <x:f>A215+1</x:f>
        <x:v>212</x:v>
      </x:c>
      <x:c r="B216" t="n">
        <x:f>INT((A216-1)/12)+1</x:f>
        <x:v>18</x:v>
      </x:c>
      <x:c r="C216" t="n">
        <x:f>MOD(A216-1,12)+1</x:f>
        <x:v>8</x:v>
      </x:c>
      <x:c r="D216" s="40" t="n">
        <x:f>O215</x:f>
        <x:v>118677.83282438993</x:v>
      </x:c>
      <x:c r="E216" s="40" t="n">
        <x:f>D216*'Inputs &amp; Summary'!$B$15</x:f>
        <x:v>440.92607538815196</x:v>
      </x:c>
      <x:c r="F216" s="40" t="n">
        <x:f>IF(D216&lt;=0.00000001,0,MIN('Inputs &amp; Summary'!$B$18,D216+E216))</x:f>
        <x:v>2324.586407999052</x:v>
      </x:c>
      <x:c r="G216" s="40" t="n">
        <x:f>IF(ABS(MAX(0,D216+E216-F216))&lt;0.00000001,0,MAX(0,D216+E216-F216))</x:f>
        <x:v>116794.17249177903</x:v>
      </x:c>
      <x:c r="H216" s="40" t="n">
        <x:f>MAX(0,'Inputs &amp; Summary'!$B$18-F216)</x:f>
        <x:v>0</x:v>
      </x:c>
      <x:c r="I216" s="40" t="n">
        <x:f>S215</x:f>
        <x:v>301322.1671756101</x:v>
      </x:c>
      <x:c r="J216" s="40" t="n">
        <x:f>I216*'Inputs &amp; Summary'!$B$16</x:f>
        <x:v>1632.161738867888</x:v>
      </x:c>
      <x:c r="K216" s="40" t="n">
        <x:f>IF(C216=1,J216,K215+J216)</x:f>
        <x:v>12774.760362706598</x:v>
      </x:c>
      <x:c r="L216" s="40" t="n">
        <x:f>IF(C216=12,K216*'Inputs &amp; Summary'!$B$11*'Inputs &amp; Summary'!$B$12,0)</x:f>
        <x:v>0</x:v>
      </x:c>
      <x:c r="M216" s="40" t="n">
        <x:f>MIN(L216,G216)</x:f>
        <x:v>0</x:v>
      </x:c>
      <x:c r="N216" s="40" t="n">
        <x:f>MAX(0,L216-M216)</x:f>
        <x:v>0</x:v>
      </x:c>
      <x:c r="O216" s="40" t="n">
        <x:f>IF(ABS(MAX(0,G216-M216))&lt;0.00000001,0,MAX(0,G216-M216))</x:f>
        <x:v>116794.17249177903</x:v>
      </x:c>
      <x:c r="P216" s="40" t="n">
        <x:f>MAX(0,D216-O216)</x:f>
        <x:v>1883.6603326109034</x:v>
      </x:c>
      <x:c r="Q216" s="40" t="n">
        <x:f>MAX(0,'Inputs &amp; Summary'!$B$19*'Inputs &amp; Summary'!$B$4-O216-I216)</x:f>
        <x:v>36883.66033261089</x:v>
      </x:c>
      <x:c r="R216" s="40" t="n">
        <x:f>MIN(P216,Q216)</x:f>
        <x:v>1883.6603326109034</x:v>
      </x:c>
      <x:c r="S216" s="40" t="n">
        <x:f>I216+R216</x:f>
        <x:v>303205.827508221</x:v>
      </x:c>
      <x:c r="T216" s="40" t="n">
        <x:f>U215</x:f>
        <x:v>475200.06577444274</x:v>
      </x:c>
      <x:c r="U216" s="40" t="n">
        <x:f>T216*(1+'Inputs &amp; Summary'!$B$17)+R216+N216+H216</x:f>
        <x:v>479396.7864558651</x:v>
      </x:c>
      <x:c r="V216" s="40" t="n">
        <x:f>Y215</x:f>
        <x:v>175885.4876653035</x:v>
      </x:c>
      <x:c r="W216" s="40" t="n">
        <x:f>V216*'Inputs &amp; Summary'!$B$15</x:f>
        <x:v>653.4707952474117</x:v>
      </x:c>
      <x:c r="X216" s="40" t="n">
        <x:f>IF(V216&lt;=0.00000001,0,MIN('Inputs &amp; Summary'!$B$18,V216+W216))</x:f>
        <x:v>2324.586407999052</x:v>
      </x:c>
      <x:c r="Y216" s="40" t="n">
        <x:f>IF(ABS(MAX(0,V216+W216-X216))&lt;0.00000001,0,MAX(0,V216+W216-X216))</x:f>
        <x:v>174214.37205255186</x:v>
      </x:c>
      <x:c r="Z216" s="40" t="n">
        <x:f>MAX(0,'Inputs &amp; Summary'!$B$18-X216)</x:f>
        <x:v>0</x:v>
      </x:c>
      <x:c r="AA216" s="40" t="n">
        <x:f>AC215</x:f>
        <x:v>193493.34018556113</x:v>
      </x:c>
      <x:c r="AB216" s="40" t="n">
        <x:f>J216</x:f>
        <x:v>1632.161738867888</x:v>
      </x:c>
      <x:c r="AC216" s="40" t="n">
        <x:f>AA216*(1+'Inputs &amp; Summary'!$B$17)+Z216+AB216</x:f>
        <x:v>196067.34054183937</x:v>
      </x:c>
      <x:c r="AD216" s="40" t="n">
        <x:f>F216+H216+J216</x:f>
        <x:v>3956.7481468669403</x:v>
      </x:c>
      <x:c r="AE216" s="40" t="n">
        <x:f>X216+Z216+AB216</x:f>
        <x:v>3956.7481468669403</x:v>
      </x:c>
      <x:c r="AF216" s="40" t="n">
        <x:f>AD216-AE216</x:f>
        <x:v>0</x:v>
      </x:c>
      <x:c r="AG216" s="42" t="n">
        <x:f>(O216+S216)/'Inputs &amp; Summary'!$B$4</x:f>
        <x:v>0.6</x:v>
      </x:c>
      <x:c r="AH216" s="40" t="n">
        <x:f>U216-O216-S216</x:f>
        <x:v>59396.786455865076</x:v>
      </x:c>
      <x:c r="AI216" s="40" t="n">
        <x:f>AC216-Y216</x:f>
        <x:v>21852.96848928751</x:v>
      </x:c>
      <x:c r="AJ216" s="40" t="n">
        <x:f>AH216-AI216</x:f>
        <x:v>37543.81796657757</x:v>
      </x:c>
    </x:row>
    <x:row r="217">
      <x:c r="A217" t="n">
        <x:f>A216+1</x:f>
        <x:v>213</x:v>
      </x:c>
      <x:c r="B217" t="n">
        <x:f>INT((A217-1)/12)+1</x:f>
        <x:v>18</x:v>
      </x:c>
      <x:c r="C217" t="n">
        <x:f>MOD(A217-1,12)+1</x:f>
        <x:v>9</x:v>
      </x:c>
      <x:c r="D217" s="40" t="n">
        <x:f>O216</x:f>
        <x:v>116794.17249177903</x:v>
      </x:c>
      <x:c r="E217" s="40" t="n">
        <x:f>D217*'Inputs &amp; Summary'!$B$15</x:f>
        <x:v>433.9276752821148</x:v>
      </x:c>
      <x:c r="F217" s="40" t="n">
        <x:f>IF(D217&lt;=0.00000001,0,MIN('Inputs &amp; Summary'!$B$18,D217+E217))</x:f>
        <x:v>2324.586407999052</x:v>
      </x:c>
      <x:c r="G217" s="40" t="n">
        <x:f>IF(ABS(MAX(0,D217+E217-F217))&lt;0.00000001,0,MAX(0,D217+E217-F217))</x:f>
        <x:v>114903.51375906209</x:v>
      </x:c>
      <x:c r="H217" s="40" t="n">
        <x:f>MAX(0,'Inputs &amp; Summary'!$B$18-F217)</x:f>
        <x:v>0</x:v>
      </x:c>
      <x:c r="I217" s="40" t="n">
        <x:f>S216</x:f>
        <x:v>303205.827508221</x:v>
      </x:c>
      <x:c r="J217" s="40" t="n">
        <x:f>I217*'Inputs &amp; Summary'!$B$16</x:f>
        <x:v>1642.3648990028637</x:v>
      </x:c>
      <x:c r="K217" s="40" t="n">
        <x:f>IF(C217=1,J217,K216+J217)</x:f>
        <x:v>14417.125261709461</x:v>
      </x:c>
      <x:c r="L217" s="40" t="n">
        <x:f>IF(C217=12,K217*'Inputs &amp; Summary'!$B$11*'Inputs &amp; Summary'!$B$12,0)</x:f>
        <x:v>0</x:v>
      </x:c>
      <x:c r="M217" s="40" t="n">
        <x:f>MIN(L217,G217)</x:f>
        <x:v>0</x:v>
      </x:c>
      <x:c r="N217" s="40" t="n">
        <x:f>MAX(0,L217-M217)</x:f>
        <x:v>0</x:v>
      </x:c>
      <x:c r="O217" s="40" t="n">
        <x:f>IF(ABS(MAX(0,G217-M217))&lt;0.00000001,0,MAX(0,G217-M217))</x:f>
        <x:v>114903.51375906209</x:v>
      </x:c>
      <x:c r="P217" s="40" t="n">
        <x:f>MAX(0,D217-O217)</x:f>
        <x:v>1890.65873271694</x:v>
      </x:c>
      <x:c r="Q217" s="40" t="n">
        <x:f>MAX(0,'Inputs &amp; Summary'!$B$19*'Inputs &amp; Summary'!$B$4-O217-I217)</x:f>
        <x:v>36890.658732716925</x:v>
      </x:c>
      <x:c r="R217" s="40" t="n">
        <x:f>MIN(P217,Q217)</x:f>
        <x:v>1890.65873271694</x:v>
      </x:c>
      <x:c r="S217" s="40" t="n">
        <x:f>I217+R217</x:f>
        <x:v>305096.4862409379</x:v>
      </x:c>
      <x:c r="T217" s="40" t="n">
        <x:f>U216</x:f>
        <x:v>479396.7864558651</x:v>
      </x:c>
      <x:c r="U217" s="40" t="n">
        <x:f>T217*(1+'Inputs &amp; Summary'!$B$17)+R217+N217+H217</x:f>
        <x:v>483620.9332875189</x:v>
      </x:c>
      <x:c r="V217" s="40" t="n">
        <x:f>Y216</x:f>
        <x:v>174214.37205255186</x:v>
      </x:c>
      <x:c r="W217" s="40" t="n">
        <x:f>V217*'Inputs &amp; Summary'!$B$15</x:f>
        <x:v>647.2620666995897</x:v>
      </x:c>
      <x:c r="X217" s="40" t="n">
        <x:f>IF(V217&lt;=0.00000001,0,MIN('Inputs &amp; Summary'!$B$18,V217+W217))</x:f>
        <x:v>2324.586407999052</x:v>
      </x:c>
      <x:c r="Y217" s="40" t="n">
        <x:f>IF(ABS(MAX(0,V217+W217-X217))&lt;0.00000001,0,MAX(0,V217+W217-X217))</x:f>
        <x:v>172537.0477112524</x:v>
      </x:c>
      <x:c r="Z217" s="40" t="n">
        <x:f>MAX(0,'Inputs &amp; Summary'!$B$18-X217)</x:f>
        <x:v>0</x:v>
      </x:c>
      <x:c r="AA217" s="40" t="n">
        <x:f>AC216</x:f>
        <x:v>196067.34054183937</x:v>
      </x:c>
      <x:c r="AB217" s="40" t="n">
        <x:f>J217</x:f>
        <x:v>1642.3648990028637</x:v>
      </x:c>
      <x:c r="AC217" s="40" t="n">
        <x:f>AA217*(1+'Inputs &amp; Summary'!$B$17)+Z217+AB217</x:f>
        <x:v>198664.07313514195</x:v>
      </x:c>
      <x:c r="AD217" s="40" t="n">
        <x:f>F217+H217+J217</x:f>
        <x:v>3966.9513070019157</x:v>
      </x:c>
      <x:c r="AE217" s="40" t="n">
        <x:f>X217+Z217+AB217</x:f>
        <x:v>3966.9513070019157</x:v>
      </x:c>
      <x:c r="AF217" s="40" t="n">
        <x:f>AD217-AE217</x:f>
        <x:v>0</x:v>
      </x:c>
      <x:c r="AG217" s="42" t="n">
        <x:f>(O217+S217)/'Inputs &amp; Summary'!$B$4</x:f>
        <x:v>0.6</x:v>
      </x:c>
      <x:c r="AH217" s="40" t="n">
        <x:f>U217-O217-S217</x:f>
        <x:v>63620.933287518914</x:v>
      </x:c>
      <x:c r="AI217" s="40" t="n">
        <x:f>AC217-Y217</x:f>
        <x:v>26127.025423889543</x:v>
      </x:c>
      <x:c r="AJ217" s="40" t="n">
        <x:f>AH217-AI217</x:f>
        <x:v>37493.90786362937</x:v>
      </x:c>
    </x:row>
    <x:row r="218">
      <x:c r="A218" t="n">
        <x:f>A217+1</x:f>
        <x:v>214</x:v>
      </x:c>
      <x:c r="B218" t="n">
        <x:f>INT((A218-1)/12)+1</x:f>
        <x:v>18</x:v>
      </x:c>
      <x:c r="C218" t="n">
        <x:f>MOD(A218-1,12)+1</x:f>
        <x:v>10</x:v>
      </x:c>
      <x:c r="D218" s="40" t="n">
        <x:f>O217</x:f>
        <x:v>114903.51375906209</x:v>
      </x:c>
      <x:c r="E218" s="40" t="n">
        <x:f>D218*'Inputs &amp; Summary'!$B$15</x:f>
        <x:v>426.90327388317144</x:v>
      </x:c>
      <x:c r="F218" s="40" t="n">
        <x:f>IF(D218&lt;=0.00000001,0,MIN('Inputs &amp; Summary'!$B$18,D218+E218))</x:f>
        <x:v>2324.586407999052</x:v>
      </x:c>
      <x:c r="G218" s="40" t="n">
        <x:f>IF(ABS(MAX(0,D218+E218-F218))&lt;0.00000001,0,MAX(0,D218+E218-F218))</x:f>
        <x:v>113005.8306249462</x:v>
      </x:c>
      <x:c r="H218" s="40" t="n">
        <x:f>MAX(0,'Inputs &amp; Summary'!$B$18-F218)</x:f>
        <x:v>0</x:v>
      </x:c>
      <x:c r="I218" s="40" t="n">
        <x:f>S217</x:f>
        <x:v>305096.4862409379</x:v>
      </x:c>
      <x:c r="J218" s="40" t="n">
        <x:f>I218*'Inputs &amp; Summary'!$B$16</x:f>
        <x:v>1652.6059671384137</x:v>
      </x:c>
      <x:c r="K218" s="40" t="n">
        <x:f>IF(C218=1,J218,K217+J218)</x:f>
        <x:v>16069.731228847875</x:v>
      </x:c>
      <x:c r="L218" s="40" t="n">
        <x:f>IF(C218=12,K218*'Inputs &amp; Summary'!$B$11*'Inputs &amp; Summary'!$B$12,0)</x:f>
        <x:v>0</x:v>
      </x:c>
      <x:c r="M218" s="40" t="n">
        <x:f>MIN(L218,G218)</x:f>
        <x:v>0</x:v>
      </x:c>
      <x:c r="N218" s="40" t="n">
        <x:f>MAX(0,L218-M218)</x:f>
        <x:v>0</x:v>
      </x:c>
      <x:c r="O218" s="40" t="n">
        <x:f>IF(ABS(MAX(0,G218-M218))&lt;0.00000001,0,MAX(0,G218-M218))</x:f>
        <x:v>113005.8306249462</x:v>
      </x:c>
      <x:c r="P218" s="40" t="n">
        <x:f>MAX(0,D218-O218)</x:f>
        <x:v>1897.6831341158831</x:v>
      </x:c>
      <x:c r="Q218" s="40" t="n">
        <x:f>MAX(0,'Inputs &amp; Summary'!$B$19*'Inputs &amp; Summary'!$B$4-O218-I218)</x:f>
        <x:v>36897.68313411588</x:v>
      </x:c>
      <x:c r="R218" s="40" t="n">
        <x:f>MIN(P218,Q218)</x:f>
        <x:v>1897.6831341158831</x:v>
      </x:c>
      <x:c r="S218" s="40" t="n">
        <x:f>I218+R218</x:f>
        <x:v>306994.1693750538</x:v>
      </x:c>
      <x:c r="T218" s="40" t="n">
        <x:f>U217</x:f>
        <x:v>483620.9332875189</x:v>
      </x:c>
      <x:c r="U218" s="40" t="n">
        <x:f>T218*(1+'Inputs &amp; Summary'!$B$17)+R218+N218+H218</x:f>
        <x:v>487872.6657688702</x:v>
      </x:c>
      <x:c r="V218" s="40" t="n">
        <x:f>Y217</x:f>
        <x:v>172537.0477112524</x:v>
      </x:c>
      <x:c r="W218" s="40" t="n">
        <x:f>V218*'Inputs &amp; Summary'!$B$15</x:f>
        <x:v>641.0302707410593</x:v>
      </x:c>
      <x:c r="X218" s="40" t="n">
        <x:f>IF(V218&lt;=0.00000001,0,MIN('Inputs &amp; Summary'!$B$18,V218+W218))</x:f>
        <x:v>2324.586407999052</x:v>
      </x:c>
      <x:c r="Y218" s="40" t="n">
        <x:f>IF(ABS(MAX(0,V218+W218-X218))&lt;0.00000001,0,MAX(0,V218+W218-X218))</x:f>
        <x:v>170853.49157399443</x:v>
      </x:c>
      <x:c r="Z218" s="40" t="n">
        <x:f>MAX(0,'Inputs &amp; Summary'!$B$18-X218)</x:f>
        <x:v>0</x:v>
      </x:c>
      <x:c r="AA218" s="40" t="n">
        <x:f>AC217</x:f>
        <x:v>198664.07313514195</x:v>
      </x:c>
      <x:c r="AB218" s="40" t="n">
        <x:f>J218</x:f>
        <x:v>1652.6059671384137</x:v>
      </x:c>
      <x:c r="AC218" s="40" t="n">
        <x:f>AA218*(1+'Inputs &amp; Summary'!$B$17)+Z218+AB218</x:f>
        <x:v>201283.68652378267</x:v>
      </x:c>
      <x:c r="AD218" s="40" t="n">
        <x:f>F218+H218+J218</x:f>
        <x:v>3977.1923751374657</x:v>
      </x:c>
      <x:c r="AE218" s="40" t="n">
        <x:f>X218+Z218+AB218</x:f>
        <x:v>3977.1923751374657</x:v>
      </x:c>
      <x:c r="AF218" s="40" t="n">
        <x:f>AD218-AE218</x:f>
        <x:v>0</x:v>
      </x:c>
      <x:c r="AG218" s="42" t="n">
        <x:f>(O218+S218)/'Inputs &amp; Summary'!$B$4</x:f>
        <x:v>0.6</x:v>
      </x:c>
      <x:c r="AH218" s="40" t="n">
        <x:f>U218-O218-S218</x:f>
        <x:v>67872.66576887021</x:v>
      </x:c>
      <x:c r="AI218" s="40" t="n">
        <x:f>AC218-Y218</x:f>
        <x:v>30430.194949788245</x:v>
      </x:c>
      <x:c r="AJ218" s="40" t="n">
        <x:f>AH218-AI218</x:f>
        <x:v>37442.470819081966</x:v>
      </x:c>
    </x:row>
    <x:row r="219">
      <x:c r="A219" t="n">
        <x:f>A218+1</x:f>
        <x:v>215</x:v>
      </x:c>
      <x:c r="B219" t="n">
        <x:f>INT((A219-1)/12)+1</x:f>
        <x:v>18</x:v>
      </x:c>
      <x:c r="C219" t="n">
        <x:f>MOD(A219-1,12)+1</x:f>
        <x:v>11</x:v>
      </x:c>
      <x:c r="D219" s="40" t="n">
        <x:f>O218</x:f>
        <x:v>113005.8306249462</x:v>
      </x:c>
      <x:c r="E219" s="40" t="n">
        <x:f>D219*'Inputs &amp; Summary'!$B$15</x:f>
        <x:v>419.8527745882092</x:v>
      </x:c>
      <x:c r="F219" s="40" t="n">
        <x:f>IF(D219&lt;=0.00000001,0,MIN('Inputs &amp; Summary'!$B$18,D219+E219))</x:f>
        <x:v>2324.586407999052</x:v>
      </x:c>
      <x:c r="G219" s="40" t="n">
        <x:f>IF(ABS(MAX(0,D219+E219-F219))&lt;0.00000001,0,MAX(0,D219+E219-F219))</x:f>
        <x:v>111101.09699153535</x:v>
      </x:c>
      <x:c r="H219" s="40" t="n">
        <x:f>MAX(0,'Inputs &amp; Summary'!$B$18-F219)</x:f>
        <x:v>0</x:v>
      </x:c>
      <x:c r="I219" s="40" t="n">
        <x:f>S218</x:f>
        <x:v>306994.1693750538</x:v>
      </x:c>
      <x:c r="J219" s="40" t="n">
        <x:f>I219*'Inputs &amp; Summary'!$B$16</x:f>
        <x:v>1662.8850841148746</x:v>
      </x:c>
      <x:c r="K219" s="40" t="n">
        <x:f>IF(C219=1,J219,K218+J219)</x:f>
        <x:v>17732.61631296275</x:v>
      </x:c>
      <x:c r="L219" s="40" t="n">
        <x:f>IF(C219=12,K219*'Inputs &amp; Summary'!$B$11*'Inputs &amp; Summary'!$B$12,0)</x:f>
        <x:v>0</x:v>
      </x:c>
      <x:c r="M219" s="40" t="n">
        <x:f>MIN(L219,G219)</x:f>
        <x:v>0</x:v>
      </x:c>
      <x:c r="N219" s="40" t="n">
        <x:f>MAX(0,L219-M219)</x:f>
        <x:v>0</x:v>
      </x:c>
      <x:c r="O219" s="40" t="n">
        <x:f>IF(ABS(MAX(0,G219-M219))&lt;0.00000001,0,MAX(0,G219-M219))</x:f>
        <x:v>111101.09699153535</x:v>
      </x:c>
      <x:c r="P219" s="40" t="n">
        <x:f>MAX(0,D219-O219)</x:f>
        <x:v>1904.733633410855</x:v>
      </x:c>
      <x:c r="Q219" s="40" t="n">
        <x:f>MAX(0,'Inputs &amp; Summary'!$B$19*'Inputs &amp; Summary'!$B$4-O219-I219)</x:f>
        <x:v>36904.733633410884</x:v>
      </x:c>
      <x:c r="R219" s="40" t="n">
        <x:f>MIN(P219,Q219)</x:f>
        <x:v>1904.733633410855</x:v>
      </x:c>
      <x:c r="S219" s="40" t="n">
        <x:f>I219+R219</x:f>
        <x:v>308898.9030084646</x:v>
      </x:c>
      <x:c r="T219" s="40" t="n">
        <x:f>U218</x:f>
        <x:v>487872.6657688702</x:v>
      </x:c>
      <x:c r="U219" s="40" t="n">
        <x:f>T219*(1+'Inputs &amp; Summary'!$B$17)+R219+N219+H219</x:f>
        <x:v>492152.1442723598</x:v>
      </x:c>
      <x:c r="V219" s="40" t="n">
        <x:f>Y218</x:f>
        <x:v>170853.49157399443</x:v>
      </x:c>
      <x:c r="W219" s="40" t="n">
        <x:f>V219*'Inputs &amp; Summary'!$B$15</x:f>
        <x:v>634.7753216690179</x:v>
      </x:c>
      <x:c r="X219" s="40" t="n">
        <x:f>IF(V219&lt;=0.00000001,0,MIN('Inputs &amp; Summary'!$B$18,V219+W219))</x:f>
        <x:v>2324.586407999052</x:v>
      </x:c>
      <x:c r="Y219" s="40" t="n">
        <x:f>IF(ABS(MAX(0,V219+W219-X219))&lt;0.00000001,0,MAX(0,V219+W219-X219))</x:f>
        <x:v>169163.6804876644</x:v>
      </x:c>
      <x:c r="Z219" s="40" t="n">
        <x:f>MAX(0,'Inputs &amp; Summary'!$B$18-X219)</x:f>
        <x:v>0</x:v>
      </x:c>
      <x:c r="AA219" s="40" t="n">
        <x:f>AC218</x:f>
        <x:v>201283.68652378267</x:v>
      </x:c>
      <x:c r="AB219" s="40" t="n">
        <x:f>J219</x:f>
        <x:v>1662.8850841148746</x:v>
      </x:c>
      <x:c r="AC219" s="40" t="n">
        <x:f>AA219*(1+'Inputs &amp; Summary'!$B$17)+Z219+AB219</x:f>
        <x:v>203926.33013003072</x:v>
      </x:c>
      <x:c r="AD219" s="40" t="n">
        <x:f>F219+H219+J219</x:f>
        <x:v>3987.4714921139266</x:v>
      </x:c>
      <x:c r="AE219" s="40" t="n">
        <x:f>X219+Z219+AB219</x:f>
        <x:v>3987.4714921139266</x:v>
      </x:c>
      <x:c r="AF219" s="40" t="n">
        <x:f>AD219-AE219</x:f>
        <x:v>0</x:v>
      </x:c>
      <x:c r="AG219" s="42" t="n">
        <x:f>(O219+S219)/'Inputs &amp; Summary'!$B$4</x:f>
        <x:v>0.5999999999999999</x:v>
      </x:c>
      <x:c r="AH219" s="40" t="n">
        <x:f>U219-O219-S219</x:f>
        <x:v>72152.14427235984</x:v>
      </x:c>
      <x:c r="AI219" s="40" t="n">
        <x:f>AC219-Y219</x:f>
        <x:v>34762.649642366334</x:v>
      </x:c>
      <x:c r="AJ219" s="40" t="n">
        <x:f>AH219-AI219</x:f>
        <x:v>37389.49462999351</x:v>
      </x:c>
    </x:row>
    <x:row r="220">
      <x:c r="A220" t="n">
        <x:f>A219+1</x:f>
        <x:v>216</x:v>
      </x:c>
      <x:c r="B220" t="n">
        <x:f>INT((A220-1)/12)+1</x:f>
        <x:v>18</x:v>
      </x:c>
      <x:c r="C220" t="n">
        <x:f>MOD(A220-1,12)+1</x:f>
        <x:v>12</x:v>
      </x:c>
      <x:c r="D220" s="40" t="n">
        <x:f>O219</x:f>
        <x:v>111101.09699153535</x:v>
      </x:c>
      <x:c r="E220" s="40" t="n">
        <x:f>D220*'Inputs &amp; Summary'!$B$15</x:f>
        <x:v>412.7760804352042</x:v>
      </x:c>
      <x:c r="F220" s="40" t="n">
        <x:f>IF(D220&lt;=0.00000001,0,MIN('Inputs &amp; Summary'!$B$18,D220+E220))</x:f>
        <x:v>2324.586407999052</x:v>
      </x:c>
      <x:c r="G220" s="40" t="n">
        <x:f>IF(ABS(MAX(0,D220+E220-F220))&lt;0.00000001,0,MAX(0,D220+E220-F220))</x:f>
        <x:v>109189.28666397149</x:v>
      </x:c>
      <x:c r="H220" s="40" t="n">
        <x:f>MAX(0,'Inputs &amp; Summary'!$B$18-F220)</x:f>
        <x:v>0</x:v>
      </x:c>
      <x:c r="I220" s="40" t="n">
        <x:f>S219</x:f>
        <x:v>308898.9030084646</x:v>
      </x:c>
      <x:c r="J220" s="40" t="n">
        <x:f>I220*'Inputs &amp; Summary'!$B$16</x:f>
        <x:v>1673.20239129585</x:v>
      </x:c>
      <x:c r="K220" s="40" t="n">
        <x:f>IF(C220=1,J220,K219+J220)</x:f>
        <x:v>19405.8187042586</x:v>
      </x:c>
      <x:c r="L220" s="40" t="n">
        <x:f>IF(C220=12,K220*'Inputs &amp; Summary'!$B$11*'Inputs &amp; Summary'!$B$12,0)</x:f>
        <x:v>6792.03654649051</x:v>
      </x:c>
      <x:c r="M220" s="40" t="n">
        <x:f>MIN(L220,G220)</x:f>
        <x:v>6792.03654649051</x:v>
      </x:c>
      <x:c r="N220" s="40" t="n">
        <x:f>MAX(0,L220-M220)</x:f>
        <x:v>0</x:v>
      </x:c>
      <x:c r="O220" s="40" t="n">
        <x:f>IF(ABS(MAX(0,G220-M220))&lt;0.00000001,0,MAX(0,G220-M220))</x:f>
        <x:v>102397.25011748099</x:v>
      </x:c>
      <x:c r="P220" s="40" t="n">
        <x:f>MAX(0,D220-O220)</x:f>
        <x:v>8703.846874054361</x:v>
      </x:c>
      <x:c r="Q220" s="40" t="n">
        <x:f>MAX(0,'Inputs &amp; Summary'!$B$19*'Inputs &amp; Summary'!$B$4-O220-I220)</x:f>
        <x:v>43703.846874054405</x:v>
      </x:c>
      <x:c r="R220" s="40" t="n">
        <x:f>MIN(P220,Q220)</x:f>
        <x:v>8703.846874054361</x:v>
      </x:c>
      <x:c r="S220" s="40" t="n">
        <x:f>I220+R220</x:f>
        <x:v>317602.74988251895</x:v>
      </x:c>
      <x:c r="T220" s="40" t="n">
        <x:f>U219</x:f>
        <x:v>492152.1442723598</x:v>
      </x:c>
      <x:c r="U220" s="40" t="n">
        <x:f>T220*(1+'Inputs &amp; Summary'!$B$17)+R220+N220+H220</x:f>
        <x:v>503251.56659450184</x:v>
      </x:c>
      <x:c r="V220" s="40" t="n">
        <x:f>Y219</x:f>
        <x:v>169163.6804876644</x:v>
      </x:c>
      <x:c r="W220" s="40" t="n">
        <x:f>V220*'Inputs &amp; Summary'!$B$15</x:f>
        <x:v>628.4971334622497</x:v>
      </x:c>
      <x:c r="X220" s="40" t="n">
        <x:f>IF(V220&lt;=0.00000001,0,MIN('Inputs &amp; Summary'!$B$18,V220+W220))</x:f>
        <x:v>2324.586407999052</x:v>
      </x:c>
      <x:c r="Y220" s="40" t="n">
        <x:f>IF(ABS(MAX(0,V220+W220-X220))&lt;0.00000001,0,MAX(0,V220+W220-X220))</x:f>
        <x:v>167467.5912131276</x:v>
      </x:c>
      <x:c r="Z220" s="40" t="n">
        <x:f>MAX(0,'Inputs &amp; Summary'!$B$18-X220)</x:f>
        <x:v>0</x:v>
      </x:c>
      <x:c r="AA220" s="40" t="n">
        <x:f>AC219</x:f>
        <x:v>203926.33013003072</x:v>
      </x:c>
      <x:c r="AB220" s="40" t="n">
        <x:f>J220</x:f>
        <x:v>1673.20239129585</x:v>
      </x:c>
      <x:c r="AC220" s="40" t="n">
        <x:f>AA220*(1+'Inputs &amp; Summary'!$B$17)+Z220+AB220</x:f>
        <x:v>206592.15424483933</x:v>
      </x:c>
      <x:c r="AD220" s="40" t="n">
        <x:f>F220+H220+J220</x:f>
        <x:v>3997.7887992949018</x:v>
      </x:c>
      <x:c r="AE220" s="40" t="n">
        <x:f>X220+Z220+AB220</x:f>
        <x:v>3997.7887992949018</x:v>
      </x:c>
      <x:c r="AF220" s="40" t="n">
        <x:f>AD220-AE220</x:f>
        <x:v>0</x:v>
      </x:c>
      <x:c r="AG220" s="42" t="n">
        <x:f>(O220+S220)/'Inputs &amp; Summary'!$B$4</x:f>
        <x:v>0.5999999999999999</x:v>
      </x:c>
      <x:c r="AH220" s="40" t="n">
        <x:f>U220-O220-S220</x:f>
        <x:v>83251.5665945019</x:v>
      </x:c>
      <x:c r="AI220" s="40" t="n">
        <x:f>AC220-Y220</x:f>
        <x:v>39124.56303171173</x:v>
      </x:c>
      <x:c r="AJ220" s="40" t="n">
        <x:f>AH220-AI220</x:f>
        <x:v>44127.00356279017</x:v>
      </x:c>
    </x:row>
    <x:row r="221">
      <x:c r="A221" t="n">
        <x:f>A220+1</x:f>
        <x:v>217</x:v>
      </x:c>
      <x:c r="B221" t="n">
        <x:f>INT((A221-1)/12)+1</x:f>
        <x:v>19</x:v>
      </x:c>
      <x:c r="C221" t="n">
        <x:f>MOD(A221-1,12)+1</x:f>
        <x:v>1</x:v>
      </x:c>
      <x:c r="D221" s="40" t="n">
        <x:f>O220</x:f>
        <x:v>102397.25011748099</x:v>
      </x:c>
      <x:c r="E221" s="40" t="n">
        <x:f>D221*'Inputs &amp; Summary'!$B$15</x:f>
        <x:v>380.4385077679056</x:v>
      </x:c>
      <x:c r="F221" s="40" t="n">
        <x:f>IF(D221&lt;=0.00000001,0,MIN('Inputs &amp; Summary'!$B$18,D221+E221))</x:f>
        <x:v>2324.586407999052</x:v>
      </x:c>
      <x:c r="G221" s="40" t="n">
        <x:f>IF(ABS(MAX(0,D221+E221-F221))&lt;0.00000001,0,MAX(0,D221+E221-F221))</x:f>
        <x:v>100453.10221724983</x:v>
      </x:c>
      <x:c r="H221" s="40" t="n">
        <x:f>MAX(0,'Inputs &amp; Summary'!$B$18-F221)</x:f>
        <x:v>0</x:v>
      </x:c>
      <x:c r="I221" s="40" t="n">
        <x:f>S220</x:f>
        <x:v>317602.74988251895</x:v>
      </x:c>
      <x:c r="J221" s="40" t="n">
        <x:f>I221*'Inputs &amp; Summary'!$B$16</x:f>
        <x:v>1720.348228530311</x:v>
      </x:c>
      <x:c r="K221" s="40" t="n">
        <x:f>IF(C221=1,J221,K220+J221)</x:f>
        <x:v>1720.348228530311</x:v>
      </x:c>
      <x:c r="L221" s="40" t="n">
        <x:f>IF(C221=12,K221*'Inputs &amp; Summary'!$B$11*'Inputs &amp; Summary'!$B$12,0)</x:f>
        <x:v>0</x:v>
      </x:c>
      <x:c r="M221" s="40" t="n">
        <x:f>MIN(L221,G221)</x:f>
        <x:v>0</x:v>
      </x:c>
      <x:c r="N221" s="40" t="n">
        <x:f>MAX(0,L221-M221)</x:f>
        <x:v>0</x:v>
      </x:c>
      <x:c r="O221" s="40" t="n">
        <x:f>IF(ABS(MAX(0,G221-M221))&lt;0.00000001,0,MAX(0,G221-M221))</x:f>
        <x:v>100453.10221724983</x:v>
      </x:c>
      <x:c r="P221" s="40" t="n">
        <x:f>MAX(0,D221-O221)</x:f>
        <x:v>1944.1479002311535</x:v>
      </x:c>
      <x:c r="Q221" s="40" t="n">
        <x:f>MAX(0,'Inputs &amp; Summary'!$B$19*'Inputs &amp; Summary'!$B$4-O221-I221)</x:f>
        <x:v>36944.14790023124</x:v>
      </x:c>
      <x:c r="R221" s="40" t="n">
        <x:f>MIN(P221,Q221)</x:f>
        <x:v>1944.1479002311535</x:v>
      </x:c>
      <x:c r="S221" s="40" t="n">
        <x:f>I221+R221</x:f>
        <x:v>319546.8977827501</x:v>
      </x:c>
      <x:c r="T221" s="40" t="n">
        <x:f>U220</x:f>
        <x:v>503251.56659450184</x:v>
      </x:c>
      <x:c r="U221" s="40" t="n">
        <x:f>T221*(1+'Inputs &amp; Summary'!$B$17)+R221+N221+H221</x:f>
        <x:v>507645.31694221986</x:v>
      </x:c>
      <x:c r="V221" s="40" t="n">
        <x:f>Y220</x:f>
        <x:v>167467.5912131276</x:v>
      </x:c>
      <x:c r="W221" s="40" t="n">
        <x:f>V221*'Inputs &amp; Summary'!$B$15</x:f>
        <x:v>622.1956197799426</x:v>
      </x:c>
      <x:c r="X221" s="40" t="n">
        <x:f>IF(V221&lt;=0.00000001,0,MIN('Inputs &amp; Summary'!$B$18,V221+W221))</x:f>
        <x:v>2324.586407999052</x:v>
      </x:c>
      <x:c r="Y221" s="40" t="n">
        <x:f>IF(ABS(MAX(0,V221+W221-X221))&lt;0.00000001,0,MAX(0,V221+W221-X221))</x:f>
        <x:v>165765.2004249085</x:v>
      </x:c>
      <x:c r="Z221" s="40" t="n">
        <x:f>MAX(0,'Inputs &amp; Summary'!$B$18-X221)</x:f>
        <x:v>0</x:v>
      </x:c>
      <x:c r="AA221" s="40" t="n">
        <x:f>AC220</x:f>
        <x:v>206592.15424483933</x:v>
      </x:c>
      <x:c r="AB221" s="40" t="n">
        <x:f>J221</x:f>
        <x:v>1720.348228530311</x:v>
      </x:c>
      <x:c r="AC221" s="40" t="n">
        <x:f>AA221*(1+'Inputs &amp; Summary'!$B$17)+Z221+AB221</x:f>
        <x:v>209318.10023055956</x:v>
      </x:c>
      <x:c r="AD221" s="40" t="n">
        <x:f>F221+H221+J221</x:f>
        <x:v>4044.934636529363</x:v>
      </x:c>
      <x:c r="AE221" s="40" t="n">
        <x:f>X221+Z221+AB221</x:f>
        <x:v>4044.934636529363</x:v>
      </x:c>
      <x:c r="AF221" s="40" t="n">
        <x:f>AD221-AE221</x:f>
        <x:v>0</x:v>
      </x:c>
      <x:c r="AG221" s="42" t="n">
        <x:f>(O221+S221)/'Inputs &amp; Summary'!$B$4</x:f>
        <x:v>0.5999999999999999</x:v>
      </x:c>
      <x:c r="AH221" s="40" t="n">
        <x:f>U221-O221-S221</x:f>
        <x:v>87645.31694221997</x:v>
      </x:c>
      <x:c r="AI221" s="40" t="n">
        <x:f>AC221-Y221</x:f>
        <x:v>43552.899805651075</x:v>
      </x:c>
      <x:c r="AJ221" s="40" t="n">
        <x:f>AH221-AI221</x:f>
        <x:v>44092.417136568896</x:v>
      </x:c>
    </x:row>
    <x:row r="222">
      <x:c r="A222" t="n">
        <x:f>A221+1</x:f>
        <x:v>218</x:v>
      </x:c>
      <x:c r="B222" t="n">
        <x:f>INT((A222-1)/12)+1</x:f>
        <x:v>19</x:v>
      </x:c>
      <x:c r="C222" t="n">
        <x:f>MOD(A222-1,12)+1</x:f>
        <x:v>2</x:v>
      </x:c>
      <x:c r="D222" s="40" t="n">
        <x:f>O221</x:f>
        <x:v>100453.10221724983</x:v>
      </x:c>
      <x:c r="E222" s="40" t="n">
        <x:f>D222*'Inputs &amp; Summary'!$B$15</x:f>
        <x:v>373.2153770178565</x:v>
      </x:c>
      <x:c r="F222" s="40" t="n">
        <x:f>IF(D222&lt;=0.00000001,0,MIN('Inputs &amp; Summary'!$B$18,D222+E222))</x:f>
        <x:v>2324.586407999052</x:v>
      </x:c>
      <x:c r="G222" s="40" t="n">
        <x:f>IF(ABS(MAX(0,D222+E222-F222))&lt;0.00000001,0,MAX(0,D222+E222-F222))</x:f>
        <x:v>98501.73118626863</x:v>
      </x:c>
      <x:c r="H222" s="40" t="n">
        <x:f>MAX(0,'Inputs &amp; Summary'!$B$18-F222)</x:f>
        <x:v>0</x:v>
      </x:c>
      <x:c r="I222" s="40" t="n">
        <x:f>S221</x:f>
        <x:v>319546.8977827501</x:v>
      </x:c>
      <x:c r="J222" s="40" t="n">
        <x:f>I222*'Inputs &amp; Summary'!$B$16</x:f>
        <x:v>1730.879029656563</x:v>
      </x:c>
      <x:c r="K222" s="40" t="n">
        <x:f>IF(C222=1,J222,K221+J222)</x:f>
        <x:v>3451.2272581868738</x:v>
      </x:c>
      <x:c r="L222" s="40" t="n">
        <x:f>IF(C222=12,K222*'Inputs &amp; Summary'!$B$11*'Inputs &amp; Summary'!$B$12,0)</x:f>
        <x:v>0</x:v>
      </x:c>
      <x:c r="M222" s="40" t="n">
        <x:f>MIN(L222,G222)</x:f>
        <x:v>0</x:v>
      </x:c>
      <x:c r="N222" s="40" t="n">
        <x:f>MAX(0,L222-M222)</x:f>
        <x:v>0</x:v>
      </x:c>
      <x:c r="O222" s="40" t="n">
        <x:f>IF(ABS(MAX(0,G222-M222))&lt;0.00000001,0,MAX(0,G222-M222))</x:f>
        <x:v>98501.73118626863</x:v>
      </x:c>
      <x:c r="P222" s="40" t="n">
        <x:f>MAX(0,D222-O222)</x:f>
        <x:v>1951.3710309812013</x:v>
      </x:c>
      <x:c r="Q222" s="40" t="n">
        <x:f>MAX(0,'Inputs &amp; Summary'!$B$19*'Inputs &amp; Summary'!$B$4-O222-I222)</x:f>
        <x:v>36951.3710309813</x:v>
      </x:c>
      <x:c r="R222" s="40" t="n">
        <x:f>MIN(P222,Q222)</x:f>
        <x:v>1951.3710309812013</x:v>
      </x:c>
      <x:c r="S222" s="40" t="n">
        <x:f>I222+R222</x:f>
        <x:v>321498.26881373127</x:v>
      </x:c>
      <x:c r="T222" s="40" t="n">
        <x:f>U221</x:f>
        <x:v>507645.31694221986</x:v>
      </x:c>
      <x:c r="U222" s="40" t="n">
        <x:f>T222*(1+'Inputs &amp; Summary'!$B$17)+R222+N222+H222</x:f>
        <x:v>512067.67722267687</x:v>
      </x:c>
      <x:c r="V222" s="40" t="n">
        <x:f>Y221</x:f>
        <x:v>165765.2004249085</x:v>
      </x:c>
      <x:c r="W222" s="40" t="n">
        <x:f>V222*'Inputs &amp; Summary'!$B$15</x:f>
        <x:v>615.8706939605007</x:v>
      </x:c>
      <x:c r="X222" s="40" t="n">
        <x:f>IF(V222&lt;=0.00000001,0,MIN('Inputs &amp; Summary'!$B$18,V222+W222))</x:f>
        <x:v>2324.586407999052</x:v>
      </x:c>
      <x:c r="Y222" s="40" t="n">
        <x:f>IF(ABS(MAX(0,V222+W222-X222))&lt;0.00000001,0,MAX(0,V222+W222-X222))</x:f>
        <x:v>164056.48471086993</x:v>
      </x:c>
      <x:c r="Z222" s="40" t="n">
        <x:f>MAX(0,'Inputs &amp; Summary'!$B$18-X222)</x:f>
        <x:v>0</x:v>
      </x:c>
      <x:c r="AA222" s="40" t="n">
        <x:f>AC221</x:f>
        <x:v>209318.10023055956</x:v>
      </x:c>
      <x:c r="AB222" s="40" t="n">
        <x:f>J222</x:f>
        <x:v>1730.879029656563</x:v>
      </x:c>
      <x:c r="AC222" s="40" t="n">
        <x:f>AA222*(1+'Inputs &amp; Summary'!$B$17)+Z222+AB222</x:f>
        <x:v>212067.8456973299</x:v>
      </x:c>
      <x:c r="AD222" s="40" t="n">
        <x:f>F222+H222+J222</x:f>
        <x:v>4055.465437655615</x:v>
      </x:c>
      <x:c r="AE222" s="40" t="n">
        <x:f>X222+Z222+AB222</x:f>
        <x:v>4055.465437655615</x:v>
      </x:c>
      <x:c r="AF222" s="40" t="n">
        <x:f>AD222-AE222</x:f>
        <x:v>0</x:v>
      </x:c>
      <x:c r="AG222" s="42" t="n">
        <x:f>(O222+S222)/'Inputs &amp; Summary'!$B$4</x:f>
        <x:v>0.5999999999999999</x:v>
      </x:c>
      <x:c r="AH222" s="40" t="n">
        <x:f>U222-O222-S222</x:f>
        <x:v>92067.67722267698</x:v>
      </x:c>
      <x:c r="AI222" s="40" t="n">
        <x:f>AC222-Y222</x:f>
        <x:v>48011.36098645997</x:v>
      </x:c>
      <x:c r="AJ222" s="40" t="n">
        <x:f>AH222-AI222</x:f>
        <x:v>44056.31623621701</x:v>
      </x:c>
    </x:row>
    <x:row r="223">
      <x:c r="A223" t="n">
        <x:f>A222+1</x:f>
        <x:v>219</x:v>
      </x:c>
      <x:c r="B223" t="n">
        <x:f>INT((A223-1)/12)+1</x:f>
        <x:v>19</x:v>
      </x:c>
      <x:c r="C223" t="n">
        <x:f>MOD(A223-1,12)+1</x:f>
        <x:v>3</x:v>
      </x:c>
      <x:c r="D223" s="40" t="n">
        <x:f>O222</x:f>
        <x:v>98501.73118626863</x:v>
      </x:c>
      <x:c r="E223" s="40" t="n">
        <x:f>D223*'Inputs &amp; Summary'!$B$15</x:f>
        <x:v>365.96541002874034</x:v>
      </x:c>
      <x:c r="F223" s="40" t="n">
        <x:f>IF(D223&lt;=0.00000001,0,MIN('Inputs &amp; Summary'!$B$18,D223+E223))</x:f>
        <x:v>2324.586407999052</x:v>
      </x:c>
      <x:c r="G223" s="40" t="n">
        <x:f>IF(ABS(MAX(0,D223+E223-F223))&lt;0.00000001,0,MAX(0,D223+E223-F223))</x:f>
        <x:v>96543.11018829832</x:v>
      </x:c>
      <x:c r="H223" s="40" t="n">
        <x:f>MAX(0,'Inputs &amp; Summary'!$B$18-F223)</x:f>
        <x:v>0</x:v>
      </x:c>
      <x:c r="I223" s="40" t="n">
        <x:f>S222</x:f>
        <x:v>321498.26881373127</x:v>
      </x:c>
      <x:c r="J223" s="40" t="n">
        <x:f>I223*'Inputs &amp; Summary'!$B$16</x:f>
        <x:v>1741.4489560743777</x:v>
      </x:c>
      <x:c r="K223" s="40" t="n">
        <x:f>IF(C223=1,J223,K222+J223)</x:f>
        <x:v>5192.6762142612515</x:v>
      </x:c>
      <x:c r="L223" s="40" t="n">
        <x:f>IF(C223=12,K223*'Inputs &amp; Summary'!$B$11*'Inputs &amp; Summary'!$B$12,0)</x:f>
        <x:v>0</x:v>
      </x:c>
      <x:c r="M223" s="40" t="n">
        <x:f>MIN(L223,G223)</x:f>
        <x:v>0</x:v>
      </x:c>
      <x:c r="N223" s="40" t="n">
        <x:f>MAX(0,L223-M223)</x:f>
        <x:v>0</x:v>
      </x:c>
      <x:c r="O223" s="40" t="n">
        <x:f>IF(ABS(MAX(0,G223-M223))&lt;0.00000001,0,MAX(0,G223-M223))</x:f>
        <x:v>96543.11018829832</x:v>
      </x:c>
      <x:c r="P223" s="40" t="n">
        <x:f>MAX(0,D223-O223)</x:f>
        <x:v>1958.6209979703126</x:v>
      </x:c>
      <x:c r="Q223" s="40" t="n">
        <x:f>MAX(0,'Inputs &amp; Summary'!$B$19*'Inputs &amp; Summary'!$B$4-O223-I223)</x:f>
        <x:v>36958.6209979704</x:v>
      </x:c>
      <x:c r="R223" s="40" t="n">
        <x:f>MIN(P223,Q223)</x:f>
        <x:v>1958.6209979703126</x:v>
      </x:c>
      <x:c r="S223" s="40" t="n">
        <x:f>I223+R223</x:f>
        <x:v>323456.8898117016</x:v>
      </x:c>
      <x:c r="T223" s="40" t="n">
        <x:f>U222</x:f>
        <x:v>512067.67722267687</x:v>
      </x:c>
      <x:c r="U223" s="40" t="n">
        <x:f>T223*(1+'Inputs &amp; Summary'!$B$17)+R223+N223+H223</x:f>
        <x:v>516518.81353240635</x:v>
      </x:c>
      <x:c r="V223" s="40" t="n">
        <x:f>Y222</x:f>
        <x:v>164056.48471086993</x:v>
      </x:c>
      <x:c r="W223" s="40" t="n">
        <x:f>V223*'Inputs &amp; Summary'!$B$15</x:f>
        <x:v>609.5222690203526</x:v>
      </x:c>
      <x:c r="X223" s="40" t="n">
        <x:f>IF(V223&lt;=0.00000001,0,MIN('Inputs &amp; Summary'!$B$18,V223+W223))</x:f>
        <x:v>2324.586407999052</x:v>
      </x:c>
      <x:c r="Y223" s="40" t="n">
        <x:f>IF(ABS(MAX(0,V223+W223-X223))&lt;0.00000001,0,MAX(0,V223+W223-X223))</x:f>
        <x:v>162341.42057189124</x:v>
      </x:c>
      <x:c r="Z223" s="40" t="n">
        <x:f>MAX(0,'Inputs &amp; Summary'!$B$18-X223)</x:f>
        <x:v>0</x:v>
      </x:c>
      <x:c r="AA223" s="40" t="n">
        <x:f>AC222</x:f>
        <x:v>212067.8456973299</x:v>
      </x:c>
      <x:c r="AB223" s="40" t="n">
        <x:f>J223</x:f>
        <x:v>1741.4489560743777</x:v>
      </x:c>
      <x:c r="AC223" s="40" t="n">
        <x:f>AA223*(1+'Inputs &amp; Summary'!$B$17)+Z223+AB223</x:f>
        <x:v>214841.5456156194</x:v>
      </x:c>
      <x:c r="AD223" s="40" t="n">
        <x:f>F223+H223+J223</x:f>
        <x:v>4066.0353640734297</x:v>
      </x:c>
      <x:c r="AE223" s="40" t="n">
        <x:f>X223+Z223+AB223</x:f>
        <x:v>4066.0353640734297</x:v>
      </x:c>
      <x:c r="AF223" s="40" t="n">
        <x:f>AD223-AE223</x:f>
        <x:v>0</x:v>
      </x:c>
      <x:c r="AG223" s="42" t="n">
        <x:f>(O223+S223)/'Inputs &amp; Summary'!$B$4</x:f>
        <x:v>0.5999999999999999</x:v>
      </x:c>
      <x:c r="AH223" s="40" t="n">
        <x:f>U223-O223-S223</x:f>
        <x:v>96518.8135324064</x:v>
      </x:c>
      <x:c r="AI223" s="40" t="n">
        <x:f>AC223-Y223</x:f>
        <x:v>52500.125043728156</x:v>
      </x:c>
      <x:c r="AJ223" s="40" t="n">
        <x:f>AH223-AI223</x:f>
        <x:v>44018.68848867825</x:v>
      </x:c>
    </x:row>
    <x:row r="224">
      <x:c r="A224" t="n">
        <x:f>A223+1</x:f>
        <x:v>220</x:v>
      </x:c>
      <x:c r="B224" t="n">
        <x:f>INT((A224-1)/12)+1</x:f>
        <x:v>19</x:v>
      </x:c>
      <x:c r="C224" t="n">
        <x:f>MOD(A224-1,12)+1</x:f>
        <x:v>4</x:v>
      </x:c>
      <x:c r="D224" s="40" t="n">
        <x:f>O223</x:f>
        <x:v>96543.11018829832</x:v>
      </x:c>
      <x:c r="E224" s="40" t="n">
        <x:f>D224*'Inputs &amp; Summary'!$B$15</x:f>
        <x:v>358.68850709535286</x:v>
      </x:c>
      <x:c r="F224" s="40" t="n">
        <x:f>IF(D224&lt;=0.00000001,0,MIN('Inputs &amp; Summary'!$B$18,D224+E224))</x:f>
        <x:v>2324.586407999052</x:v>
      </x:c>
      <x:c r="G224" s="40" t="n">
        <x:f>IF(ABS(MAX(0,D224+E224-F224))&lt;0.00000001,0,MAX(0,D224+E224-F224))</x:f>
        <x:v>94577.21228739462</x:v>
      </x:c>
      <x:c r="H224" s="40" t="n">
        <x:f>MAX(0,'Inputs &amp; Summary'!$B$18-F224)</x:f>
        <x:v>0</x:v>
      </x:c>
      <x:c r="I224" s="40" t="n">
        <x:f>S223</x:f>
        <x:v>323456.8898117016</x:v>
      </x:c>
      <x:c r="J224" s="40" t="n">
        <x:f>I224*'Inputs &amp; Summary'!$B$16</x:f>
        <x:v>1752.0581531467171</x:v>
      </x:c>
      <x:c r="K224" s="40" t="n">
        <x:f>IF(C224=1,J224,K223+J224)</x:f>
        <x:v>6944.734367407968</x:v>
      </x:c>
      <x:c r="L224" s="40" t="n">
        <x:f>IF(C224=12,K224*'Inputs &amp; Summary'!$B$11*'Inputs &amp; Summary'!$B$12,0)</x:f>
        <x:v>0</x:v>
      </x:c>
      <x:c r="M224" s="40" t="n">
        <x:f>MIN(L224,G224)</x:f>
        <x:v>0</x:v>
      </x:c>
      <x:c r="N224" s="40" t="n">
        <x:f>MAX(0,L224-M224)</x:f>
        <x:v>0</x:v>
      </x:c>
      <x:c r="O224" s="40" t="n">
        <x:f>IF(ABS(MAX(0,G224-M224))&lt;0.00000001,0,MAX(0,G224-M224))</x:f>
        <x:v>94577.21228739462</x:v>
      </x:c>
      <x:c r="P224" s="40" t="n">
        <x:f>MAX(0,D224-O224)</x:f>
        <x:v>1965.8979009036993</x:v>
      </x:c>
      <x:c r="Q224" s="40" t="n">
        <x:f>MAX(0,'Inputs &amp; Summary'!$B$19*'Inputs &amp; Summary'!$B$4-O224-I224)</x:f>
        <x:v>36965.89790090377</x:v>
      </x:c>
      <x:c r="R224" s="40" t="n">
        <x:f>MIN(P224,Q224)</x:f>
        <x:v>1965.8979009036993</x:v>
      </x:c>
      <x:c r="S224" s="40" t="n">
        <x:f>I224+R224</x:f>
        <x:v>325422.7877126053</x:v>
      </x:c>
      <x:c r="T224" s="40" t="n">
        <x:f>U223</x:f>
        <x:v>516518.81353240635</x:v>
      </x:c>
      <x:c r="U224" s="40" t="n">
        <x:f>T224*(1+'Inputs &amp; Summary'!$B$17)+R224+N224+H224</x:f>
        <x:v>520998.89287613006</x:v>
      </x:c>
      <x:c r="V224" s="40" t="n">
        <x:f>Y223</x:f>
        <x:v>162341.42057189124</x:v>
      </x:c>
      <x:c r="W224" s="40" t="n">
        <x:f>V224*'Inputs &amp; Summary'!$B$15</x:f>
        <x:v>603.1502576527553</x:v>
      </x:c>
      <x:c r="X224" s="40" t="n">
        <x:f>IF(V224&lt;=0.00000001,0,MIN('Inputs &amp; Summary'!$B$18,V224+W224))</x:f>
        <x:v>2324.586407999052</x:v>
      </x:c>
      <x:c r="Y224" s="40" t="n">
        <x:f>IF(ABS(MAX(0,V224+W224-X224))&lt;0.00000001,0,MAX(0,V224+W224-X224))</x:f>
        <x:v>160619.98442154494</x:v>
      </x:c>
      <x:c r="Z224" s="40" t="n">
        <x:f>MAX(0,'Inputs &amp; Summary'!$B$18-X224)</x:f>
        <x:v>0</x:v>
      </x:c>
      <x:c r="AA224" s="40" t="n">
        <x:f>AC223</x:f>
        <x:v>214841.5456156194</x:v>
      </x:c>
      <x:c r="AB224" s="40" t="n">
        <x:f>J224</x:f>
        <x:v>1752.0581531467171</x:v>
      </x:c>
      <x:c r="AC224" s="40" t="n">
        <x:f>AA224*(1+'Inputs &amp; Summary'!$B$17)+Z224+AB224</x:f>
        <x:v>217639.3558555866</x:v>
      </x:c>
      <x:c r="AD224" s="40" t="n">
        <x:f>F224+H224+J224</x:f>
        <x:v>4076.6445611457693</x:v>
      </x:c>
      <x:c r="AE224" s="40" t="n">
        <x:f>X224+Z224+AB224</x:f>
        <x:v>4076.6445611457693</x:v>
      </x:c>
      <x:c r="AF224" s="40" t="n">
        <x:f>AD224-AE224</x:f>
        <x:v>0</x:v>
      </x:c>
      <x:c r="AG224" s="42" t="n">
        <x:f>(O224+S224)/'Inputs &amp; Summary'!$B$4</x:f>
        <x:v>0.5999999999999999</x:v>
      </x:c>
      <x:c r="AH224" s="40" t="n">
        <x:f>U224-O224-S224</x:f>
        <x:v>100998.89287613012</x:v>
      </x:c>
      <x:c r="AI224" s="40" t="n">
        <x:f>AC224-Y224</x:f>
        <x:v>57019.37143404165</x:v>
      </x:c>
      <x:c r="AJ224" s="40" t="n">
        <x:f>AH224-AI224</x:f>
        <x:v>43979.52144208847</x:v>
      </x:c>
    </x:row>
    <x:row r="225">
      <x:c r="A225" t="n">
        <x:f>A224+1</x:f>
        <x:v>221</x:v>
      </x:c>
      <x:c r="B225" t="n">
        <x:f>INT((A225-1)/12)+1</x:f>
        <x:v>19</x:v>
      </x:c>
      <x:c r="C225" t="n">
        <x:f>MOD(A225-1,12)+1</x:f>
        <x:v>5</x:v>
      </x:c>
      <x:c r="D225" s="40" t="n">
        <x:f>O224</x:f>
        <x:v>94577.21228739462</x:v>
      </x:c>
      <x:c r="E225" s="40" t="n">
        <x:f>D225*'Inputs &amp; Summary'!$B$15</x:f>
        <x:v>351.38456814205296</x:v>
      </x:c>
      <x:c r="F225" s="40" t="n">
        <x:f>IF(D225&lt;=0.00000001,0,MIN('Inputs &amp; Summary'!$B$18,D225+E225))</x:f>
        <x:v>2324.586407999052</x:v>
      </x:c>
      <x:c r="G225" s="40" t="n">
        <x:f>IF(ABS(MAX(0,D225+E225-F225))&lt;0.00000001,0,MAX(0,D225+E225-F225))</x:f>
        <x:v>92604.01044753761</x:v>
      </x:c>
      <x:c r="H225" s="40" t="n">
        <x:f>MAX(0,'Inputs &amp; Summary'!$B$18-F225)</x:f>
        <x:v>0</x:v>
      </x:c>
      <x:c r="I225" s="40" t="n">
        <x:f>S224</x:f>
        <x:v>325422.7877126053</x:v>
      </x:c>
      <x:c r="J225" s="40" t="n">
        <x:f>I225*'Inputs &amp; Summary'!$B$16</x:f>
        <x:v>1762.7067667766123</x:v>
      </x:c>
      <x:c r="K225" s="40" t="n">
        <x:f>IF(C225=1,J225,K224+J225)</x:f>
        <x:v>8707.44113418458</x:v>
      </x:c>
      <x:c r="L225" s="40" t="n">
        <x:f>IF(C225=12,K225*'Inputs &amp; Summary'!$B$11*'Inputs &amp; Summary'!$B$12,0)</x:f>
        <x:v>0</x:v>
      </x:c>
      <x:c r="M225" s="40" t="n">
        <x:f>MIN(L225,G225)</x:f>
        <x:v>0</x:v>
      </x:c>
      <x:c r="N225" s="40" t="n">
        <x:f>MAX(0,L225-M225)</x:f>
        <x:v>0</x:v>
      </x:c>
      <x:c r="O225" s="40" t="n">
        <x:f>IF(ABS(MAX(0,G225-M225))&lt;0.00000001,0,MAX(0,G225-M225))</x:f>
        <x:v>92604.01044753761</x:v>
      </x:c>
      <x:c r="P225" s="40" t="n">
        <x:f>MAX(0,D225-O225)</x:f>
        <x:v>1973.2018398570071</x:v>
      </x:c>
      <x:c r="Q225" s="40" t="n">
        <x:f>MAX(0,'Inputs &amp; Summary'!$B$19*'Inputs &amp; Summary'!$B$4-O225-I225)</x:f>
        <x:v>36973.201839857036</x:v>
      </x:c>
      <x:c r="R225" s="40" t="n">
        <x:f>MIN(P225,Q225)</x:f>
        <x:v>1973.2018398570071</x:v>
      </x:c>
      <x:c r="S225" s="40" t="n">
        <x:f>I225+R225</x:f>
        <x:v>327395.98955246236</x:v>
      </x:c>
      <x:c r="T225" s="40" t="n">
        <x:f>U224</x:f>
        <x:v>520998.89287613006</x:v>
      </x:c>
      <x:c r="U225" s="40" t="n">
        <x:f>T225*(1+'Inputs &amp; Summary'!$B$17)+R225+N225+H225</x:f>
        <x:v>525508.0831715494</x:v>
      </x:c>
      <x:c r="V225" s="40" t="n">
        <x:f>Y224</x:f>
        <x:v>160619.98442154494</x:v>
      </x:c>
      <x:c r="W225" s="40" t="n">
        <x:f>V225*'Inputs &amp; Summary'!$B$15</x:f>
        <x:v>596.7545722265929</x:v>
      </x:c>
      <x:c r="X225" s="40" t="n">
        <x:f>IF(V225&lt;=0.00000001,0,MIN('Inputs &amp; Summary'!$B$18,V225+W225))</x:f>
        <x:v>2324.586407999052</x:v>
      </x:c>
      <x:c r="Y225" s="40" t="n">
        <x:f>IF(ABS(MAX(0,V225+W225-X225))&lt;0.00000001,0,MAX(0,V225+W225-X225))</x:f>
        <x:v>158892.15258577248</x:v>
      </x:c>
      <x:c r="Z225" s="40" t="n">
        <x:f>MAX(0,'Inputs &amp; Summary'!$B$18-X225)</x:f>
        <x:v>0</x:v>
      </x:c>
      <x:c r="AA225" s="40" t="n">
        <x:f>AC224</x:f>
        <x:v>217639.3558555866</x:v>
      </x:c>
      <x:c r="AB225" s="40" t="n">
        <x:f>J225</x:f>
        <x:v>1762.7067667766123</x:v>
      </x:c>
      <x:c r="AC225" s="40" t="n">
        <x:f>AA225*(1+'Inputs &amp; Summary'!$B$17)+Z225+AB225</x:f>
        <x:v>220461.43319199898</x:v>
      </x:c>
      <x:c r="AD225" s="40" t="n">
        <x:f>F225+H225+J225</x:f>
        <x:v>4087.2931747756643</x:v>
      </x:c>
      <x:c r="AE225" s="40" t="n">
        <x:f>X225+Z225+AB225</x:f>
        <x:v>4087.2931747756643</x:v>
      </x:c>
      <x:c r="AF225" s="40" t="n">
        <x:f>AD225-AE225</x:f>
        <x:v>0</x:v>
      </x:c>
      <x:c r="AG225" s="42" t="n">
        <x:f>(O225+S225)/'Inputs &amp; Summary'!$B$4</x:f>
        <x:v>0.6</x:v>
      </x:c>
      <x:c r="AH225" s="40" t="n">
        <x:f>U225-O225-S225</x:f>
        <x:v>105508.08317154937</x:v>
      </x:c>
      <x:c r="AI225" s="40" t="n">
        <x:f>AC225-Y225</x:f>
        <x:v>61569.2806062265</x:v>
      </x:c>
      <x:c r="AJ225" s="40" t="n">
        <x:f>AH225-AI225</x:f>
        <x:v>43938.80256532287</x:v>
      </x:c>
    </x:row>
    <x:row r="226">
      <x:c r="A226" t="n">
        <x:f>A225+1</x:f>
        <x:v>222</x:v>
      </x:c>
      <x:c r="B226" t="n">
        <x:f>INT((A226-1)/12)+1</x:f>
        <x:v>19</x:v>
      </x:c>
      <x:c r="C226" t="n">
        <x:f>MOD(A226-1,12)+1</x:f>
        <x:v>6</x:v>
      </x:c>
      <x:c r="D226" s="40" t="n">
        <x:f>O225</x:f>
        <x:v>92604.01044753761</x:v>
      </x:c>
      <x:c r="E226" s="40" t="n">
        <x:f>D226*'Inputs &amp; Summary'!$B$15</x:f>
        <x:v>344.05349272138665</x:v>
      </x:c>
      <x:c r="F226" s="40" t="n">
        <x:f>IF(D226&lt;=0.00000001,0,MIN('Inputs &amp; Summary'!$B$18,D226+E226))</x:f>
        <x:v>2324.586407999052</x:v>
      </x:c>
      <x:c r="G226" s="40" t="n">
        <x:f>IF(ABS(MAX(0,D226+E226-F226))&lt;0.00000001,0,MAX(0,D226+E226-F226))</x:f>
        <x:v>90623.47753225995</x:v>
      </x:c>
      <x:c r="H226" s="40" t="n">
        <x:f>MAX(0,'Inputs &amp; Summary'!$B$18-F226)</x:f>
        <x:v>0</x:v>
      </x:c>
      <x:c r="I226" s="40" t="n">
        <x:f>S225</x:f>
        <x:v>327395.98955246236</x:v>
      </x:c>
      <x:c r="J226" s="40" t="n">
        <x:f>I226*'Inputs &amp; Summary'!$B$16</x:f>
        <x:v>1773.3949434091712</x:v>
      </x:c>
      <x:c r="K226" s="40" t="n">
        <x:f>IF(C226=1,J226,K225+J226)</x:f>
        <x:v>10480.836077593753</x:v>
      </x:c>
      <x:c r="L226" s="40" t="n">
        <x:f>IF(C226=12,K226*'Inputs &amp; Summary'!$B$11*'Inputs &amp; Summary'!$B$12,0)</x:f>
        <x:v>0</x:v>
      </x:c>
      <x:c r="M226" s="40" t="n">
        <x:f>MIN(L226,G226)</x:f>
        <x:v>0</x:v>
      </x:c>
      <x:c r="N226" s="40" t="n">
        <x:f>MAX(0,L226-M226)</x:f>
        <x:v>0</x:v>
      </x:c>
      <x:c r="O226" s="40" t="n">
        <x:f>IF(ABS(MAX(0,G226-M226))&lt;0.00000001,0,MAX(0,G226-M226))</x:f>
        <x:v>90623.47753225995</x:v>
      </x:c>
      <x:c r="P226" s="40" t="n">
        <x:f>MAX(0,D226-O226)</x:f>
        <x:v>1980.5329152776685</x:v>
      </x:c>
      <x:c r="Q226" s="40" t="n">
        <x:f>MAX(0,'Inputs &amp; Summary'!$B$19*'Inputs &amp; Summary'!$B$4-O226-I226)</x:f>
        <x:v>36980.5329152777</x:v>
      </x:c>
      <x:c r="R226" s="40" t="n">
        <x:f>MIN(P226,Q226)</x:f>
        <x:v>1980.5329152776685</x:v>
      </x:c>
      <x:c r="S226" s="40" t="n">
        <x:f>I226+R226</x:f>
        <x:v>329376.52246774</x:v>
      </x:c>
      <x:c r="T226" s="40" t="n">
        <x:f>U225</x:f>
        <x:v>525508.0831715494</x:v>
      </x:c>
      <x:c r="U226" s="40" t="n">
        <x:f>T226*(1+'Inputs &amp; Summary'!$B$17)+R226+N226+H226</x:f>
        <x:v>530046.553254161</x:v>
      </x:c>
      <x:c r="V226" s="40" t="n">
        <x:f>Y225</x:f>
        <x:v>158892.15258577248</x:v>
      </x:c>
      <x:c r="W226" s="40" t="n">
        <x:f>V226*'Inputs &amp; Summary'!$B$15</x:f>
        <x:v>590.3351247851724</x:v>
      </x:c>
      <x:c r="X226" s="40" t="n">
        <x:f>IF(V226&lt;=0.00000001,0,MIN('Inputs &amp; Summary'!$B$18,V226+W226))</x:f>
        <x:v>2324.586407999052</x:v>
      </x:c>
      <x:c r="Y226" s="40" t="n">
        <x:f>IF(ABS(MAX(0,V226+W226-X226))&lt;0.00000001,0,MAX(0,V226+W226-X226))</x:f>
        <x:v>157157.9013025586</x:v>
      </x:c>
      <x:c r="Z226" s="40" t="n">
        <x:f>MAX(0,'Inputs &amp; Summary'!$B$18-X226)</x:f>
        <x:v>0</x:v>
      </x:c>
      <x:c r="AA226" s="40" t="n">
        <x:f>AC225</x:f>
        <x:v>220461.43319199898</x:v>
      </x:c>
      <x:c r="AB226" s="40" t="n">
        <x:f>J226</x:f>
        <x:v>1773.3949434091712</x:v>
      </x:c>
      <x:c r="AC226" s="40" t="n">
        <x:f>AA226*(1+'Inputs &amp; Summary'!$B$17)+Z226+AB226</x:f>
        <x:v>223307.9353091782</x:v>
      </x:c>
      <x:c r="AD226" s="40" t="n">
        <x:f>F226+H226+J226</x:f>
        <x:v>4097.981351408223</x:v>
      </x:c>
      <x:c r="AE226" s="40" t="n">
        <x:f>X226+Z226+AB226</x:f>
        <x:v>4097.981351408223</x:v>
      </x:c>
      <x:c r="AF226" s="40" t="n">
        <x:f>AD226-AE226</x:f>
        <x:v>0</x:v>
      </x:c>
      <x:c r="AG226" s="42" t="n">
        <x:f>(O226+S226)/'Inputs &amp; Summary'!$B$4</x:f>
        <x:v>0.5999999999999999</x:v>
      </x:c>
      <x:c r="AH226" s="40" t="n">
        <x:f>U226-O226-S226</x:f>
        <x:v>110046.55325416109</x:v>
      </x:c>
      <x:c r="AI226" s="40" t="n">
        <x:f>AC226-Y226</x:f>
        <x:v>66150.0340066196</x:v>
      </x:c>
      <x:c r="AJ226" s="40" t="n">
        <x:f>AH226-AI226</x:f>
        <x:v>43896.519247541495</x:v>
      </x:c>
    </x:row>
    <x:row r="227">
      <x:c r="A227" t="n">
        <x:f>A226+1</x:f>
        <x:v>223</x:v>
      </x:c>
      <x:c r="B227" t="n">
        <x:f>INT((A227-1)/12)+1</x:f>
        <x:v>19</x:v>
      </x:c>
      <x:c r="C227" t="n">
        <x:f>MOD(A227-1,12)+1</x:f>
        <x:v>7</x:v>
      </x:c>
      <x:c r="D227" s="40" t="n">
        <x:f>O226</x:f>
        <x:v>90623.47753225995</x:v>
      </x:c>
      <x:c r="E227" s="40" t="n">
        <x:f>D227*'Inputs &amp; Summary'!$B$15</x:f>
        <x:v>336.6951800127056</x:v>
      </x:c>
      <x:c r="F227" s="40" t="n">
        <x:f>IF(D227&lt;=0.00000001,0,MIN('Inputs &amp; Summary'!$B$18,D227+E227))</x:f>
        <x:v>2324.586407999052</x:v>
      </x:c>
      <x:c r="G227" s="40" t="n">
        <x:f>IF(ABS(MAX(0,D227+E227-F227))&lt;0.00000001,0,MAX(0,D227+E227-F227))</x:f>
        <x:v>88635.58630427359</x:v>
      </x:c>
      <x:c r="H227" s="40" t="n">
        <x:f>MAX(0,'Inputs &amp; Summary'!$B$18-F227)</x:f>
        <x:v>0</x:v>
      </x:c>
      <x:c r="I227" s="40" t="n">
        <x:f>S226</x:f>
        <x:v>329376.52246774</x:v>
      </x:c>
      <x:c r="J227" s="40" t="n">
        <x:f>I227*'Inputs &amp; Summary'!$B$16</x:f>
        <x:v>1784.1228300335918</x:v>
      </x:c>
      <x:c r="K227" s="40" t="n">
        <x:f>IF(C227=1,J227,K226+J227)</x:f>
        <x:v>12264.958907627344</x:v>
      </x:c>
      <x:c r="L227" s="40" t="n">
        <x:f>IF(C227=12,K227*'Inputs &amp; Summary'!$B$11*'Inputs &amp; Summary'!$B$12,0)</x:f>
        <x:v>0</x:v>
      </x:c>
      <x:c r="M227" s="40" t="n">
        <x:f>MIN(L227,G227)</x:f>
        <x:v>0</x:v>
      </x:c>
      <x:c r="N227" s="40" t="n">
        <x:f>MAX(0,L227-M227)</x:f>
        <x:v>0</x:v>
      </x:c>
      <x:c r="O227" s="40" t="n">
        <x:f>IF(ABS(MAX(0,G227-M227))&lt;0.00000001,0,MAX(0,G227-M227))</x:f>
        <x:v>88635.58630427359</x:v>
      </x:c>
      <x:c r="P227" s="40" t="n">
        <x:f>MAX(0,D227-O227)</x:f>
        <x:v>1987.891227986358</x:v>
      </x:c>
      <x:c r="Q227" s="40" t="n">
        <x:f>MAX(0,'Inputs &amp; Summary'!$B$19*'Inputs &amp; Summary'!$B$4-O227-I227)</x:f>
        <x:v>36987.89122798643</x:v>
      </x:c>
      <x:c r="R227" s="40" t="n">
        <x:f>MIN(P227,Q227)</x:f>
        <x:v>1987.891227986358</x:v>
      </x:c>
      <x:c r="S227" s="40" t="n">
        <x:f>I227+R227</x:f>
        <x:v>331364.41369572637</x:v>
      </x:c>
      <x:c r="T227" s="40" t="n">
        <x:f>U226</x:f>
        <x:v>530046.553254161</x:v>
      </x:c>
      <x:c r="U227" s="40" t="n">
        <x:f>T227*(1+'Inputs &amp; Summary'!$B$17)+R227+N227+H227</x:f>
        <x:v>534614.4728820978</x:v>
      </x:c>
      <x:c r="V227" s="40" t="n">
        <x:f>Y226</x:f>
        <x:v>157157.9013025586</x:v>
      </x:c>
      <x:c r="W227" s="40" t="n">
        <x:f>V227*'Inputs &amp; Summary'!$B$15</x:f>
        <x:v>583.8918270450134</x:v>
      </x:c>
      <x:c r="X227" s="40" t="n">
        <x:f>IF(V227&lt;=0.00000001,0,MIN('Inputs &amp; Summary'!$B$18,V227+W227))</x:f>
        <x:v>2324.586407999052</x:v>
      </x:c>
      <x:c r="Y227" s="40" t="n">
        <x:f>IF(ABS(MAX(0,V227+W227-X227))&lt;0.00000001,0,MAX(0,V227+W227-X227))</x:f>
        <x:v>155417.20672160457</x:v>
      </x:c>
      <x:c r="Z227" s="40" t="n">
        <x:f>MAX(0,'Inputs &amp; Summary'!$B$18-X227)</x:f>
        <x:v>0</x:v>
      </x:c>
      <x:c r="AA227" s="40" t="n">
        <x:f>AC226</x:f>
        <x:v>223307.9353091782</x:v>
      </x:c>
      <x:c r="AB227" s="40" t="n">
        <x:f>J227</x:f>
        <x:v>1784.1228300335918</x:v>
      </x:c>
      <x:c r="AC227" s="40" t="n">
        <x:f>AA227*(1+'Inputs &amp; Summary'!$B$17)+Z227+AB227</x:f>
        <x:v>226179.02080597158</x:v>
      </x:c>
      <x:c r="AD227" s="40" t="n">
        <x:f>F227+H227+J227</x:f>
        <x:v>4108.709238032644</x:v>
      </x:c>
      <x:c r="AE227" s="40" t="n">
        <x:f>X227+Z227+AB227</x:f>
        <x:v>4108.709238032644</x:v>
      </x:c>
      <x:c r="AF227" s="40" t="n">
        <x:f>AD227-AE227</x:f>
        <x:v>0</x:v>
      </x:c>
      <x:c r="AG227" s="42" t="n">
        <x:f>(O227+S227)/'Inputs &amp; Summary'!$B$4</x:f>
        <x:v>0.5999999999999999</x:v>
      </x:c>
      <x:c r="AH227" s="40" t="n">
        <x:f>U227-O227-S227</x:f>
        <x:v>114614.47288209788</x:v>
      </x:c>
      <x:c r="AI227" s="40" t="n">
        <x:f>AC227-Y227</x:f>
        <x:v>70761.81408436701</x:v>
      </x:c>
      <x:c r="AJ227" s="40" t="n">
        <x:f>AH227-AI227</x:f>
        <x:v>43852.658797730866</x:v>
      </x:c>
    </x:row>
    <x:row r="228">
      <x:c r="A228" t="n">
        <x:f>A227+1</x:f>
        <x:v>224</x:v>
      </x:c>
      <x:c r="B228" t="n">
        <x:f>INT((A228-1)/12)+1</x:f>
        <x:v>19</x:v>
      </x:c>
      <x:c r="C228" t="n">
        <x:f>MOD(A228-1,12)+1</x:f>
        <x:v>8</x:v>
      </x:c>
      <x:c r="D228" s="40" t="n">
        <x:f>O227</x:f>
        <x:v>88635.58630427359</x:v>
      </x:c>
      <x:c r="E228" s="40" t="n">
        <x:f>D228*'Inputs &amp; Summary'!$B$15</x:f>
        <x:v>329.3095288207803</x:v>
      </x:c>
      <x:c r="F228" s="40" t="n">
        <x:f>IF(D228&lt;=0.00000001,0,MIN('Inputs &amp; Summary'!$B$18,D228+E228))</x:f>
        <x:v>2324.586407999052</x:v>
      </x:c>
      <x:c r="G228" s="40" t="n">
        <x:f>IF(ABS(MAX(0,D228+E228-F228))&lt;0.00000001,0,MAX(0,D228+E228-F228))</x:f>
        <x:v>86640.30942509531</x:v>
      </x:c>
      <x:c r="H228" s="40" t="n">
        <x:f>MAX(0,'Inputs &amp; Summary'!$B$18-F228)</x:f>
        <x:v>0</x:v>
      </x:c>
      <x:c r="I228" s="40" t="n">
        <x:f>S227</x:f>
        <x:v>331364.41369572637</x:v>
      </x:c>
      <x:c r="J228" s="40" t="n">
        <x:f>I228*'Inputs &amp; Summary'!$B$16</x:f>
        <x:v>1794.8905741851845</x:v>
      </x:c>
      <x:c r="K228" s="40" t="n">
        <x:f>IF(C228=1,J228,K227+J228)</x:f>
        <x:v>14059.84948181253</x:v>
      </x:c>
      <x:c r="L228" s="40" t="n">
        <x:f>IF(C228=12,K228*'Inputs &amp; Summary'!$B$11*'Inputs &amp; Summary'!$B$12,0)</x:f>
        <x:v>0</x:v>
      </x:c>
      <x:c r="M228" s="40" t="n">
        <x:f>MIN(L228,G228)</x:f>
        <x:v>0</x:v>
      </x:c>
      <x:c r="N228" s="40" t="n">
        <x:f>MAX(0,L228-M228)</x:f>
        <x:v>0</x:v>
      </x:c>
      <x:c r="O228" s="40" t="n">
        <x:f>IF(ABS(MAX(0,G228-M228))&lt;0.00000001,0,MAX(0,G228-M228))</x:f>
        <x:v>86640.30942509531</x:v>
      </x:c>
      <x:c r="P228" s="40" t="n">
        <x:f>MAX(0,D228-O228)</x:f>
        <x:v>1995.2768791782728</x:v>
      </x:c>
      <x:c r="Q228" s="40" t="n">
        <x:f>MAX(0,'Inputs &amp; Summary'!$B$19*'Inputs &amp; Summary'!$B$4-O228-I228)</x:f>
        <x:v>36995.2768791783</x:v>
      </x:c>
      <x:c r="R228" s="40" t="n">
        <x:f>MIN(P228,Q228)</x:f>
        <x:v>1995.2768791782728</x:v>
      </x:c>
      <x:c r="S228" s="40" t="n">
        <x:f>I228+R228</x:f>
        <x:v>333359.6905749047</x:v>
      </x:c>
      <x:c r="T228" s="40" t="n">
        <x:f>U227</x:f>
        <x:v>534614.4728820978</x:v>
      </x:c>
      <x:c r="U228" s="40" t="n">
        <x:f>T228*(1+'Inputs &amp; Summary'!$B$17)+R228+N228+H228</x:f>
        <x:v>539212.0127409939</x:v>
      </x:c>
      <x:c r="V228" s="40" t="n">
        <x:f>Y227</x:f>
        <x:v>155417.20672160457</x:v>
      </x:c>
      <x:c r="W228" s="40" t="n">
        <x:f>V228*'Inputs &amp; Summary'!$B$15</x:f>
        <x:v>577.424590394634</x:v>
      </x:c>
      <x:c r="X228" s="40" t="n">
        <x:f>IF(V228&lt;=0.00000001,0,MIN('Inputs &amp; Summary'!$B$18,V228+W228))</x:f>
        <x:v>2324.586407999052</x:v>
      </x:c>
      <x:c r="Y228" s="40" t="n">
        <x:f>IF(ABS(MAX(0,V228+W228-X228))&lt;0.00000001,0,MAX(0,V228+W228-X228))</x:f>
        <x:v>153670.04490400015</x:v>
      </x:c>
      <x:c r="Z228" s="40" t="n">
        <x:f>MAX(0,'Inputs &amp; Summary'!$B$18-X228)</x:f>
        <x:v>0</x:v>
      </x:c>
      <x:c r="AA228" s="40" t="n">
        <x:f>AC227</x:f>
        <x:v>226179.02080597158</x:v>
      </x:c>
      <x:c r="AB228" s="40" t="n">
        <x:f>J228</x:f>
        <x:v>1794.8905741851845</x:v>
      </x:c>
      <x:c r="AC228" s="40" t="n">
        <x:f>AA228*(1+'Inputs &amp; Summary'!$B$17)+Z228+AB228</x:f>
        <x:v>229074.8492007496</x:v>
      </x:c>
      <x:c r="AD228" s="40" t="n">
        <x:f>F228+H228+J228</x:f>
        <x:v>4119.4769821842365</x:v>
      </x:c>
      <x:c r="AE228" s="40" t="n">
        <x:f>X228+Z228+AB228</x:f>
        <x:v>4119.4769821842365</x:v>
      </x:c>
      <x:c r="AF228" s="40" t="n">
        <x:f>AD228-AE228</x:f>
        <x:v>0</x:v>
      </x:c>
      <x:c r="AG228" s="42" t="n">
        <x:f>(O228+S228)/'Inputs &amp; Summary'!$B$4</x:f>
        <x:v>0.6</x:v>
      </x:c>
      <x:c r="AH228" s="40" t="n">
        <x:f>U228-O228-S228</x:f>
        <x:v>119212.01274099387</x:v>
      </x:c>
      <x:c r="AI228" s="40" t="n">
        <x:f>AC228-Y228</x:f>
        <x:v>75404.80429674944</x:v>
      </x:c>
      <x:c r="AJ228" s="40" t="n">
        <x:f>AH228-AI228</x:f>
        <x:v>43807.20844424443</x:v>
      </x:c>
    </x:row>
    <x:row r="229">
      <x:c r="A229" t="n">
        <x:f>A228+1</x:f>
        <x:v>225</x:v>
      </x:c>
      <x:c r="B229" t="n">
        <x:f>INT((A229-1)/12)+1</x:f>
        <x:v>19</x:v>
      </x:c>
      <x:c r="C229" t="n">
        <x:f>MOD(A229-1,12)+1</x:f>
        <x:v>9</x:v>
      </x:c>
      <x:c r="D229" s="40" t="n">
        <x:f>O228</x:f>
        <x:v>86640.30942509531</x:v>
      </x:c>
      <x:c r="E229" s="40" t="n">
        <x:f>D229*'Inputs &amp; Summary'!$B$15</x:f>
        <x:v>321.89643757440905</x:v>
      </x:c>
      <x:c r="F229" s="40" t="n">
        <x:f>IF(D229&lt;=0.00000001,0,MIN('Inputs &amp; Summary'!$B$18,D229+E229))</x:f>
        <x:v>2324.586407999052</x:v>
      </x:c>
      <x:c r="G229" s="40" t="n">
        <x:f>IF(ABS(MAX(0,D229+E229-F229))&lt;0.00000001,0,MAX(0,D229+E229-F229))</x:f>
        <x:v>84637.61945467067</x:v>
      </x:c>
      <x:c r="H229" s="40" t="n">
        <x:f>MAX(0,'Inputs &amp; Summary'!$B$18-F229)</x:f>
        <x:v>0</x:v>
      </x:c>
      <x:c r="I229" s="40" t="n">
        <x:f>S228</x:f>
        <x:v>333359.6905749047</x:v>
      </x:c>
      <x:c r="J229" s="40" t="n">
        <x:f>I229*'Inputs &amp; Summary'!$B$16</x:f>
        <x:v>1805.6983239474005</x:v>
      </x:c>
      <x:c r="K229" s="40" t="n">
        <x:f>IF(C229=1,J229,K228+J229)</x:f>
        <x:v>15865.54780575993</x:v>
      </x:c>
      <x:c r="L229" s="40" t="n">
        <x:f>IF(C229=12,K229*'Inputs &amp; Summary'!$B$11*'Inputs &amp; Summary'!$B$12,0)</x:f>
        <x:v>0</x:v>
      </x:c>
      <x:c r="M229" s="40" t="n">
        <x:f>MIN(L229,G229)</x:f>
        <x:v>0</x:v>
      </x:c>
      <x:c r="N229" s="40" t="n">
        <x:f>MAX(0,L229-M229)</x:f>
        <x:v>0</x:v>
      </x:c>
      <x:c r="O229" s="40" t="n">
        <x:f>IF(ABS(MAX(0,G229-M229))&lt;0.00000001,0,MAX(0,G229-M229))</x:f>
        <x:v>84637.61945467067</x:v>
      </x:c>
      <x:c r="P229" s="40" t="n">
        <x:f>MAX(0,D229-O229)</x:f>
        <x:v>2002.6899704246462</x:v>
      </x:c>
      <x:c r="Q229" s="40" t="n">
        <x:f>MAX(0,'Inputs &amp; Summary'!$B$19*'Inputs &amp; Summary'!$B$4-O229-I229)</x:f>
        <x:v>37002.68997042463</x:v>
      </x:c>
      <x:c r="R229" s="40" t="n">
        <x:f>MIN(P229,Q229)</x:f>
        <x:v>2002.6899704246462</x:v>
      </x:c>
      <x:c r="S229" s="40" t="n">
        <x:f>I229+R229</x:f>
        <x:v>335362.3805453293</x:v>
      </x:c>
      <x:c r="T229" s="40" t="n">
        <x:f>U228</x:f>
        <x:v>539212.0127409939</x:v>
      </x:c>
      <x:c r="U229" s="40" t="n">
        <x:f>T229*(1+'Inputs &amp; Summary'!$B$17)+R229+N229+H229</x:f>
        <x:v>543839.3444488756</x:v>
      </x:c>
      <x:c r="V229" s="40" t="n">
        <x:f>Y228</x:f>
        <x:v>153670.04490400015</x:v>
      </x:c>
      <x:c r="W229" s="40" t="n">
        <x:f>V229*'Inputs &amp; Summary'!$B$15</x:f>
        <x:v>570.9333258933326</x:v>
      </x:c>
      <x:c r="X229" s="40" t="n">
        <x:f>IF(V229&lt;=0.00000001,0,MIN('Inputs &amp; Summary'!$B$18,V229+W229))</x:f>
        <x:v>2324.586407999052</x:v>
      </x:c>
      <x:c r="Y229" s="40" t="n">
        <x:f>IF(ABS(MAX(0,V229+W229-X229))&lt;0.00000001,0,MAX(0,V229+W229-X229))</x:f>
        <x:v>151916.39182189445</x:v>
      </x:c>
      <x:c r="Z229" s="40" t="n">
        <x:f>MAX(0,'Inputs &amp; Summary'!$B$18-X229)</x:f>
        <x:v>0</x:v>
      </x:c>
      <x:c r="AA229" s="40" t="n">
        <x:f>AC228</x:f>
        <x:v>229074.8492007496</x:v>
      </x:c>
      <x:c r="AB229" s="40" t="n">
        <x:f>J229</x:f>
        <x:v>1805.6983239474005</x:v>
      </x:c>
      <x:c r="AC229" s="40" t="n">
        <x:f>AA229*(1+'Inputs &amp; Summary'!$B$17)+Z229+AB229</x:f>
        <x:v>231995.58093643</x:v>
      </x:c>
      <x:c r="AD229" s="40" t="n">
        <x:f>F229+H229+J229</x:f>
        <x:v>4130.284731946453</x:v>
      </x:c>
      <x:c r="AE229" s="40" t="n">
        <x:f>X229+Z229+AB229</x:f>
        <x:v>4130.284731946453</x:v>
      </x:c>
      <x:c r="AF229" s="40" t="n">
        <x:f>AD229-AE229</x:f>
        <x:v>0</x:v>
      </x:c>
      <x:c r="AG229" s="42" t="n">
        <x:f>(O229+S229)/'Inputs &amp; Summary'!$B$4</x:f>
        <x:v>0.6</x:v>
      </x:c>
      <x:c r="AH229" s="40" t="n">
        <x:f>U229-O229-S229</x:f>
        <x:v>123839.34444887564</x:v>
      </x:c>
      <x:c r="AI229" s="40" t="n">
        <x:f>AC229-Y229</x:f>
        <x:v>80079.18911453555</x:v>
      </x:c>
      <x:c r="AJ229" s="40" t="n">
        <x:f>AH229-AI229</x:f>
        <x:v>43760.15533434009</x:v>
      </x:c>
    </x:row>
    <x:row r="230">
      <x:c r="A230" t="n">
        <x:f>A229+1</x:f>
        <x:v>226</x:v>
      </x:c>
      <x:c r="B230" t="n">
        <x:f>INT((A230-1)/12)+1</x:f>
        <x:v>19</x:v>
      </x:c>
      <x:c r="C230" t="n">
        <x:f>MOD(A230-1,12)+1</x:f>
        <x:v>10</x:v>
      </x:c>
      <x:c r="D230" s="40" t="n">
        <x:f>O229</x:f>
        <x:v>84637.61945467067</x:v>
      </x:c>
      <x:c r="E230" s="40" t="n">
        <x:f>D230*'Inputs &amp; Summary'!$B$15</x:f>
        <x:v>314.4558043250203</x:v>
      </x:c>
      <x:c r="F230" s="40" t="n">
        <x:f>IF(D230&lt;=0.00000001,0,MIN('Inputs &amp; Summary'!$B$18,D230+E230))</x:f>
        <x:v>2324.586407999052</x:v>
      </x:c>
      <x:c r="G230" s="40" t="n">
        <x:f>IF(ABS(MAX(0,D230+E230-F230))&lt;0.00000001,0,MAX(0,D230+E230-F230))</x:f>
        <x:v>82627.48885099663</x:v>
      </x:c>
      <x:c r="H230" s="40" t="n">
        <x:f>MAX(0,'Inputs &amp; Summary'!$B$18-F230)</x:f>
        <x:v>0</x:v>
      </x:c>
      <x:c r="I230" s="40" t="n">
        <x:f>S229</x:f>
        <x:v>335362.3805453293</x:v>
      </x:c>
      <x:c r="J230" s="40" t="n">
        <x:f>I230*'Inputs &amp; Summary'!$B$16</x:f>
        <x:v>1816.5462279538672</x:v>
      </x:c>
      <x:c r="K230" s="40" t="n">
        <x:f>IF(C230=1,J230,K229+J230)</x:f>
        <x:v>17682.094033713798</x:v>
      </x:c>
      <x:c r="L230" s="40" t="n">
        <x:f>IF(C230=12,K230*'Inputs &amp; Summary'!$B$11*'Inputs &amp; Summary'!$B$12,0)</x:f>
        <x:v>0</x:v>
      </x:c>
      <x:c r="M230" s="40" t="n">
        <x:f>MIN(L230,G230)</x:f>
        <x:v>0</x:v>
      </x:c>
      <x:c r="N230" s="40" t="n">
        <x:f>MAX(0,L230-M230)</x:f>
        <x:v>0</x:v>
      </x:c>
      <x:c r="O230" s="40" t="n">
        <x:f>IF(ABS(MAX(0,G230-M230))&lt;0.00000001,0,MAX(0,G230-M230))</x:f>
        <x:v>82627.48885099663</x:v>
      </x:c>
      <x:c r="P230" s="40" t="n">
        <x:f>MAX(0,D230-O230)</x:f>
        <x:v>2010.1306036740425</x:v>
      </x:c>
      <x:c r="Q230" s="40" t="n">
        <x:f>MAX(0,'Inputs &amp; Summary'!$B$19*'Inputs &amp; Summary'!$B$4-O230-I230)</x:f>
        <x:v>37010.1306036741</x:v>
      </x:c>
      <x:c r="R230" s="40" t="n">
        <x:f>MIN(P230,Q230)</x:f>
        <x:v>2010.1306036740425</x:v>
      </x:c>
      <x:c r="S230" s="40" t="n">
        <x:f>I230+R230</x:f>
        <x:v>337372.51114900335</x:v>
      </x:c>
      <x:c r="T230" s="40" t="n">
        <x:f>U229</x:f>
        <x:v>543839.3444488756</x:v>
      </x:c>
      <x:c r="U230" s="40" t="n">
        <x:f>T230*(1+'Inputs &amp; Summary'!$B$17)+R230+N230+H230</x:f>
        <x:v>548496.6405610775</x:v>
      </x:c>
      <x:c r="V230" s="40" t="n">
        <x:f>Y229</x:f>
        <x:v>151916.39182189445</x:v>
      </x:c>
      <x:c r="W230" s="40" t="n">
        <x:f>V230*'Inputs &amp; Summary'!$B$15</x:f>
        <x:v>564.4179442699643</x:v>
      </x:c>
      <x:c r="X230" s="40" t="n">
        <x:f>IF(V230&lt;=0.00000001,0,MIN('Inputs &amp; Summary'!$B$18,V230+W230))</x:f>
        <x:v>2324.586407999052</x:v>
      </x:c>
      <x:c r="Y230" s="40" t="n">
        <x:f>IF(ABS(MAX(0,V230+W230-X230))&lt;0.00000001,0,MAX(0,V230+W230-X230))</x:f>
        <x:v>150156.22335816536</x:v>
      </x:c>
      <x:c r="Z230" s="40" t="n">
        <x:f>MAX(0,'Inputs &amp; Summary'!$B$18-X230)</x:f>
        <x:v>0</x:v>
      </x:c>
      <x:c r="AA230" s="40" t="n">
        <x:f>AC229</x:f>
        <x:v>231995.58093643</x:v>
      </x:c>
      <x:c r="AB230" s="40" t="n">
        <x:f>J230</x:f>
        <x:v>1816.5462279538672</x:v>
      </x:c>
      <x:c r="AC230" s="40" t="n">
        <x:f>AA230*(1+'Inputs &amp; Summary'!$B$17)+Z230+AB230</x:f>
        <x:v>234941.37738552806</x:v>
      </x:c>
      <x:c r="AD230" s="40" t="n">
        <x:f>F230+H230+J230</x:f>
        <x:v>4141.132635952919</x:v>
      </x:c>
      <x:c r="AE230" s="40" t="n">
        <x:f>X230+Z230+AB230</x:f>
        <x:v>4141.132635952919</x:v>
      </x:c>
      <x:c r="AF230" s="40" t="n">
        <x:f>AD230-AE230</x:f>
        <x:v>0</x:v>
      </x:c>
      <x:c r="AG230" s="42" t="n">
        <x:f>(O230+S230)/'Inputs &amp; Summary'!$B$4</x:f>
        <x:v>0.6</x:v>
      </x:c>
      <x:c r="AH230" s="40" t="n">
        <x:f>U230-O230-S230</x:f>
        <x:v>128496.64056107757</x:v>
      </x:c>
      <x:c r="AI230" s="40" t="n">
        <x:f>AC230-Y230</x:f>
        <x:v>84785.1540273627</x:v>
      </x:c>
      <x:c r="AJ230" s="40" t="n">
        <x:f>AH230-AI230</x:f>
        <x:v>43711.486533714866</x:v>
      </x:c>
    </x:row>
    <x:row r="231">
      <x:c r="A231" t="n">
        <x:f>A230+1</x:f>
        <x:v>227</x:v>
      </x:c>
      <x:c r="B231" t="n">
        <x:f>INT((A231-1)/12)+1</x:f>
        <x:v>19</x:v>
      </x:c>
      <x:c r="C231" t="n">
        <x:f>MOD(A231-1,12)+1</x:f>
        <x:v>11</x:v>
      </x:c>
      <x:c r="D231" s="40" t="n">
        <x:f>O230</x:f>
        <x:v>82627.48885099663</x:v>
      </x:c>
      <x:c r="E231" s="40" t="n">
        <x:f>D231*'Inputs &amp; Summary'!$B$15</x:f>
        <x:v>306.98752674527117</x:v>
      </x:c>
      <x:c r="F231" s="40" t="n">
        <x:f>IF(D231&lt;=0.00000001,0,MIN('Inputs &amp; Summary'!$B$18,D231+E231))</x:f>
        <x:v>2324.586407999052</x:v>
      </x:c>
      <x:c r="G231" s="40" t="n">
        <x:f>IF(ABS(MAX(0,D231+E231-F231))&lt;0.00000001,0,MAX(0,D231+E231-F231))</x:f>
        <x:v>80609.88996974284</x:v>
      </x:c>
      <x:c r="H231" s="40" t="n">
        <x:f>MAX(0,'Inputs &amp; Summary'!$B$18-F231)</x:f>
        <x:v>0</x:v>
      </x:c>
      <x:c r="I231" s="40" t="n">
        <x:f>S230</x:f>
        <x:v>337372.51114900335</x:v>
      </x:c>
      <x:c r="J231" s="40" t="n">
        <x:f>I231*'Inputs &amp; Summary'!$B$16</x:f>
        <x:v>1827.4344353904348</x:v>
      </x:c>
      <x:c r="K231" s="40" t="n">
        <x:f>IF(C231=1,J231,K230+J231)</x:f>
        <x:v>19509.528469104232</x:v>
      </x:c>
      <x:c r="L231" s="40" t="n">
        <x:f>IF(C231=12,K231*'Inputs &amp; Summary'!$B$11*'Inputs &amp; Summary'!$B$12,0)</x:f>
        <x:v>0</x:v>
      </x:c>
      <x:c r="M231" s="40" t="n">
        <x:f>MIN(L231,G231)</x:f>
        <x:v>0</x:v>
      </x:c>
      <x:c r="N231" s="40" t="n">
        <x:f>MAX(0,L231-M231)</x:f>
        <x:v>0</x:v>
      </x:c>
      <x:c r="O231" s="40" t="n">
        <x:f>IF(ABS(MAX(0,G231-M231))&lt;0.00000001,0,MAX(0,G231-M231))</x:f>
        <x:v>80609.88996974284</x:v>
      </x:c>
      <x:c r="P231" s="40" t="n">
        <x:f>MAX(0,D231-O231)</x:f>
        <x:v>2017.5988812537835</x:v>
      </x:c>
      <x:c r="Q231" s="40" t="n">
        <x:f>MAX(0,'Inputs &amp; Summary'!$B$19*'Inputs &amp; Summary'!$B$4-O231-I231)</x:f>
        <x:v>37017.5988812538</x:v>
      </x:c>
      <x:c r="R231" s="40" t="n">
        <x:f>MIN(P231,Q231)</x:f>
        <x:v>2017.5988812537835</x:v>
      </x:c>
      <x:c r="S231" s="40" t="n">
        <x:f>I231+R231</x:f>
        <x:v>339390.11003025714</x:v>
      </x:c>
      <x:c r="T231" s="40" t="n">
        <x:f>U230</x:f>
        <x:v>548496.6405610775</x:v>
      </x:c>
      <x:c r="U231" s="40" t="n">
        <x:f>T231*(1+'Inputs &amp; Summary'!$B$17)+R231+N231+H231</x:f>
        <x:v>553184.0745751831</x:v>
      </x:c>
      <x:c r="V231" s="40" t="n">
        <x:f>Y230</x:f>
        <x:v>150156.22335816536</x:v>
      </x:c>
      <x:c r="W231" s="40" t="n">
        <x:f>V231*'Inputs &amp; Summary'!$B$15</x:f>
        <x:v>557.8783559217134</x:v>
      </x:c>
      <x:c r="X231" s="40" t="n">
        <x:f>IF(V231&lt;=0.00000001,0,MIN('Inputs &amp; Summary'!$B$18,V231+W231))</x:f>
        <x:v>2324.586407999052</x:v>
      </x:c>
      <x:c r="Y231" s="40" t="n">
        <x:f>IF(ABS(MAX(0,V231+W231-X231))&lt;0.00000001,0,MAX(0,V231+W231-X231))</x:f>
        <x:v>148389.51530608803</x:v>
      </x:c>
      <x:c r="Z231" s="40" t="n">
        <x:f>MAX(0,'Inputs &amp; Summary'!$B$18-X231)</x:f>
        <x:v>0</x:v>
      </x:c>
      <x:c r="AA231" s="40" t="n">
        <x:f>AC230</x:f>
        <x:v>234941.37738552806</x:v>
      </x:c>
      <x:c r="AB231" s="40" t="n">
        <x:f>J231</x:f>
        <x:v>1827.4344353904348</x:v>
      </x:c>
      <x:c r="AC231" s="40" t="n">
        <x:f>AA231*(1+'Inputs &amp; Summary'!$B$17)+Z231+AB231</x:f>
        <x:v>237912.4008552339</x:v>
      </x:c>
      <x:c r="AD231" s="40" t="n">
        <x:f>F231+H231+J231</x:f>
        <x:v>4152.020843389487</x:v>
      </x:c>
      <x:c r="AE231" s="40" t="n">
        <x:f>X231+Z231+AB231</x:f>
        <x:v>4152.020843389487</x:v>
      </x:c>
      <x:c r="AF231" s="40" t="n">
        <x:f>AD231-AE231</x:f>
        <x:v>0</x:v>
      </x:c>
      <x:c r="AG231" s="42" t="n">
        <x:f>(O231+S231)/'Inputs &amp; Summary'!$B$4</x:f>
        <x:v>0.6</x:v>
      </x:c>
      <x:c r="AH231" s="40" t="n">
        <x:f>U231-O231-S231</x:f>
        <x:v>133184.0745751831</x:v>
      </x:c>
      <x:c r="AI231" s="40" t="n">
        <x:f>AC231-Y231</x:f>
        <x:v>89522.88554914587</x:v>
      </x:c>
      <x:c r="AJ231" s="40" t="n">
        <x:f>AH231-AI231</x:f>
        <x:v>43661.18902603723</x:v>
      </x:c>
    </x:row>
    <x:row r="232">
      <x:c r="A232" t="n">
        <x:f>A231+1</x:f>
        <x:v>228</x:v>
      </x:c>
      <x:c r="B232" t="n">
        <x:f>INT((A232-1)/12)+1</x:f>
        <x:v>19</x:v>
      </x:c>
      <x:c r="C232" t="n">
        <x:f>MOD(A232-1,12)+1</x:f>
        <x:v>12</x:v>
      </x:c>
      <x:c r="D232" s="40" t="n">
        <x:f>O231</x:f>
        <x:v>80609.88996974284</x:v>
      </x:c>
      <x:c r="E232" s="40" t="n">
        <x:f>D232*'Inputs &amp; Summary'!$B$15</x:f>
        <x:v>299.4915021276399</x:v>
      </x:c>
      <x:c r="F232" s="40" t="n">
        <x:f>IF(D232&lt;=0.00000001,0,MIN('Inputs &amp; Summary'!$B$18,D232+E232))</x:f>
        <x:v>2324.586407999052</x:v>
      </x:c>
      <x:c r="G232" s="40" t="n">
        <x:f>IF(ABS(MAX(0,D232+E232-F232))&lt;0.00000001,0,MAX(0,D232+E232-F232))</x:f>
        <x:v>78584.79506387142</x:v>
      </x:c>
      <x:c r="H232" s="40" t="n">
        <x:f>MAX(0,'Inputs &amp; Summary'!$B$18-F232)</x:f>
        <x:v>0</x:v>
      </x:c>
      <x:c r="I232" s="40" t="n">
        <x:f>S231</x:f>
        <x:v>339390.11003025714</x:v>
      </x:c>
      <x:c r="J232" s="40" t="n">
        <x:f>I232*'Inputs &amp; Summary'!$B$16</x:f>
        <x:v>1838.3630959972263</x:v>
      </x:c>
      <x:c r="K232" s="40" t="n">
        <x:f>IF(C232=1,J232,K231+J232)</x:f>
        <x:v>21347.891565101458</x:v>
      </x:c>
      <x:c r="L232" s="40" t="n">
        <x:f>IF(C232=12,K232*'Inputs &amp; Summary'!$B$11*'Inputs &amp; Summary'!$B$12,0)</x:f>
        <x:v>7471.76204778551</x:v>
      </x:c>
      <x:c r="M232" s="40" t="n">
        <x:f>MIN(L232,G232)</x:f>
        <x:v>7471.76204778551</x:v>
      </x:c>
      <x:c r="N232" s="40" t="n">
        <x:f>MAX(0,L232-M232)</x:f>
        <x:v>0</x:v>
      </x:c>
      <x:c r="O232" s="40" t="n">
        <x:f>IF(ABS(MAX(0,G232-M232))&lt;0.00000001,0,MAX(0,G232-M232))</x:f>
        <x:v>71113.03301608592</x:v>
      </x:c>
      <x:c r="P232" s="40" t="n">
        <x:f>MAX(0,D232-O232)</x:f>
        <x:v>9496.856953656927</x:v>
      </x:c>
      <x:c r="Q232" s="40" t="n">
        <x:f>MAX(0,'Inputs &amp; Summary'!$B$19*'Inputs &amp; Summary'!$B$4-O232-I232)</x:f>
        <x:v>44496.85695365694</x:v>
      </x:c>
      <x:c r="R232" s="40" t="n">
        <x:f>MIN(P232,Q232)</x:f>
        <x:v>9496.856953656927</x:v>
      </x:c>
      <x:c r="S232" s="40" t="n">
        <x:f>I232+R232</x:f>
        <x:v>348886.9669839141</x:v>
      </x:c>
      <x:c r="T232" s="40" t="n">
        <x:f>U231</x:f>
        <x:v>553184.0745751831</x:v>
      </x:c>
      <x:c r="U232" s="40" t="n">
        <x:f>T232*(1+'Inputs &amp; Summary'!$B$17)+R232+N232+H232</x:f>
        <x:v>565373.5829837772</x:v>
      </x:c>
      <x:c r="V232" s="40" t="n">
        <x:f>Y231</x:f>
        <x:v>148389.51530608803</x:v>
      </x:c>
      <x:c r="W232" s="40" t="n">
        <x:f>V232*'Inputs &amp; Summary'!$B$15</x:f>
        <x:v>551.314470912861</x:v>
      </x:c>
      <x:c r="X232" s="40" t="n">
        <x:f>IF(V232&lt;=0.00000001,0,MIN('Inputs &amp; Summary'!$B$18,V232+W232))</x:f>
        <x:v>2324.586407999052</x:v>
      </x:c>
      <x:c r="Y232" s="40" t="n">
        <x:f>IF(ABS(MAX(0,V232+W232-X232))&lt;0.00000001,0,MAX(0,V232+W232-X232))</x:f>
        <x:v>146616.24336900184</x:v>
      </x:c>
      <x:c r="Z232" s="40" t="n">
        <x:f>MAX(0,'Inputs &amp; Summary'!$B$18-X232)</x:f>
        <x:v>0</x:v>
      </x:c>
      <x:c r="AA232" s="40" t="n">
        <x:f>AC231</x:f>
        <x:v>237912.4008552339</x:v>
      </x:c>
      <x:c r="AB232" s="40" t="n">
        <x:f>J232</x:f>
        <x:v>1838.3630959972263</x:v>
      </x:c>
      <x:c r="AC232" s="40" t="n">
        <x:f>AA232*(1+'Inputs &amp; Summary'!$B$17)+Z232+AB232</x:f>
        <x:v>240908.81459251614</x:v>
      </x:c>
      <x:c r="AD232" s="40" t="n">
        <x:f>F232+H232+J232</x:f>
        <x:v>4162.9495039962785</x:v>
      </x:c>
      <x:c r="AE232" s="40" t="n">
        <x:f>X232+Z232+AB232</x:f>
        <x:v>4162.9495039962785</x:v>
      </x:c>
      <x:c r="AF232" s="40" t="n">
        <x:f>AD232-AE232</x:f>
        <x:v>0</x:v>
      </x:c>
      <x:c r="AG232" s="42" t="n">
        <x:f>(O232+S232)/'Inputs &amp; Summary'!$B$4</x:f>
        <x:v>0.6</x:v>
      </x:c>
      <x:c r="AH232" s="40" t="n">
        <x:f>U232-O232-S232</x:f>
        <x:v>145373.58298377716</x:v>
      </x:c>
      <x:c r="AI232" s="40" t="n">
        <x:f>AC232-Y232</x:f>
        <x:v>94292.5712235143</x:v>
      </x:c>
      <x:c r="AJ232" s="40" t="n">
        <x:f>AH232-AI232</x:f>
        <x:v>51081.01176026286</x:v>
      </x:c>
    </x:row>
    <x:row r="233">
      <x:c r="A233" t="n">
        <x:f>A232+1</x:f>
        <x:v>229</x:v>
      </x:c>
      <x:c r="B233" t="n">
        <x:f>INT((A233-1)/12)+1</x:f>
        <x:v>20</x:v>
      </x:c>
      <x:c r="C233" t="n">
        <x:f>MOD(A233-1,12)+1</x:f>
        <x:v>1</x:v>
      </x:c>
      <x:c r="D233" s="40" t="n">
        <x:f>O232</x:f>
        <x:v>71113.03301608592</x:v>
      </x:c>
      <x:c r="E233" s="40" t="n">
        <x:f>D233*'Inputs &amp; Summary'!$B$15</x:f>
        <x:v>264.20764358857446</x:v>
      </x:c>
      <x:c r="F233" s="40" t="n">
        <x:f>IF(D233&lt;=0.00000001,0,MIN('Inputs &amp; Summary'!$B$18,D233+E233))</x:f>
        <x:v>2324.586407999052</x:v>
      </x:c>
      <x:c r="G233" s="40" t="n">
        <x:f>IF(ABS(MAX(0,D233+E233-F233))&lt;0.00000001,0,MAX(0,D233+E233-F233))</x:f>
        <x:v>69052.65425167543</x:v>
      </x:c>
      <x:c r="H233" s="40" t="n">
        <x:f>MAX(0,'Inputs &amp; Summary'!$B$18-F233)</x:f>
        <x:v>0</x:v>
      </x:c>
      <x:c r="I233" s="40" t="n">
        <x:f>S232</x:f>
        <x:v>348886.9669839141</x:v>
      </x:c>
      <x:c r="J233" s="40" t="n">
        <x:f>I233*'Inputs &amp; Summary'!$B$16</x:f>
        <x:v>1889.8044044962014</x:v>
      </x:c>
      <x:c r="K233" s="40" t="n">
        <x:f>IF(C233=1,J233,K232+J233)</x:f>
        <x:v>1889.8044044962014</x:v>
      </x:c>
      <x:c r="L233" s="40" t="n">
        <x:f>IF(C233=12,K233*'Inputs &amp; Summary'!$B$11*'Inputs &amp; Summary'!$B$12,0)</x:f>
        <x:v>0</x:v>
      </x:c>
      <x:c r="M233" s="40" t="n">
        <x:f>MIN(L233,G233)</x:f>
        <x:v>0</x:v>
      </x:c>
      <x:c r="N233" s="40" t="n">
        <x:f>MAX(0,L233-M233)</x:f>
        <x:v>0</x:v>
      </x:c>
      <x:c r="O233" s="40" t="n">
        <x:f>IF(ABS(MAX(0,G233-M233))&lt;0.00000001,0,MAX(0,G233-M233))</x:f>
        <x:v>69052.65425167543</x:v>
      </x:c>
      <x:c r="P233" s="40" t="n">
        <x:f>MAX(0,D233-O233)</x:f>
        <x:v>2060.3787644104887</x:v>
      </x:c>
      <x:c r="Q233" s="40" t="n">
        <x:f>MAX(0,'Inputs &amp; Summary'!$B$19*'Inputs &amp; Summary'!$B$4-O233-I233)</x:f>
        <x:v>37060.3787644105</x:v>
      </x:c>
      <x:c r="R233" s="40" t="n">
        <x:f>MIN(P233,Q233)</x:f>
        <x:v>2060.3787644104887</x:v>
      </x:c>
      <x:c r="S233" s="40" t="n">
        <x:f>I233+R233</x:f>
        <x:v>350947.3457483246</x:v>
      </x:c>
      <x:c r="T233" s="40" t="n">
        <x:f>U232</x:f>
        <x:v>565373.5829837772</x:v>
      </x:c>
      <x:c r="U233" s="40" t="n">
        <x:f>T233*(1+'Inputs &amp; Summary'!$B$17)+R233+N233+H233</x:f>
        <x:v>570185.9462516704</x:v>
      </x:c>
      <x:c r="V233" s="40" t="n">
        <x:f>Y232</x:f>
        <x:v>146616.24336900184</x:v>
      </x:c>
      <x:c r="W233" s="40" t="n">
        <x:f>V233*'Inputs &amp; Summary'!$B$15</x:f>
        <x:v>544.7261989735483</x:v>
      </x:c>
      <x:c r="X233" s="40" t="n">
        <x:f>IF(V233&lt;=0.00000001,0,MIN('Inputs &amp; Summary'!$B$18,V233+W233))</x:f>
        <x:v>2324.586407999052</x:v>
      </x:c>
      <x:c r="Y233" s="40" t="n">
        <x:f>IF(ABS(MAX(0,V233+W233-X233))&lt;0.00000001,0,MAX(0,V233+W233-X233))</x:f>
        <x:v>144836.38315997634</x:v>
      </x:c>
      <x:c r="Z233" s="40" t="n">
        <x:f>MAX(0,'Inputs &amp; Summary'!$B$18-X233)</x:f>
        <x:v>0</x:v>
      </x:c>
      <x:c r="AA233" s="40" t="n">
        <x:f>AC232</x:f>
        <x:v>240908.81459251614</x:v>
      </x:c>
      <x:c r="AB233" s="40" t="n">
        <x:f>J233</x:f>
        <x:v>1889.8044044962014</x:v>
      </x:c>
      <x:c r="AC233" s="40" t="n">
        <x:f>AA233*(1+'Inputs &amp; Summary'!$B$17)+Z233+AB233</x:f>
        <x:v>243971.25483367828</x:v>
      </x:c>
      <x:c r="AD233" s="40" t="n">
        <x:f>F233+H233+J233</x:f>
        <x:v>4214.390812495253</x:v>
      </x:c>
      <x:c r="AE233" s="40" t="n">
        <x:f>X233+Z233+AB233</x:f>
        <x:v>4214.390812495253</x:v>
      </x:c>
      <x:c r="AF233" s="40" t="n">
        <x:f>AD233-AE233</x:f>
        <x:v>0</x:v>
      </x:c>
      <x:c r="AG233" s="42" t="n">
        <x:f>(O233+S233)/'Inputs &amp; Summary'!$B$4</x:f>
        <x:v>0.6</x:v>
      </x:c>
      <x:c r="AH233" s="40" t="n">
        <x:f>U233-O233-S233</x:f>
        <x:v>150185.94625167036</x:v>
      </x:c>
      <x:c r="AI233" s="40" t="n">
        <x:f>AC233-Y233</x:f>
        <x:v>99134.87167370194</x:v>
      </x:c>
      <x:c r="AJ233" s="40" t="n">
        <x:f>AH233-AI233</x:f>
        <x:v>51051.07457796842</x:v>
      </x:c>
    </x:row>
    <x:row r="234">
      <x:c r="A234" t="n">
        <x:f>A233+1</x:f>
        <x:v>230</x:v>
      </x:c>
      <x:c r="B234" t="n">
        <x:f>INT((A234-1)/12)+1</x:f>
        <x:v>20</x:v>
      </x:c>
      <x:c r="C234" t="n">
        <x:f>MOD(A234-1,12)+1</x:f>
        <x:v>2</x:v>
      </x:c>
      <x:c r="D234" s="40" t="n">
        <x:f>O233</x:f>
        <x:v>69052.65425167543</x:v>
      </x:c>
      <x:c r="E234" s="40" t="n">
        <x:f>D234*'Inputs &amp; Summary'!$B$15</x:f>
        <x:v>256.5526780336431</x:v>
      </x:c>
      <x:c r="F234" s="40" t="n">
        <x:f>IF(D234&lt;=0.00000001,0,MIN('Inputs &amp; Summary'!$B$18,D234+E234))</x:f>
        <x:v>2324.586407999052</x:v>
      </x:c>
      <x:c r="G234" s="40" t="n">
        <x:f>IF(ABS(MAX(0,D234+E234-F234))&lt;0.00000001,0,MAX(0,D234+E234-F234))</x:f>
        <x:v>66984.62052171</x:v>
      </x:c>
      <x:c r="H234" s="40" t="n">
        <x:f>MAX(0,'Inputs &amp; Summary'!$B$18-F234)</x:f>
        <x:v>0</x:v>
      </x:c>
      <x:c r="I234" s="40" t="n">
        <x:f>S233</x:f>
        <x:v>350947.3457483246</x:v>
      </x:c>
      <x:c r="J234" s="40" t="n">
        <x:f>I234*'Inputs &amp; Summary'!$B$16</x:f>
        <x:v>1900.9647894700915</x:v>
      </x:c>
      <x:c r="K234" s="40" t="n">
        <x:f>IF(C234=1,J234,K233+J234)</x:f>
        <x:v>3790.7691939662927</x:v>
      </x:c>
      <x:c r="L234" s="40" t="n">
        <x:f>IF(C234=12,K234*'Inputs &amp; Summary'!$B$11*'Inputs &amp; Summary'!$B$12,0)</x:f>
        <x:v>0</x:v>
      </x:c>
      <x:c r="M234" s="40" t="n">
        <x:f>MIN(L234,G234)</x:f>
        <x:v>0</x:v>
      </x:c>
      <x:c r="N234" s="40" t="n">
        <x:f>MAX(0,L234-M234)</x:f>
        <x:v>0</x:v>
      </x:c>
      <x:c r="O234" s="40" t="n">
        <x:f>IF(ABS(MAX(0,G234-M234))&lt;0.00000001,0,MAX(0,G234-M234))</x:f>
        <x:v>66984.62052171</x:v>
      </x:c>
      <x:c r="P234" s="40" t="n">
        <x:f>MAX(0,D234-O234)</x:f>
        <x:v>2068.03372996542</x:v>
      </x:c>
      <x:c r="Q234" s="40" t="n">
        <x:f>MAX(0,'Inputs &amp; Summary'!$B$19*'Inputs &amp; Summary'!$B$4-O234-I234)</x:f>
        <x:v>37068.03372996539</x:v>
      </x:c>
      <x:c r="R234" s="40" t="n">
        <x:f>MIN(P234,Q234)</x:f>
        <x:v>2068.03372996542</x:v>
      </x:c>
      <x:c r="S234" s="40" t="n">
        <x:f>I234+R234</x:f>
        <x:v>353015.37947829</x:v>
      </x:c>
      <x:c r="T234" s="40" t="n">
        <x:f>U233</x:f>
        <x:v>570185.9462516704</x:v>
      </x:c>
      <x:c r="U234" s="40" t="n">
        <x:f>T234*(1+'Inputs &amp; Summary'!$B$17)+R234+N234+H234</x:f>
        <x:v>575029.3889066637</x:v>
      </x:c>
      <x:c r="V234" s="40" t="n">
        <x:f>Y233</x:f>
        <x:v>144836.38315997634</x:v>
      </x:c>
      <x:c r="W234" s="40" t="n">
        <x:f>V234*'Inputs &amp; Summary'!$B$15</x:f>
        <x:v>538.1134494985355</x:v>
      </x:c>
      <x:c r="X234" s="40" t="n">
        <x:f>IF(V234&lt;=0.00000001,0,MIN('Inputs &amp; Summary'!$B$18,V234+W234))</x:f>
        <x:v>2324.586407999052</x:v>
      </x:c>
      <x:c r="Y234" s="40" t="n">
        <x:f>IF(ABS(MAX(0,V234+W234-X234))&lt;0.00000001,0,MAX(0,V234+W234-X234))</x:f>
        <x:v>143049.91020147584</x:v>
      </x:c>
      <x:c r="Z234" s="40" t="n">
        <x:f>MAX(0,'Inputs &amp; Summary'!$B$18-X234)</x:f>
        <x:v>0</x:v>
      </x:c>
      <x:c r="AA234" s="40" t="n">
        <x:f>AC233</x:f>
        <x:v>243971.25483367828</x:v>
      </x:c>
      <x:c r="AB234" s="40" t="n">
        <x:f>J234</x:f>
        <x:v>1900.9647894700915</x:v>
      </x:c>
      <x:c r="AC234" s="40" t="n">
        <x:f>AA234*(1+'Inputs &amp; Summary'!$B$17)+Z234+AB234</x:f>
        <x:v>247059.7620425415</x:v>
      </x:c>
      <x:c r="AD234" s="40" t="n">
        <x:f>F234+H234+J234</x:f>
        <x:v>4225.5511974691435</x:v>
      </x:c>
      <x:c r="AE234" s="40" t="n">
        <x:f>X234+Z234+AB234</x:f>
        <x:v>4225.5511974691435</x:v>
      </x:c>
      <x:c r="AF234" s="40" t="n">
        <x:f>AD234-AE234</x:f>
        <x:v>0</x:v>
      </x:c>
      <x:c r="AG234" s="42" t="n">
        <x:f>(O234+S234)/'Inputs &amp; Summary'!$B$4</x:f>
        <x:v>0.6</x:v>
      </x:c>
      <x:c r="AH234" s="40" t="n">
        <x:f>U234-O234-S234</x:f>
        <x:v>155029.38890666375</x:v>
      </x:c>
      <x:c r="AI234" s="40" t="n">
        <x:f>AC234-Y234</x:f>
        <x:v>104009.85184106565</x:v>
      </x:c>
      <x:c r="AJ234" s="40" t="n">
        <x:f>AH234-AI234</x:f>
        <x:v>51019.537065598095</x:v>
      </x:c>
    </x:row>
    <x:row r="235">
      <x:c r="A235" t="n">
        <x:f>A234+1</x:f>
        <x:v>231</x:v>
      </x:c>
      <x:c r="B235" t="n">
        <x:f>INT((A235-1)/12)+1</x:f>
        <x:v>20</x:v>
      </x:c>
      <x:c r="C235" t="n">
        <x:f>MOD(A235-1,12)+1</x:f>
        <x:v>3</x:v>
      </x:c>
      <x:c r="D235" s="40" t="n">
        <x:f>O234</x:f>
        <x:v>66984.62052171</x:v>
      </x:c>
      <x:c r="E235" s="40" t="n">
        <x:f>D235*'Inputs &amp; Summary'!$B$15</x:f>
        <x:v>248.86927183534104</x:v>
      </x:c>
      <x:c r="F235" s="40" t="n">
        <x:f>IF(D235&lt;=0.00000001,0,MIN('Inputs &amp; Summary'!$B$18,D235+E235))</x:f>
        <x:v>2324.586407999052</x:v>
      </x:c>
      <x:c r="G235" s="40" t="n">
        <x:f>IF(ABS(MAX(0,D235+E235-F235))&lt;0.00000001,0,MAX(0,D235+E235-F235))</x:f>
        <x:v>64908.9033855463</x:v>
      </x:c>
      <x:c r="H235" s="40" t="n">
        <x:f>MAX(0,'Inputs &amp; Summary'!$B$18-F235)</x:f>
        <x:v>0</x:v>
      </x:c>
      <x:c r="I235" s="40" t="n">
        <x:f>S234</x:f>
        <x:v>353015.37947829</x:v>
      </x:c>
      <x:c r="J235" s="40" t="n">
        <x:f>I235*'Inputs &amp; Summary'!$B$16</x:f>
        <x:v>1912.1666388407375</x:v>
      </x:c>
      <x:c r="K235" s="40" t="n">
        <x:f>IF(C235=1,J235,K234+J235)</x:f>
        <x:v>5702.93583280703</x:v>
      </x:c>
      <x:c r="L235" s="40" t="n">
        <x:f>IF(C235=12,K235*'Inputs &amp; Summary'!$B$11*'Inputs &amp; Summary'!$B$12,0)</x:f>
        <x:v>0</x:v>
      </x:c>
      <x:c r="M235" s="40" t="n">
        <x:f>MIN(L235,G235)</x:f>
        <x:v>0</x:v>
      </x:c>
      <x:c r="N235" s="40" t="n">
        <x:f>MAX(0,L235-M235)</x:f>
        <x:v>0</x:v>
      </x:c>
      <x:c r="O235" s="40" t="n">
        <x:f>IF(ABS(MAX(0,G235-M235))&lt;0.00000001,0,MAX(0,G235-M235))</x:f>
        <x:v>64908.9033855463</x:v>
      </x:c>
      <x:c r="P235" s="40" t="n">
        <x:f>MAX(0,D235-O235)</x:f>
        <x:v>2075.7171361637083</x:v>
      </x:c>
      <x:c r="Q235" s="40" t="n">
        <x:f>MAX(0,'Inputs &amp; Summary'!$B$19*'Inputs &amp; Summary'!$B$4-O235-I235)</x:f>
        <x:v>37075.71713616373</x:v>
      </x:c>
      <x:c r="R235" s="40" t="n">
        <x:f>MIN(P235,Q235)</x:f>
        <x:v>2075.7171361637083</x:v>
      </x:c>
      <x:c r="S235" s="40" t="n">
        <x:f>I235+R235</x:f>
        <x:v>355091.0966144537</x:v>
      </x:c>
      <x:c r="T235" s="40" t="n">
        <x:f>U234</x:f>
        <x:v>575029.3889066637</x:v>
      </x:c>
      <x:c r="U235" s="40" t="n">
        <x:f>T235*(1+'Inputs &amp; Summary'!$B$17)+R235+N235+H235</x:f>
        <x:v>579904.090669889</x:v>
      </x:c>
      <x:c r="V235" s="40" t="n">
        <x:f>Y234</x:f>
        <x:v>143049.91020147584</x:v>
      </x:c>
      <x:c r="W235" s="40" t="n">
        <x:f>V235*'Inputs &amp; Summary'!$B$15</x:f>
        <x:v>531.4761315459549</x:v>
      </x:c>
      <x:c r="X235" s="40" t="n">
        <x:f>IF(V235&lt;=0.00000001,0,MIN('Inputs &amp; Summary'!$B$18,V235+W235))</x:f>
        <x:v>2324.586407999052</x:v>
      </x:c>
      <x:c r="Y235" s="40" t="n">
        <x:f>IF(ABS(MAX(0,V235+W235-X235))&lt;0.00000001,0,MAX(0,V235+W235-X235))</x:f>
        <x:v>141256.79992502276</x:v>
      </x:c>
      <x:c r="Z235" s="40" t="n">
        <x:f>MAX(0,'Inputs &amp; Summary'!$B$18-X235)</x:f>
        <x:v>0</x:v>
      </x:c>
      <x:c r="AA235" s="40" t="n">
        <x:f>AC234</x:f>
        <x:v>247059.7620425415</x:v>
      </x:c>
      <x:c r="AB235" s="40" t="n">
        <x:f>J235</x:f>
        <x:v>1912.1666388407375</x:v>
      </x:c>
      <x:c r="AC235" s="40" t="n">
        <x:f>AA235*(1+'Inputs &amp; Summary'!$B$17)+Z235+AB235</x:f>
        <x:v>250174.50456578593</x:v>
      </x:c>
      <x:c r="AD235" s="40" t="n">
        <x:f>F235+H235+J235</x:f>
        <x:v>4236.753046839789</x:v>
      </x:c>
      <x:c r="AE235" s="40" t="n">
        <x:f>X235+Z235+AB235</x:f>
        <x:v>4236.753046839789</x:v>
      </x:c>
      <x:c r="AF235" s="40" t="n">
        <x:f>AD235-AE235</x:f>
        <x:v>0</x:v>
      </x:c>
      <x:c r="AG235" s="42" t="n">
        <x:f>(O235+S235)/'Inputs &amp; Summary'!$B$4</x:f>
        <x:v>0.6</x:v>
      </x:c>
      <x:c r="AH235" s="40" t="n">
        <x:f>U235-O235-S235</x:f>
        <x:v>159904.090669889</x:v>
      </x:c>
      <x:c r="AI235" s="40" t="n">
        <x:f>AC235-Y235</x:f>
        <x:v>108917.70464076317</x:v>
      </x:c>
      <x:c r="AJ235" s="40" t="n">
        <x:f>AH235-AI235</x:f>
        <x:v>50986.38602912583</x:v>
      </x:c>
    </x:row>
    <x:row r="236">
      <x:c r="A236" t="n">
        <x:f>A235+1</x:f>
        <x:v>232</x:v>
      </x:c>
      <x:c r="B236" t="n">
        <x:f>INT((A236-1)/12)+1</x:f>
        <x:v>20</x:v>
      </x:c>
      <x:c r="C236" t="n">
        <x:f>MOD(A236-1,12)+1</x:f>
        <x:v>4</x:v>
      </x:c>
      <x:c r="D236" s="40" t="n">
        <x:f>O235</x:f>
        <x:v>64908.9033855463</x:v>
      </x:c>
      <x:c r="E236" s="40" t="n">
        <x:f>D236*'Inputs &amp; Summary'!$B$15</x:f>
        <x:v>241.15731932758928</x:v>
      </x:c>
      <x:c r="F236" s="40" t="n">
        <x:f>IF(D236&lt;=0.00000001,0,MIN('Inputs &amp; Summary'!$B$18,D236+E236))</x:f>
        <x:v>2324.586407999052</x:v>
      </x:c>
      <x:c r="G236" s="40" t="n">
        <x:f>IF(ABS(MAX(0,D236+E236-F236))&lt;0.00000001,0,MAX(0,D236+E236-F236))</x:f>
        <x:v>62825.47429687484</x:v>
      </x:c>
      <x:c r="H236" s="40" t="n">
        <x:f>MAX(0,'Inputs &amp; Summary'!$B$18-F236)</x:f>
        <x:v>0</x:v>
      </x:c>
      <x:c r="I236" s="40" t="n">
        <x:f>S235</x:f>
        <x:v>355091.0966144537</x:v>
      </x:c>
      <x:c r="J236" s="40" t="n">
        <x:f>I236*'Inputs &amp; Summary'!$B$16</x:f>
        <x:v>1923.4101066616242</x:v>
      </x:c>
      <x:c r="K236" s="40" t="n">
        <x:f>IF(C236=1,J236,K235+J236)</x:f>
        <x:v>7626.345939468654</x:v>
      </x:c>
      <x:c r="L236" s="40" t="n">
        <x:f>IF(C236=12,K236*'Inputs &amp; Summary'!$B$11*'Inputs &amp; Summary'!$B$12,0)</x:f>
        <x:v>0</x:v>
      </x:c>
      <x:c r="M236" s="40" t="n">
        <x:f>MIN(L236,G236)</x:f>
        <x:v>0</x:v>
      </x:c>
      <x:c r="N236" s="40" t="n">
        <x:f>MAX(0,L236-M236)</x:f>
        <x:v>0</x:v>
      </x:c>
      <x:c r="O236" s="40" t="n">
        <x:f>IF(ABS(MAX(0,G236-M236))&lt;0.00000001,0,MAX(0,G236-M236))</x:f>
        <x:v>62825.47429687484</x:v>
      </x:c>
      <x:c r="P236" s="40" t="n">
        <x:f>MAX(0,D236-O236)</x:f>
        <x:v>2083.429088671459</x:v>
      </x:c>
      <x:c r="Q236" s="40" t="n">
        <x:f>MAX(0,'Inputs &amp; Summary'!$B$19*'Inputs &amp; Summary'!$B$4-O236-I236)</x:f>
        <x:v>37083.42908867146</x:v>
      </x:c>
      <x:c r="R236" s="40" t="n">
        <x:f>MIN(P236,Q236)</x:f>
        <x:v>2083.429088671459</x:v>
      </x:c>
      <x:c r="S236" s="40" t="n">
        <x:f>I236+R236</x:f>
        <x:v>357174.52570312517</x:v>
      </x:c>
      <x:c r="T236" s="40" t="n">
        <x:f>U235</x:f>
        <x:v>579904.090669889</x:v>
      </x:c>
      <x:c r="U236" s="40" t="n">
        <x:f>T236*(1+'Inputs &amp; Summary'!$B$17)+R236+N236+H236</x:f>
        <x:v>584810.2322429455</x:v>
      </x:c>
      <x:c r="V236" s="40" t="n">
        <x:f>Y235</x:f>
        <x:v>141256.79992502276</x:v>
      </x:c>
      <x:c r="W236" s="40" t="n">
        <x:f>V236*'Inputs &amp; Summary'!$B$15</x:f>
        <x:v>524.8141538360608</x:v>
      </x:c>
      <x:c r="X236" s="40" t="n">
        <x:f>IF(V236&lt;=0.00000001,0,MIN('Inputs &amp; Summary'!$B$18,V236+W236))</x:f>
        <x:v>2324.586407999052</x:v>
      </x:c>
      <x:c r="Y236" s="40" t="n">
        <x:f>IF(ABS(MAX(0,V236+W236-X236))&lt;0.00000001,0,MAX(0,V236+W236-X236))</x:f>
        <x:v>139457.02767085977</x:v>
      </x:c>
      <x:c r="Z236" s="40" t="n">
        <x:f>MAX(0,'Inputs &amp; Summary'!$B$18-X236)</x:f>
        <x:v>0</x:v>
      </x:c>
      <x:c r="AA236" s="40" t="n">
        <x:f>AC235</x:f>
        <x:v>250174.50456578593</x:v>
      </x:c>
      <x:c r="AB236" s="40" t="n">
        <x:f>J236</x:f>
        <x:v>1923.4101066616242</x:v>
      </x:c>
      <x:c r="AC236" s="40" t="n">
        <x:f>AA236*(1+'Inputs &amp; Summary'!$B$17)+Z236+AB236</x:f>
        <x:v>253315.65172358116</x:v>
      </x:c>
      <x:c r="AD236" s="40" t="n">
        <x:f>F236+H236+J236</x:f>
        <x:v>4247.996514660676</x:v>
      </x:c>
      <x:c r="AE236" s="40" t="n">
        <x:f>X236+Z236+AB236</x:f>
        <x:v>4247.996514660676</x:v>
      </x:c>
      <x:c r="AF236" s="40" t="n">
        <x:f>AD236-AE236</x:f>
        <x:v>0</x:v>
      </x:c>
      <x:c r="AG236" s="42" t="n">
        <x:f>(O236+S236)/'Inputs &amp; Summary'!$B$4</x:f>
        <x:v>0.6</x:v>
      </x:c>
      <x:c r="AH236" s="40" t="n">
        <x:f>U236-O236-S236</x:f>
        <x:v>164810.23224294547</x:v>
      </x:c>
      <x:c r="AI236" s="40" t="n">
        <x:f>AC236-Y236</x:f>
        <x:v>113858.6240527214</x:v>
      </x:c>
      <x:c r="AJ236" s="40" t="n">
        <x:f>AH236-AI236</x:f>
        <x:v>50951.60819022407</x:v>
      </x:c>
    </x:row>
    <x:row r="237">
      <x:c r="A237" t="n">
        <x:f>A236+1</x:f>
        <x:v>233</x:v>
      </x:c>
      <x:c r="B237" t="n">
        <x:f>INT((A237-1)/12)+1</x:f>
        <x:v>20</x:v>
      </x:c>
      <x:c r="C237" t="n">
        <x:f>MOD(A237-1,12)+1</x:f>
        <x:v>5</x:v>
      </x:c>
      <x:c r="D237" s="40" t="n">
        <x:f>O236</x:f>
        <x:v>62825.47429687484</x:v>
      </x:c>
      <x:c r="E237" s="40" t="n">
        <x:f>D237*'Inputs &amp; Summary'!$B$15</x:f>
        <x:v>233.41671445172548</x:v>
      </x:c>
      <x:c r="F237" s="40" t="n">
        <x:f>IF(D237&lt;=0.00000001,0,MIN('Inputs &amp; Summary'!$B$18,D237+E237))</x:f>
        <x:v>2324.586407999052</x:v>
      </x:c>
      <x:c r="G237" s="40" t="n">
        <x:f>IF(ABS(MAX(0,D237+E237-F237))&lt;0.00000001,0,MAX(0,D237+E237-F237))</x:f>
        <x:v>60734.30460332752</x:v>
      </x:c>
      <x:c r="H237" s="40" t="n">
        <x:f>MAX(0,'Inputs &amp; Summary'!$B$18-F237)</x:f>
        <x:v>0</x:v>
      </x:c>
      <x:c r="I237" s="40" t="n">
        <x:f>S236</x:f>
        <x:v>357174.52570312517</x:v>
      </x:c>
      <x:c r="J237" s="40" t="n">
        <x:f>I237*'Inputs &amp; Summary'!$B$16</x:f>
        <x:v>1934.6953475585947</x:v>
      </x:c>
      <x:c r="K237" s="40" t="n">
        <x:f>IF(C237=1,J237,K236+J237)</x:f>
        <x:v>9561.041287027248</x:v>
      </x:c>
      <x:c r="L237" s="40" t="n">
        <x:f>IF(C237=12,K237*'Inputs &amp; Summary'!$B$11*'Inputs &amp; Summary'!$B$12,0)</x:f>
        <x:v>0</x:v>
      </x:c>
      <x:c r="M237" s="40" t="n">
        <x:f>MIN(L237,G237)</x:f>
        <x:v>0</x:v>
      </x:c>
      <x:c r="N237" s="40" t="n">
        <x:f>MAX(0,L237-M237)</x:f>
        <x:v>0</x:v>
      </x:c>
      <x:c r="O237" s="40" t="n">
        <x:f>IF(ABS(MAX(0,G237-M237))&lt;0.00000001,0,MAX(0,G237-M237))</x:f>
        <x:v>60734.30460332752</x:v>
      </x:c>
      <x:c r="P237" s="40" t="n">
        <x:f>MAX(0,D237-O237)</x:f>
        <x:v>2091.169693547323</x:v>
      </x:c>
      <x:c r="Q237" s="40" t="n">
        <x:f>MAX(0,'Inputs &amp; Summary'!$B$19*'Inputs &amp; Summary'!$B$4-O237-I237)</x:f>
        <x:v>37091.1696935473</x:v>
      </x:c>
      <x:c r="R237" s="40" t="n">
        <x:f>MIN(P237,Q237)</x:f>
        <x:v>2091.169693547323</x:v>
      </x:c>
      <x:c r="S237" s="40" t="n">
        <x:f>I237+R237</x:f>
        <x:v>359265.69539667247</x:v>
      </x:c>
      <x:c r="T237" s="40" t="n">
        <x:f>U236</x:f>
        <x:v>584810.2322429455</x:v>
      </x:c>
      <x:c r="U237" s="40" t="n">
        <x:f>T237*(1+'Inputs &amp; Summary'!$B$17)+R237+N237+H237</x:f>
        <x:v>589747.9953130654</x:v>
      </x:c>
      <x:c r="V237" s="40" t="n">
        <x:f>Y236</x:f>
        <x:v>139457.02767085977</x:v>
      </x:c>
      <x:c r="W237" s="40" t="n">
        <x:f>V237*'Inputs &amp; Summary'!$B$15</x:f>
        <x:v>518.1274247499741</x:v>
      </x:c>
      <x:c r="X237" s="40" t="n">
        <x:f>IF(V237&lt;=0.00000001,0,MIN('Inputs &amp; Summary'!$B$18,V237+W237))</x:f>
        <x:v>2324.586407999052</x:v>
      </x:c>
      <x:c r="Y237" s="40" t="n">
        <x:f>IF(ABS(MAX(0,V237+W237-X237))&lt;0.00000001,0,MAX(0,V237+W237-X237))</x:f>
        <x:v>137650.5686876107</x:v>
      </x:c>
      <x:c r="Z237" s="40" t="n">
        <x:f>MAX(0,'Inputs &amp; Summary'!$B$18-X237)</x:f>
        <x:v>0</x:v>
      </x:c>
      <x:c r="AA237" s="40" t="n">
        <x:f>AC236</x:f>
        <x:v>253315.65172358116</x:v>
      </x:c>
      <x:c r="AB237" s="40" t="n">
        <x:f>J237</x:f>
        <x:v>1934.6953475585947</x:v>
      </x:c>
      <x:c r="AC237" s="40" t="n">
        <x:f>AA237*(1+'Inputs &amp; Summary'!$B$17)+Z237+AB237</x:f>
        <x:v>256483.37381489712</x:v>
      </x:c>
      <x:c r="AD237" s="40" t="n">
        <x:f>F237+H237+J237</x:f>
        <x:v>4259.281755557647</x:v>
      </x:c>
      <x:c r="AE237" s="40" t="n">
        <x:f>X237+Z237+AB237</x:f>
        <x:v>4259.281755557647</x:v>
      </x:c>
      <x:c r="AF237" s="40" t="n">
        <x:f>AD237-AE237</x:f>
        <x:v>0</x:v>
      </x:c>
      <x:c r="AG237" s="42" t="n">
        <x:f>(O237+S237)/'Inputs &amp; Summary'!$B$4</x:f>
        <x:v>0.6</x:v>
      </x:c>
      <x:c r="AH237" s="40" t="n">
        <x:f>U237-O237-S237</x:f>
        <x:v>169747.99531306536</x:v>
      </x:c>
      <x:c r="AI237" s="40" t="n">
        <x:f>AC237-Y237</x:f>
        <x:v>118832.80512728641</x:v>
      </x:c>
      <x:c r="AJ237" s="40" t="n">
        <x:f>AH237-AI237</x:f>
        <x:v>50915.19018577895</x:v>
      </x:c>
    </x:row>
    <x:row r="238">
      <x:c r="A238" t="n">
        <x:f>A237+1</x:f>
        <x:v>234</x:v>
      </x:c>
      <x:c r="B238" t="n">
        <x:f>INT((A238-1)/12)+1</x:f>
        <x:v>20</x:v>
      </x:c>
      <x:c r="C238" t="n">
        <x:f>MOD(A238-1,12)+1</x:f>
        <x:v>6</x:v>
      </x:c>
      <x:c r="D238" s="40" t="n">
        <x:f>O237</x:f>
        <x:v>60734.30460332752</x:v>
      </x:c>
      <x:c r="E238" s="40" t="n">
        <x:f>D238*'Inputs &amp; Summary'!$B$15</x:f>
        <x:v>225.64735075504555</x:v>
      </x:c>
      <x:c r="F238" s="40" t="n">
        <x:f>IF(D238&lt;=0.00000001,0,MIN('Inputs &amp; Summary'!$B$18,D238+E238))</x:f>
        <x:v>2324.586407999052</x:v>
      </x:c>
      <x:c r="G238" s="40" t="n">
        <x:f>IF(ABS(MAX(0,D238+E238-F238))&lt;0.00000001,0,MAX(0,D238+E238-F238))</x:f>
        <x:v>58635.365546083514</x:v>
      </x:c>
      <x:c r="H238" s="40" t="n">
        <x:f>MAX(0,'Inputs &amp; Summary'!$B$18-F238)</x:f>
        <x:v>0</x:v>
      </x:c>
      <x:c r="I238" s="40" t="n">
        <x:f>S237</x:f>
        <x:v>359265.69539667247</x:v>
      </x:c>
      <x:c r="J238" s="40" t="n">
        <x:f>I238*'Inputs &amp; Summary'!$B$16</x:f>
        <x:v>1946.0225167319759</x:v>
      </x:c>
      <x:c r="K238" s="40" t="n">
        <x:f>IF(C238=1,J238,K237+J238)</x:f>
        <x:v>11507.063803759225</x:v>
      </x:c>
      <x:c r="L238" s="40" t="n">
        <x:f>IF(C238=12,K238*'Inputs &amp; Summary'!$B$11*'Inputs &amp; Summary'!$B$12,0)</x:f>
        <x:v>0</x:v>
      </x:c>
      <x:c r="M238" s="40" t="n">
        <x:f>MIN(L238,G238)</x:f>
        <x:v>0</x:v>
      </x:c>
      <x:c r="N238" s="40" t="n">
        <x:f>MAX(0,L238-M238)</x:f>
        <x:v>0</x:v>
      </x:c>
      <x:c r="O238" s="40" t="n">
        <x:f>IF(ABS(MAX(0,G238-M238))&lt;0.00000001,0,MAX(0,G238-M238))</x:f>
        <x:v>58635.365546083514</x:v>
      </x:c>
      <x:c r="P238" s="40" t="n">
        <x:f>MAX(0,D238-O238)</x:f>
        <x:v>2098.9390572440025</x:v>
      </x:c>
      <x:c r="Q238" s="40" t="n">
        <x:f>MAX(0,'Inputs &amp; Summary'!$B$19*'Inputs &amp; Summary'!$B$4-O238-I238)</x:f>
        <x:v>37098.93905724399</x:v>
      </x:c>
      <x:c r="R238" s="40" t="n">
        <x:f>MIN(P238,Q238)</x:f>
        <x:v>2098.9390572440025</x:v>
      </x:c>
      <x:c r="S238" s="40" t="n">
        <x:f>I238+R238</x:f>
        <x:v>361364.63445391646</x:v>
      </x:c>
      <x:c r="T238" s="40" t="n">
        <x:f>U237</x:f>
        <x:v>589747.9953130654</x:v>
      </x:c>
      <x:c r="U238" s="40" t="n">
        <x:f>T238*(1+'Inputs &amp; Summary'!$B$17)+R238+N238+H238</x:f>
        <x:v>594717.5625583053</x:v>
      </x:c>
      <x:c r="V238" s="40" t="n">
        <x:f>Y237</x:f>
        <x:v>137650.5686876107</x:v>
      </x:c>
      <x:c r="W238" s="40" t="n">
        <x:f>V238*'Inputs &amp; Summary'!$B$15</x:f>
        <x:v>511.4158523284226</x:v>
      </x:c>
      <x:c r="X238" s="40" t="n">
        <x:f>IF(V238&lt;=0.00000001,0,MIN('Inputs &amp; Summary'!$B$18,V238+W238))</x:f>
        <x:v>2324.586407999052</x:v>
      </x:c>
      <x:c r="Y238" s="40" t="n">
        <x:f>IF(ABS(MAX(0,V238+W238-X238))&lt;0.00000001,0,MAX(0,V238+W238-X238))</x:f>
        <x:v>135837.39813194008</x:v>
      </x:c>
      <x:c r="Z238" s="40" t="n">
        <x:f>MAX(0,'Inputs &amp; Summary'!$B$18-X238)</x:f>
        <x:v>0</x:v>
      </x:c>
      <x:c r="AA238" s="40" t="n">
        <x:f>AC237</x:f>
        <x:v>256483.37381489712</x:v>
      </x:c>
      <x:c r="AB238" s="40" t="n">
        <x:f>J238</x:f>
        <x:v>1946.0225167319759</x:v>
      </x:c>
      <x:c r="AC238" s="40" t="n">
        <x:f>AA238*(1+'Inputs &amp; Summary'!$B$17)+Z238+AB238</x:f>
        <x:v>259677.8421228429</x:v>
      </x:c>
      <x:c r="AD238" s="40" t="n">
        <x:f>F238+H238+J238</x:f>
        <x:v>4270.608924731028</x:v>
      </x:c>
      <x:c r="AE238" s="40" t="n">
        <x:f>X238+Z238+AB238</x:f>
        <x:v>4270.608924731028</x:v>
      </x:c>
      <x:c r="AF238" s="40" t="n">
        <x:f>AD238-AE238</x:f>
        <x:v>0</x:v>
      </x:c>
      <x:c r="AG238" s="42" t="n">
        <x:f>(O238+S238)/'Inputs &amp; Summary'!$B$4</x:f>
        <x:v>0.6</x:v>
      </x:c>
      <x:c r="AH238" s="40" t="n">
        <x:f>U238-O238-S238</x:f>
        <x:v>174717.56255830533</x:v>
      </x:c>
      <x:c r="AI238" s="40" t="n">
        <x:f>AC238-Y238</x:f>
        <x:v>123840.44399090283</x:v>
      </x:c>
      <x:c r="AJ238" s="40" t="n">
        <x:f>AH238-AI238</x:f>
        <x:v>50877.118567402504</x:v>
      </x:c>
    </x:row>
    <x:row r="239">
      <x:c r="A239" t="n">
        <x:f>A238+1</x:f>
        <x:v>235</x:v>
      </x:c>
      <x:c r="B239" t="n">
        <x:f>INT((A239-1)/12)+1</x:f>
        <x:v>20</x:v>
      </x:c>
      <x:c r="C239" t="n">
        <x:f>MOD(A239-1,12)+1</x:f>
        <x:v>7</x:v>
      </x:c>
      <x:c r="D239" s="40" t="n">
        <x:f>O238</x:f>
        <x:v>58635.365546083514</x:v>
      </x:c>
      <x:c r="E239" s="40" t="n">
        <x:f>D239*'Inputs &amp; Summary'!$B$15</x:f>
        <x:v>217.84912138933956</x:v>
      </x:c>
      <x:c r="F239" s="40" t="n">
        <x:f>IF(D239&lt;=0.00000001,0,MIN('Inputs &amp; Summary'!$B$18,D239+E239))</x:f>
        <x:v>2324.586407999052</x:v>
      </x:c>
      <x:c r="G239" s="40" t="n">
        <x:f>IF(ABS(MAX(0,D239+E239-F239))&lt;0.00000001,0,MAX(0,D239+E239-F239))</x:f>
        <x:v>56528.62825947381</x:v>
      </x:c>
      <x:c r="H239" s="40" t="n">
        <x:f>MAX(0,'Inputs &amp; Summary'!$B$18-F239)</x:f>
        <x:v>0</x:v>
      </x:c>
      <x:c r="I239" s="40" t="n">
        <x:f>S238</x:f>
        <x:v>361364.63445391646</x:v>
      </x:c>
      <x:c r="J239" s="40" t="n">
        <x:f>I239*'Inputs &amp; Summary'!$B$16</x:f>
        <x:v>1957.3917699587141</x:v>
      </x:c>
      <x:c r="K239" s="40" t="n">
        <x:f>IF(C239=1,J239,K238+J239)</x:f>
        <x:v>13464.45557371794</x:v>
      </x:c>
      <x:c r="L239" s="40" t="n">
        <x:f>IF(C239=12,K239*'Inputs &amp; Summary'!$B$11*'Inputs &amp; Summary'!$B$12,0)</x:f>
        <x:v>0</x:v>
      </x:c>
      <x:c r="M239" s="40" t="n">
        <x:f>MIN(L239,G239)</x:f>
        <x:v>0</x:v>
      </x:c>
      <x:c r="N239" s="40" t="n">
        <x:f>MAX(0,L239-M239)</x:f>
        <x:v>0</x:v>
      </x:c>
      <x:c r="O239" s="40" t="n">
        <x:f>IF(ABS(MAX(0,G239-M239))&lt;0.00000001,0,MAX(0,G239-M239))</x:f>
        <x:v>56528.62825947381</x:v>
      </x:c>
      <x:c r="P239" s="40" t="n">
        <x:f>MAX(0,D239-O239)</x:f>
        <x:v>2106.7372866097066</x:v>
      </x:c>
      <x:c r="Q239" s="40" t="n">
        <x:f>MAX(0,'Inputs &amp; Summary'!$B$19*'Inputs &amp; Summary'!$B$4-O239-I239)</x:f>
        <x:v>37106.737286609714</x:v>
      </x:c>
      <x:c r="R239" s="40" t="n">
        <x:f>MIN(P239,Q239)</x:f>
        <x:v>2106.7372866097066</x:v>
      </x:c>
      <x:c r="S239" s="40" t="n">
        <x:f>I239+R239</x:f>
        <x:v>363471.37174052617</x:v>
      </x:c>
      <x:c r="T239" s="40" t="n">
        <x:f>U238</x:f>
        <x:v>594717.5625583053</x:v>
      </x:c>
      <x:c r="U239" s="40" t="n">
        <x:f>T239*(1+'Inputs &amp; Summary'!$B$17)+R239+N239+H239</x:f>
        <x:v>599719.1176527651</x:v>
      </x:c>
      <x:c r="V239" s="40" t="n">
        <x:f>Y238</x:f>
        <x:v>135837.39813194008</x:v>
      </x:c>
      <x:c r="W239" s="40" t="n">
        <x:f>V239*'Inputs &amp; Summary'!$B$15</x:f>
        <x:v>504.6793442704755</x:v>
      </x:c>
      <x:c r="X239" s="40" t="n">
        <x:f>IF(V239&lt;=0.00000001,0,MIN('Inputs &amp; Summary'!$B$18,V239+W239))</x:f>
        <x:v>2324.586407999052</x:v>
      </x:c>
      <x:c r="Y239" s="40" t="n">
        <x:f>IF(ABS(MAX(0,V239+W239-X239))&lt;0.00000001,0,MAX(0,V239+W239-X239))</x:f>
        <x:v>134017.4910682115</x:v>
      </x:c>
      <x:c r="Z239" s="40" t="n">
        <x:f>MAX(0,'Inputs &amp; Summary'!$B$18-X239)</x:f>
        <x:v>0</x:v>
      </x:c>
      <x:c r="AA239" s="40" t="n">
        <x:f>AC238</x:f>
        <x:v>259677.8421228429</x:v>
      </x:c>
      <x:c r="AB239" s="40" t="n">
        <x:f>J239</x:f>
        <x:v>1957.3917699587141</x:v>
      </x:c>
      <x:c r="AC239" s="40" t="n">
        <x:f>AA239*(1+'Inputs &amp; Summary'!$B$17)+Z239+AB239</x:f>
        <x:v>262899.2289200337</x:v>
      </x:c>
      <x:c r="AD239" s="40" t="n">
        <x:f>F239+H239+J239</x:f>
        <x:v>4281.978177957766</x:v>
      </x:c>
      <x:c r="AE239" s="40" t="n">
        <x:f>X239+Z239+AB239</x:f>
        <x:v>4281.978177957766</x:v>
      </x:c>
      <x:c r="AF239" s="40" t="n">
        <x:f>AD239-AE239</x:f>
        <x:v>0</x:v>
      </x:c>
      <x:c r="AG239" s="42" t="n">
        <x:f>(O239+S239)/'Inputs &amp; Summary'!$B$4</x:f>
        <x:v>0.6</x:v>
      </x:c>
      <x:c r="AH239" s="40" t="n">
        <x:f>U239-O239-S239</x:f>
        <x:v>179719.11765276513</x:v>
      </x:c>
      <x:c r="AI239" s="40" t="n">
        <x:f>AC239-Y239</x:f>
        <x:v>128881.73785182222</x:v>
      </x:c>
      <x:c r="AJ239" s="40" t="n">
        <x:f>AH239-AI239</x:f>
        <x:v>50837.3798009429</x:v>
      </x:c>
    </x:row>
    <x:row r="240">
      <x:c r="A240" t="n">
        <x:f>A239+1</x:f>
        <x:v>236</x:v>
      </x:c>
      <x:c r="B240" t="n">
        <x:f>INT((A240-1)/12)+1</x:f>
        <x:v>20</x:v>
      </x:c>
      <x:c r="C240" t="n">
        <x:f>MOD(A240-1,12)+1</x:f>
        <x:v>8</x:v>
      </x:c>
      <x:c r="D240" s="40" t="n">
        <x:f>O239</x:f>
        <x:v>56528.62825947381</x:v>
      </x:c>
      <x:c r="E240" s="40" t="n">
        <x:f>D240*'Inputs &amp; Summary'!$B$15</x:f>
        <x:v>210.0219191094223</x:v>
      </x:c>
      <x:c r="F240" s="40" t="n">
        <x:f>IF(D240&lt;=0.00000001,0,MIN('Inputs &amp; Summary'!$B$18,D240+E240))</x:f>
        <x:v>2324.586407999052</x:v>
      </x:c>
      <x:c r="G240" s="40" t="n">
        <x:f>IF(ABS(MAX(0,D240+E240-F240))&lt;0.00000001,0,MAX(0,D240+E240-F240))</x:f>
        <x:v>54414.06377058418</x:v>
      </x:c>
      <x:c r="H240" s="40" t="n">
        <x:f>MAX(0,'Inputs &amp; Summary'!$B$18-F240)</x:f>
        <x:v>0</x:v>
      </x:c>
      <x:c r="I240" s="40" t="n">
        <x:f>S239</x:f>
        <x:v>363471.37174052617</x:v>
      </x:c>
      <x:c r="J240" s="40" t="n">
        <x:f>I240*'Inputs &amp; Summary'!$B$16</x:f>
        <x:v>1968.803263594517</x:v>
      </x:c>
      <x:c r="K240" s="40" t="n">
        <x:f>IF(C240=1,J240,K239+J240)</x:f>
        <x:v>15433.258837312456</x:v>
      </x:c>
      <x:c r="L240" s="40" t="n">
        <x:f>IF(C240=12,K240*'Inputs &amp; Summary'!$B$11*'Inputs &amp; Summary'!$B$12,0)</x:f>
        <x:v>0</x:v>
      </x:c>
      <x:c r="M240" s="40" t="n">
        <x:f>MIN(L240,G240)</x:f>
        <x:v>0</x:v>
      </x:c>
      <x:c r="N240" s="40" t="n">
        <x:f>MAX(0,L240-M240)</x:f>
        <x:v>0</x:v>
      </x:c>
      <x:c r="O240" s="40" t="n">
        <x:f>IF(ABS(MAX(0,G240-M240))&lt;0.00000001,0,MAX(0,G240-M240))</x:f>
        <x:v>54414.06377058418</x:v>
      </x:c>
      <x:c r="P240" s="40" t="n">
        <x:f>MAX(0,D240-O240)</x:f>
        <x:v>2114.5644888896277</x:v>
      </x:c>
      <x:c r="Q240" s="40" t="n">
        <x:f>MAX(0,'Inputs &amp; Summary'!$B$19*'Inputs &amp; Summary'!$B$4-O240-I240)</x:f>
        <x:v>37114.56448888965</x:v>
      </x:c>
      <x:c r="R240" s="40" t="n">
        <x:f>MIN(P240,Q240)</x:f>
        <x:v>2114.5644888896277</x:v>
      </x:c>
      <x:c r="S240" s="40" t="n">
        <x:f>I240+R240</x:f>
        <x:v>365585.9362294158</x:v>
      </x:c>
      <x:c r="T240" s="40" t="n">
        <x:f>U239</x:f>
        <x:v>599719.1176527651</x:v>
      </x:c>
      <x:c r="U240" s="40" t="n">
        <x:f>T240*(1+'Inputs &amp; Summary'!$B$17)+R240+N240+H240</x:f>
        <x:v>604752.8452718325</x:v>
      </x:c>
      <x:c r="V240" s="40" t="n">
        <x:f>Y239</x:f>
        <x:v>134017.4910682115</x:v>
      </x:c>
      <x:c r="W240" s="40" t="n">
        <x:f>V240*'Inputs &amp; Summary'!$B$15</x:f>
        <x:v>497.9178079322748</x:v>
      </x:c>
      <x:c r="X240" s="40" t="n">
        <x:f>IF(V240&lt;=0.00000001,0,MIN('Inputs &amp; Summary'!$B$18,V240+W240))</x:f>
        <x:v>2324.586407999052</x:v>
      </x:c>
      <x:c r="Y240" s="40" t="n">
        <x:f>IF(ABS(MAX(0,V240+W240-X240))&lt;0.00000001,0,MAX(0,V240+W240-X240))</x:f>
        <x:v>132190.82246814473</x:v>
      </x:c>
      <x:c r="Z240" s="40" t="n">
        <x:f>MAX(0,'Inputs &amp; Summary'!$B$18-X240)</x:f>
        <x:v>0</x:v>
      </x:c>
      <x:c r="AA240" s="40" t="n">
        <x:f>AC239</x:f>
        <x:v>262899.2289200337</x:v>
      </x:c>
      <x:c r="AB240" s="40" t="n">
        <x:f>J240</x:f>
        <x:v>1968.803263594517</x:v>
      </x:c>
      <x:c r="AC240" s="40" t="n">
        <x:f>AA240*(1+'Inputs &amp; Summary'!$B$17)+Z240+AB240</x:f>
        <x:v>266147.7074739862</x:v>
      </x:c>
      <x:c r="AD240" s="40" t="n">
        <x:f>F240+H240+J240</x:f>
        <x:v>4293.389671593569</x:v>
      </x:c>
      <x:c r="AE240" s="40" t="n">
        <x:f>X240+Z240+AB240</x:f>
        <x:v>4293.389671593569</x:v>
      </x:c>
      <x:c r="AF240" s="40" t="n">
        <x:f>AD240-AE240</x:f>
        <x:v>0</x:v>
      </x:c>
      <x:c r="AG240" s="42" t="n">
        <x:f>(O240+S240)/'Inputs &amp; Summary'!$B$4</x:f>
        <x:v>0.6</x:v>
      </x:c>
      <x:c r="AH240" s="40" t="n">
        <x:f>U240-O240-S240</x:f>
        <x:v>184752.84527183254</x:v>
      </x:c>
      <x:c r="AI240" s="40" t="n">
        <x:f>AC240-Y240</x:f>
        <x:v>133956.88500584147</x:v>
      </x:c>
      <x:c r="AJ240" s="40" t="n">
        <x:f>AH240-AI240</x:f>
        <x:v>50795.960265991074</x:v>
      </x:c>
    </x:row>
    <x:row r="241">
      <x:c r="A241" t="n">
        <x:f>A240+1</x:f>
        <x:v>237</x:v>
      </x:c>
      <x:c r="B241" t="n">
        <x:f>INT((A241-1)/12)+1</x:f>
        <x:v>20</x:v>
      </x:c>
      <x:c r="C241" t="n">
        <x:f>MOD(A241-1,12)+1</x:f>
        <x:v>9</x:v>
      </x:c>
      <x:c r="D241" s="40" t="n">
        <x:f>O240</x:f>
        <x:v>54414.06377058418</x:v>
      </x:c>
      <x:c r="E241" s="40" t="n">
        <x:f>D241*'Inputs &amp; Summary'!$B$15</x:f>
        <x:v>202.16563627165849</x:v>
      </x:c>
      <x:c r="F241" s="40" t="n">
        <x:f>IF(D241&lt;=0.00000001,0,MIN('Inputs &amp; Summary'!$B$18,D241+E241))</x:f>
        <x:v>2324.586407999052</x:v>
      </x:c>
      <x:c r="G241" s="40" t="n">
        <x:f>IF(ABS(MAX(0,D241+E241-F241))&lt;0.00000001,0,MAX(0,D241+E241-F241))</x:f>
        <x:v>52291.64299885679</x:v>
      </x:c>
      <x:c r="H241" s="40" t="n">
        <x:f>MAX(0,'Inputs &amp; Summary'!$B$18-F241)</x:f>
        <x:v>0</x:v>
      </x:c>
      <x:c r="I241" s="40" t="n">
        <x:f>S240</x:f>
        <x:v>365585.9362294158</x:v>
      </x:c>
      <x:c r="J241" s="40" t="n">
        <x:f>I241*'Inputs &amp; Summary'!$B$16</x:f>
        <x:v>1980.2571545760024</x:v>
      </x:c>
      <x:c r="K241" s="40" t="n">
        <x:f>IF(C241=1,J241,K240+J241)</x:f>
        <x:v>17413.51599188846</x:v>
      </x:c>
      <x:c r="L241" s="40" t="n">
        <x:f>IF(C241=12,K241*'Inputs &amp; Summary'!$B$11*'Inputs &amp; Summary'!$B$12,0)</x:f>
        <x:v>0</x:v>
      </x:c>
      <x:c r="M241" s="40" t="n">
        <x:f>MIN(L241,G241)</x:f>
        <x:v>0</x:v>
      </x:c>
      <x:c r="N241" s="40" t="n">
        <x:f>MAX(0,L241-M241)</x:f>
        <x:v>0</x:v>
      </x:c>
      <x:c r="O241" s="40" t="n">
        <x:f>IF(ABS(MAX(0,G241-M241))&lt;0.00000001,0,MAX(0,G241-M241))</x:f>
        <x:v>52291.64299885679</x:v>
      </x:c>
      <x:c r="P241" s="40" t="n">
        <x:f>MAX(0,D241-O241)</x:f>
        <x:v>2122.4207717273894</x:v>
      </x:c>
      <x:c r="Q241" s="40" t="n">
        <x:f>MAX(0,'Inputs &amp; Summary'!$B$19*'Inputs &amp; Summary'!$B$4-O241-I241)</x:f>
        <x:v>37122.4207717274</x:v>
      </x:c>
      <x:c r="R241" s="40" t="n">
        <x:f>MIN(P241,Q241)</x:f>
        <x:v>2122.4207717273894</x:v>
      </x:c>
      <x:c r="S241" s="40" t="n">
        <x:f>I241+R241</x:f>
        <x:v>367708.3570011432</x:v>
      </x:c>
      <x:c r="T241" s="40" t="n">
        <x:f>U240</x:f>
        <x:v>604752.8452718325</x:v>
      </x:c>
      <x:c r="U241" s="40" t="n">
        <x:f>T241*(1+'Inputs &amp; Summary'!$B$17)+R241+N241+H241</x:f>
        <x:v>609818.9310974556</x:v>
      </x:c>
      <x:c r="V241" s="40" t="n">
        <x:f>Y240</x:f>
        <x:v>132190.82246814473</x:v>
      </x:c>
      <x:c r="W241" s="40" t="n">
        <x:f>V241*'Inputs &amp; Summary'!$B$15</x:f>
        <x:v>491.1311503257611</x:v>
      </x:c>
      <x:c r="X241" s="40" t="n">
        <x:f>IF(V241&lt;=0.00000001,0,MIN('Inputs &amp; Summary'!$B$18,V241+W241))</x:f>
        <x:v>2324.586407999052</x:v>
      </x:c>
      <x:c r="Y241" s="40" t="n">
        <x:f>IF(ABS(MAX(0,V241+W241-X241))&lt;0.00000001,0,MAX(0,V241+W241-X241))</x:f>
        <x:v>130357.36721047144</x:v>
      </x:c>
      <x:c r="Z241" s="40" t="n">
        <x:f>MAX(0,'Inputs &amp; Summary'!$B$18-X241)</x:f>
        <x:v>0</x:v>
      </x:c>
      <x:c r="AA241" s="40" t="n">
        <x:f>AC240</x:f>
        <x:v>266147.7074739862</x:v>
      </x:c>
      <x:c r="AB241" s="40" t="n">
        <x:f>J241</x:f>
        <x:v>1980.2571545760024</x:v>
      </x:c>
      <x:c r="AC241" s="40" t="n">
        <x:f>AA241*(1+'Inputs &amp; Summary'!$B$17)+Z241+AB241</x:f>
        <x:v>269423.45205254195</x:v>
      </x:c>
      <x:c r="AD241" s="40" t="n">
        <x:f>F241+H241+J241</x:f>
        <x:v>4304.843562575054</x:v>
      </x:c>
      <x:c r="AE241" s="40" t="n">
        <x:f>X241+Z241+AB241</x:f>
        <x:v>4304.843562575054</x:v>
      </x:c>
      <x:c r="AF241" s="40" t="n">
        <x:f>AD241-AE241</x:f>
        <x:v>0</x:v>
      </x:c>
      <x:c r="AG241" s="42" t="n">
        <x:f>(O241+S241)/'Inputs &amp; Summary'!$B$4</x:f>
        <x:v>0.6</x:v>
      </x:c>
      <x:c r="AH241" s="40" t="n">
        <x:f>U241-O241-S241</x:f>
        <x:v>189818.9310974555</x:v>
      </x:c>
      <x:c r="AI241" s="40" t="n">
        <x:f>AC241-Y241</x:f>
        <x:v>139066.08484207053</x:v>
      </x:c>
      <x:c r="AJ241" s="40" t="n">
        <x:f>AH241-AI241</x:f>
        <x:v>50752.84625538497</x:v>
      </x:c>
    </x:row>
    <x:row r="242">
      <x:c r="A242" t="n">
        <x:f>A241+1</x:f>
        <x:v>238</x:v>
      </x:c>
      <x:c r="B242" t="n">
        <x:f>INT((A242-1)/12)+1</x:f>
        <x:v>20</x:v>
      </x:c>
      <x:c r="C242" t="n">
        <x:f>MOD(A242-1,12)+1</x:f>
        <x:v>10</x:v>
      </x:c>
      <x:c r="D242" s="40" t="n">
        <x:f>O241</x:f>
        <x:v>52291.64299885679</x:v>
      </x:c>
      <x:c r="E242" s="40" t="n">
        <x:f>D242*'Inputs &amp; Summary'!$B$15</x:f>
        <x:v>194.2801648324823</x:v>
      </x:c>
      <x:c r="F242" s="40" t="n">
        <x:f>IF(D242&lt;=0.00000001,0,MIN('Inputs &amp; Summary'!$B$18,D242+E242))</x:f>
        <x:v>2324.586407999052</x:v>
      </x:c>
      <x:c r="G242" s="40" t="n">
        <x:f>IF(ABS(MAX(0,D242+E242-F242))&lt;0.00000001,0,MAX(0,D242+E242-F242))</x:f>
        <x:v>50161.33675569022</x:v>
      </x:c>
      <x:c r="H242" s="40" t="n">
        <x:f>MAX(0,'Inputs &amp; Summary'!$B$18-F242)</x:f>
        <x:v>0</x:v>
      </x:c>
      <x:c r="I242" s="40" t="n">
        <x:f>S241</x:f>
        <x:v>367708.3570011432</x:v>
      </x:c>
      <x:c r="J242" s="40" t="n">
        <x:f>I242*'Inputs &amp; Summary'!$B$16</x:f>
        <x:v>1991.753600422859</x:v>
      </x:c>
      <x:c r="K242" s="40" t="n">
        <x:f>IF(C242=1,J242,K241+J242)</x:f>
        <x:v>19405.26959231132</x:v>
      </x:c>
      <x:c r="L242" s="40" t="n">
        <x:f>IF(C242=12,K242*'Inputs &amp; Summary'!$B$11*'Inputs &amp; Summary'!$B$12,0)</x:f>
        <x:v>0</x:v>
      </x:c>
      <x:c r="M242" s="40" t="n">
        <x:f>MIN(L242,G242)</x:f>
        <x:v>0</x:v>
      </x:c>
      <x:c r="N242" s="40" t="n">
        <x:f>MAX(0,L242-M242)</x:f>
        <x:v>0</x:v>
      </x:c>
      <x:c r="O242" s="40" t="n">
        <x:f>IF(ABS(MAX(0,G242-M242))&lt;0.00000001,0,MAX(0,G242-M242))</x:f>
        <x:v>50161.33675569022</x:v>
      </x:c>
      <x:c r="P242" s="40" t="n">
        <x:f>MAX(0,D242-O242)</x:f>
        <x:v>2130.3062431665676</x:v>
      </x:c>
      <x:c r="Q242" s="40" t="n">
        <x:f>MAX(0,'Inputs &amp; Summary'!$B$19*'Inputs &amp; Summary'!$B$4-O242-I242)</x:f>
        <x:v>37130.30624316656</x:v>
      </x:c>
      <x:c r="R242" s="40" t="n">
        <x:f>MIN(P242,Q242)</x:f>
        <x:v>2130.3062431665676</x:v>
      </x:c>
      <x:c r="S242" s="40" t="n">
        <x:f>I242+R242</x:f>
        <x:v>369838.6632443098</x:v>
      </x:c>
      <x:c r="T242" s="40" t="n">
        <x:f>U241</x:f>
        <x:v>609818.9310974556</x:v>
      </x:c>
      <x:c r="U242" s="40" t="n">
        <x:f>T242*(1+'Inputs &amp; Summary'!$B$17)+R242+N242+H242</x:f>
        <x:v>614917.5618234425</x:v>
      </x:c>
      <x:c r="V242" s="40" t="n">
        <x:f>Y241</x:f>
        <x:v>130357.36721047144</x:v>
      </x:c>
      <x:c r="W242" s="40" t="n">
        <x:f>V242*'Inputs &amp; Summary'!$B$15</x:f>
        <x:v>484.31927811739433</x:v>
      </x:c>
      <x:c r="X242" s="40" t="n">
        <x:f>IF(V242&lt;=0.00000001,0,MIN('Inputs &amp; Summary'!$B$18,V242+W242))</x:f>
        <x:v>2324.586407999052</x:v>
      </x:c>
      <x:c r="Y242" s="40" t="n">
        <x:f>IF(ABS(MAX(0,V242+W242-X242))&lt;0.00000001,0,MAX(0,V242+W242-X242))</x:f>
        <x:v>128517.10008058978</x:v>
      </x:c>
      <x:c r="Z242" s="40" t="n">
        <x:f>MAX(0,'Inputs &amp; Summary'!$B$18-X242)</x:f>
        <x:v>0</x:v>
      </x:c>
      <x:c r="AA242" s="40" t="n">
        <x:f>AC241</x:f>
        <x:v>269423.45205254195</x:v>
      </x:c>
      <x:c r="AB242" s="40" t="n">
        <x:f>J242</x:f>
        <x:v>1991.753600422859</x:v>
      </x:c>
      <x:c r="AC242" s="40" t="n">
        <x:f>AA242*(1+'Inputs &amp; Summary'!$B$17)+Z242+AB242</x:f>
        <x:v>272726.63792931987</x:v>
      </x:c>
      <x:c r="AD242" s="40" t="n">
        <x:f>F242+H242+J242</x:f>
        <x:v>4316.340008421911</x:v>
      </x:c>
      <x:c r="AE242" s="40" t="n">
        <x:f>X242+Z242+AB242</x:f>
        <x:v>4316.340008421911</x:v>
      </x:c>
      <x:c r="AF242" s="40" t="n">
        <x:f>AD242-AE242</x:f>
        <x:v>0</x:v>
      </x:c>
      <x:c r="AG242" s="42" t="n">
        <x:f>(O242+S242)/'Inputs &amp; Summary'!$B$4</x:f>
        <x:v>0.6</x:v>
      </x:c>
      <x:c r="AH242" s="40" t="n">
        <x:f>U242-O242-S242</x:f>
        <x:v>194917.5618234424</x:v>
      </x:c>
      <x:c r="AI242" s="40" t="n">
        <x:f>AC242-Y242</x:f>
        <x:v>144209.5378487301</x:v>
      </x:c>
      <x:c r="AJ242" s="40" t="n">
        <x:f>AH242-AI242</x:f>
        <x:v>50708.0239747123</x:v>
      </x:c>
    </x:row>
    <x:row r="243">
      <x:c r="A243" t="n">
        <x:f>A242+1</x:f>
        <x:v>239</x:v>
      </x:c>
      <x:c r="B243" t="n">
        <x:f>INT((A243-1)/12)+1</x:f>
        <x:v>20</x:v>
      </x:c>
      <x:c r="C243" t="n">
        <x:f>MOD(A243-1,12)+1</x:f>
        <x:v>11</x:v>
      </x:c>
      <x:c r="D243" s="40" t="n">
        <x:f>O242</x:f>
        <x:v>50161.33675569022</x:v>
      </x:c>
      <x:c r="E243" s="40" t="n">
        <x:f>D243*'Inputs &amp; Summary'!$B$15</x:f>
        <x:v>186.3653963469116</x:v>
      </x:c>
      <x:c r="F243" s="40" t="n">
        <x:f>IF(D243&lt;=0.00000001,0,MIN('Inputs &amp; Summary'!$B$18,D243+E243))</x:f>
        <x:v>2324.586407999052</x:v>
      </x:c>
      <x:c r="G243" s="40" t="n">
        <x:f>IF(ABS(MAX(0,D243+E243-F243))&lt;0.00000001,0,MAX(0,D243+E243-F243))</x:f>
        <x:v>48023.115744038085</x:v>
      </x:c>
      <x:c r="H243" s="40" t="n">
        <x:f>MAX(0,'Inputs &amp; Summary'!$B$18-F243)</x:f>
        <x:v>0</x:v>
      </x:c>
      <x:c r="I243" s="40" t="n">
        <x:f>S242</x:f>
        <x:v>369838.6632443098</x:v>
      </x:c>
      <x:c r="J243" s="40" t="n">
        <x:f>I243*'Inputs &amp; Summary'!$B$16</x:f>
        <x:v>2003.2927592400113</x:v>
      </x:c>
      <x:c r="K243" s="40" t="n">
        <x:f>IF(C243=1,J243,K242+J243)</x:f>
        <x:v>21408.562351551333</x:v>
      </x:c>
      <x:c r="L243" s="40" t="n">
        <x:f>IF(C243=12,K243*'Inputs &amp; Summary'!$B$11*'Inputs &amp; Summary'!$B$12,0)</x:f>
        <x:v>0</x:v>
      </x:c>
      <x:c r="M243" s="40" t="n">
        <x:f>MIN(L243,G243)</x:f>
        <x:v>0</x:v>
      </x:c>
      <x:c r="N243" s="40" t="n">
        <x:f>MAX(0,L243-M243)</x:f>
        <x:v>0</x:v>
      </x:c>
      <x:c r="O243" s="40" t="n">
        <x:f>IF(ABS(MAX(0,G243-M243))&lt;0.00000001,0,MAX(0,G243-M243))</x:f>
        <x:v>48023.115744038085</x:v>
      </x:c>
      <x:c r="P243" s="40" t="n">
        <x:f>MAX(0,D243-O243)</x:f>
        <x:v>2138.2210116521383</x:v>
      </x:c>
      <x:c r="Q243" s="40" t="n">
        <x:f>MAX(0,'Inputs &amp; Summary'!$B$19*'Inputs &amp; Summary'!$B$4-O243-I243)</x:f>
        <x:v>37138.221011652146</x:v>
      </x:c>
      <x:c r="R243" s="40" t="n">
        <x:f>MIN(P243,Q243)</x:f>
        <x:v>2138.2210116521383</x:v>
      </x:c>
      <x:c r="S243" s="40" t="n">
        <x:f>I243+R243</x:f>
        <x:v>371976.8842559619</x:v>
      </x:c>
      <x:c r="T243" s="40" t="n">
        <x:f>U242</x:f>
        <x:v>614917.5618234425</x:v>
      </x:c>
      <x:c r="U243" s="40" t="n">
        <x:f>T243*(1+'Inputs &amp; Summary'!$B$17)+R243+N243+H243</x:f>
        <x:v>620048.9251607877</x:v>
      </x:c>
      <x:c r="V243" s="40" t="n">
        <x:f>Y242</x:f>
        <x:v>128517.10008058978</x:v>
      </x:c>
      <x:c r="W243" s="40" t="n">
        <x:f>V243*'Inputs &amp; Summary'!$B$15</x:f>
        <x:v>477.48209762687077</x:v>
      </x:c>
      <x:c r="X243" s="40" t="n">
        <x:f>IF(V243&lt;=0.00000001,0,MIN('Inputs &amp; Summary'!$B$18,V243+W243))</x:f>
        <x:v>2324.586407999052</x:v>
      </x:c>
      <x:c r="Y243" s="40" t="n">
        <x:f>IF(ABS(MAX(0,V243+W243-X243))&lt;0.00000001,0,MAX(0,V243+W243-X243))</x:f>
        <x:v>126669.99577021759</x:v>
      </x:c>
      <x:c r="Z243" s="40" t="n">
        <x:f>MAX(0,'Inputs &amp; Summary'!$B$18-X243)</x:f>
        <x:v>0</x:v>
      </x:c>
      <x:c r="AA243" s="40" t="n">
        <x:f>AC242</x:f>
        <x:v>272726.63792931987</x:v>
      </x:c>
      <x:c r="AB243" s="40" t="n">
        <x:f>J243</x:f>
        <x:v>2003.2927592400113</x:v>
      </x:c>
      <x:c r="AC243" s="40" t="n">
        <x:f>AA243*(1+'Inputs &amp; Summary'!$B$17)+Z243+AB243</x:f>
        <x:v>276057.44138919684</x:v>
      </x:c>
      <x:c r="AD243" s="40" t="n">
        <x:f>F243+H243+J243</x:f>
        <x:v>4327.8791672390635</x:v>
      </x:c>
      <x:c r="AE243" s="40" t="n">
        <x:f>X243+Z243+AB243</x:f>
        <x:v>4327.8791672390635</x:v>
      </x:c>
      <x:c r="AF243" s="40" t="n">
        <x:f>AD243-AE243</x:f>
        <x:v>0</x:v>
      </x:c>
      <x:c r="AG243" s="42" t="n">
        <x:f>(O243+S243)/'Inputs &amp; Summary'!$B$4</x:f>
        <x:v>0.6</x:v>
      </x:c>
      <x:c r="AH243" s="40" t="n">
        <x:f>U243-O243-S243</x:f>
        <x:v>200048.9251607876</x:v>
      </x:c>
      <x:c r="AI243" s="40" t="n">
        <x:f>AC243-Y243</x:f>
        <x:v>149387.44561897925</x:v>
      </x:c>
      <x:c r="AJ243" s="40" t="n">
        <x:f>AH243-AI243</x:f>
        <x:v>50661.47954180834</x:v>
      </x:c>
    </x:row>
    <x:row r="244">
      <x:c r="A244" t="n">
        <x:f>A243+1</x:f>
        <x:v>240</x:v>
      </x:c>
      <x:c r="B244" t="n">
        <x:f>INT((A244-1)/12)+1</x:f>
        <x:v>20</x:v>
      </x:c>
      <x:c r="C244" t="n">
        <x:f>MOD(A244-1,12)+1</x:f>
        <x:v>12</x:v>
      </x:c>
      <x:c r="D244" s="40" t="n">
        <x:f>O243</x:f>
        <x:v>48023.115744038085</x:v>
      </x:c>
      <x:c r="E244" s="40" t="n">
        <x:f>D244*'Inputs &amp; Summary'!$B$15</x:f>
        <x:v>178.42122196705637</x:v>
      </x:c>
      <x:c r="F244" s="40" t="n">
        <x:f>IF(D244&lt;=0.00000001,0,MIN('Inputs &amp; Summary'!$B$18,D244+E244))</x:f>
        <x:v>2324.586407999052</x:v>
      </x:c>
      <x:c r="G244" s="40" t="n">
        <x:f>IF(ABS(MAX(0,D244+E244-F244))&lt;0.00000001,0,MAX(0,D244+E244-F244))</x:f>
        <x:v>45876.950558006094</x:v>
      </x:c>
      <x:c r="H244" s="40" t="n">
        <x:f>MAX(0,'Inputs &amp; Summary'!$B$18-F244)</x:f>
        <x:v>0</x:v>
      </x:c>
      <x:c r="I244" s="40" t="n">
        <x:f>S243</x:f>
        <x:v>371976.8842559619</x:v>
      </x:c>
      <x:c r="J244" s="40" t="n">
        <x:f>I244*'Inputs &amp; Summary'!$B$16</x:f>
        <x:v>2014.8747897197939</x:v>
      </x:c>
      <x:c r="K244" s="40" t="n">
        <x:f>IF(C244=1,J244,K243+J244)</x:f>
        <x:v>23423.437141271126</x:v>
      </x:c>
      <x:c r="L244" s="40" t="n">
        <x:f>IF(C244=12,K244*'Inputs &amp; Summary'!$B$11*'Inputs &amp; Summary'!$B$12,0)</x:f>
        <x:v>8198.202999444893</x:v>
      </x:c>
      <x:c r="M244" s="40" t="n">
        <x:f>MIN(L244,G244)</x:f>
        <x:v>8198.202999444893</x:v>
      </x:c>
      <x:c r="N244" s="40" t="n">
        <x:f>MAX(0,L244-M244)</x:f>
        <x:v>0</x:v>
      </x:c>
      <x:c r="O244" s="40" t="n">
        <x:f>IF(ABS(MAX(0,G244-M244))&lt;0.00000001,0,MAX(0,G244-M244))</x:f>
        <x:v>37678.7475585612</x:v>
      </x:c>
      <x:c r="P244" s="40" t="n">
        <x:f>MAX(0,D244-O244)</x:f>
        <x:v>10344.368185476887</x:v>
      </x:c>
      <x:c r="Q244" s="40" t="n">
        <x:f>MAX(0,'Inputs &amp; Summary'!$B$19*'Inputs &amp; Summary'!$B$4-O244-I244)</x:f>
        <x:v>45344.368185476866</x:v>
      </x:c>
      <x:c r="R244" s="40" t="n">
        <x:f>MIN(P244,Q244)</x:f>
        <x:v>10344.368185476887</x:v>
      </x:c>
      <x:c r="S244" s="40" t="n">
        <x:f>I244+R244</x:f>
        <x:v>382321.2524414388</x:v>
      </x:c>
      <x:c r="T244" s="40" t="n">
        <x:f>U243</x:f>
        <x:v>620048.9251607877</x:v>
      </x:c>
      <x:c r="U244" s="40" t="n">
        <x:f>T244*(1+'Inputs &amp; Summary'!$B$17)+R244+N244+H244</x:f>
        <x:v>633411.4128424713</x:v>
      </x:c>
      <x:c r="V244" s="40" t="n">
        <x:f>Y243</x:f>
        <x:v>126669.99577021759</x:v>
      </x:c>
      <x:c r="W244" s="40" t="n">
        <x:f>V244*'Inputs &amp; Summary'!$B$15</x:f>
        <x:v>470.6195148258342</x:v>
      </x:c>
      <x:c r="X244" s="40" t="n">
        <x:f>IF(V244&lt;=0.00000001,0,MIN('Inputs &amp; Summary'!$B$18,V244+W244))</x:f>
        <x:v>2324.586407999052</x:v>
      </x:c>
      <x:c r="Y244" s="40" t="n">
        <x:f>IF(ABS(MAX(0,V244+W244-X244))&lt;0.00000001,0,MAX(0,V244+W244-X244))</x:f>
        <x:v>124816.02887704437</x:v>
      </x:c>
      <x:c r="Z244" s="40" t="n">
        <x:f>MAX(0,'Inputs &amp; Summary'!$B$18-X244)</x:f>
        <x:v>0</x:v>
      </x:c>
      <x:c r="AA244" s="40" t="n">
        <x:f>AC243</x:f>
        <x:v>276057.44138919684</x:v>
      </x:c>
      <x:c r="AB244" s="40" t="n">
        <x:f>J244</x:f>
        <x:v>2014.8747897197939</x:v>
      </x:c>
      <x:c r="AC244" s="40" t="n">
        <x:f>AA244*(1+'Inputs &amp; Summary'!$B$17)+Z244+AB244</x:f>
        <x:v>279416.0397338178</x:v>
      </x:c>
      <x:c r="AD244" s="40" t="n">
        <x:f>F244+H244+J244</x:f>
        <x:v>4339.461197718846</x:v>
      </x:c>
      <x:c r="AE244" s="40" t="n">
        <x:f>X244+Z244+AB244</x:f>
        <x:v>4339.461197718846</x:v>
      </x:c>
      <x:c r="AF244" s="40" t="n">
        <x:f>AD244-AE244</x:f>
        <x:v>0</x:v>
      </x:c>
      <x:c r="AG244" s="42" t="n">
        <x:f>(O244+S244)/'Inputs &amp; Summary'!$B$4</x:f>
        <x:v>0.6</x:v>
      </x:c>
      <x:c r="AH244" s="40" t="n">
        <x:f>U244-O244-S244</x:f>
        <x:v>213411.41284247133</x:v>
      </x:c>
      <x:c r="AI244" s="40" t="n">
        <x:f>AC244-Y244</x:f>
        <x:v>154600.0108567734</x:v>
      </x:c>
      <x:c r="AJ244" s="40" t="n">
        <x:f>AH244-AI244</x:f>
        <x:v>58811.401985697914</x:v>
      </x:c>
    </x:row>
    <x:row r="245">
      <x:c r="A245" t="n">
        <x:f>A244+1</x:f>
        <x:v>241</x:v>
      </x:c>
      <x:c r="B245" t="n">
        <x:f>INT((A245-1)/12)+1</x:f>
        <x:v>21</x:v>
      </x:c>
      <x:c r="C245" t="n">
        <x:f>MOD(A245-1,12)+1</x:f>
        <x:v>1</x:v>
      </x:c>
      <x:c r="D245" s="40" t="n">
        <x:f>O244</x:f>
        <x:v>37678.7475585612</x:v>
      </x:c>
      <x:c r="E245" s="40" t="n">
        <x:f>D245*'Inputs &amp; Summary'!$B$15</x:f>
        <x:v>139.98858835854128</x:v>
      </x:c>
      <x:c r="F245" s="40" t="n">
        <x:f>IF(D245&lt;=0.00000001,0,MIN('Inputs &amp; Summary'!$B$18,D245+E245))</x:f>
        <x:v>2324.586407999052</x:v>
      </x:c>
      <x:c r="G245" s="40" t="n">
        <x:f>IF(ABS(MAX(0,D245+E245-F245))&lt;0.00000001,0,MAX(0,D245+E245-F245))</x:f>
        <x:v>35494.14973892069</x:v>
      </x:c>
      <x:c r="H245" s="40" t="n">
        <x:f>MAX(0,'Inputs &amp; Summary'!$B$18-F245)</x:f>
        <x:v>0</x:v>
      </x:c>
      <x:c r="I245" s="40" t="n">
        <x:f>S244</x:f>
        <x:v>382321.2524414388</x:v>
      </x:c>
      <x:c r="J245" s="40" t="n">
        <x:f>I245*'Inputs &amp; Summary'!$B$16</x:f>
        <x:v>2070.9067840577936</x:v>
      </x:c>
      <x:c r="K245" s="40" t="n">
        <x:f>IF(C245=1,J245,K244+J245)</x:f>
        <x:v>2070.9067840577936</x:v>
      </x:c>
      <x:c r="L245" s="40" t="n">
        <x:f>IF(C245=12,K245*'Inputs &amp; Summary'!$B$11*'Inputs &amp; Summary'!$B$12,0)</x:f>
        <x:v>0</x:v>
      </x:c>
      <x:c r="M245" s="40" t="n">
        <x:f>MIN(L245,G245)</x:f>
        <x:v>0</x:v>
      </x:c>
      <x:c r="N245" s="40" t="n">
        <x:f>MAX(0,L245-M245)</x:f>
        <x:v>0</x:v>
      </x:c>
      <x:c r="O245" s="40" t="n">
        <x:f>IF(ABS(MAX(0,G245-M245))&lt;0.00000001,0,MAX(0,G245-M245))</x:f>
        <x:v>35494.14973892069</x:v>
      </x:c>
      <x:c r="P245" s="40" t="n">
        <x:f>MAX(0,D245-O245)</x:f>
        <x:v>2184.597819640505</x:v>
      </x:c>
      <x:c r="Q245" s="40" t="n">
        <x:f>MAX(0,'Inputs &amp; Summary'!$B$19*'Inputs &amp; Summary'!$B$4-O245-I245)</x:f>
        <x:v>37184.597819640534</x:v>
      </x:c>
      <x:c r="R245" s="40" t="n">
        <x:f>MIN(P245,Q245)</x:f>
        <x:v>2184.597819640505</x:v>
      </x:c>
      <x:c r="S245" s="40" t="n">
        <x:f>I245+R245</x:f>
        <x:v>384505.85026107926</x:v>
      </x:c>
      <x:c r="T245" s="40" t="n">
        <x:f>U244</x:f>
        <x:v>633411.4128424713</x:v>
      </x:c>
      <x:c r="U245" s="40" t="n">
        <x:f>T245*(1+'Inputs &amp; Summary'!$B$17)+R245+N245+H245</x:f>
        <x:v>638679.1727427879</x:v>
      </x:c>
      <x:c r="V245" s="40" t="n">
        <x:f>Y244</x:f>
        <x:v>124816.02887704437</x:v>
      </x:c>
      <x:c r="W245" s="40" t="n">
        <x:f>V245*'Inputs &amp; Summary'!$B$15</x:f>
        <x:v>463.7314353365833</x:v>
      </x:c>
      <x:c r="X245" s="40" t="n">
        <x:f>IF(V245&lt;=0.00000001,0,MIN('Inputs &amp; Summary'!$B$18,V245+W245))</x:f>
        <x:v>2324.586407999052</x:v>
      </x:c>
      <x:c r="Y245" s="40" t="n">
        <x:f>IF(ABS(MAX(0,V245+W245-X245))&lt;0.00000001,0,MAX(0,V245+W245-X245))</x:f>
        <x:v>122955.1739043819</x:v>
      </x:c>
      <x:c r="Z245" s="40" t="n">
        <x:f>MAX(0,'Inputs &amp; Summary'!$B$18-X245)</x:f>
        <x:v>0</x:v>
      </x:c>
      <x:c r="AA245" s="40" t="n">
        <x:f>AC244</x:f>
        <x:v>279416.0397338178</x:v>
      </x:c>
      <x:c r="AB245" s="40" t="n">
        <x:f>J245</x:f>
        <x:v>2070.9067840577936</x:v>
      </x:c>
      <x:c r="AC245" s="40" t="n">
        <x:f>AA245*(1+'Inputs &amp; Summary'!$B$17)+Z245+AB245</x:f>
        <x:v>282847.0182200479</x:v>
      </x:c>
      <x:c r="AD245" s="40" t="n">
        <x:f>F245+H245+J245</x:f>
        <x:v>4395.493192056845</x:v>
      </x:c>
      <x:c r="AE245" s="40" t="n">
        <x:f>X245+Z245+AB245</x:f>
        <x:v>4395.493192056845</x:v>
      </x:c>
      <x:c r="AF245" s="40" t="n">
        <x:f>AD245-AE245</x:f>
        <x:v>0</x:v>
      </x:c>
      <x:c r="AG245" s="42" t="n">
        <x:f>(O245+S245)/'Inputs &amp; Summary'!$B$4</x:f>
        <x:v>0.5999999999999999</x:v>
      </x:c>
      <x:c r="AH245" s="40" t="n">
        <x:f>U245-O245-S245</x:f>
        <x:v>218679.17274278786</x:v>
      </x:c>
      <x:c r="AI245" s="40" t="n">
        <x:f>AC245-Y245</x:f>
        <x:v>159891.84431566598</x:v>
      </x:c>
      <x:c r="AJ245" s="40" t="n">
        <x:f>AH245-AI245</x:f>
        <x:v>58787.32842712189</x:v>
      </x:c>
    </x:row>
    <x:row r="246">
      <x:c r="A246" t="n">
        <x:f>A245+1</x:f>
        <x:v>242</x:v>
      </x:c>
      <x:c r="B246" t="n">
        <x:f>INT((A246-1)/12)+1</x:f>
        <x:v>21</x:v>
      </x:c>
      <x:c r="C246" t="n">
        <x:f>MOD(A246-1,12)+1</x:f>
        <x:v>2</x:v>
      </x:c>
      <x:c r="D246" s="40" t="n">
        <x:f>O245</x:f>
        <x:v>35494.14973892069</x:v>
      </x:c>
      <x:c r="E246" s="40" t="n">
        <x:f>D246*'Inputs &amp; Summary'!$B$15</x:f>
        <x:v>131.8721093161498</x:v>
      </x:c>
      <x:c r="F246" s="40" t="n">
        <x:f>IF(D246&lt;=0.00000001,0,MIN('Inputs &amp; Summary'!$B$18,D246+E246))</x:f>
        <x:v>2324.586407999052</x:v>
      </x:c>
      <x:c r="G246" s="40" t="n">
        <x:f>IF(ABS(MAX(0,D246+E246-F246))&lt;0.00000001,0,MAX(0,D246+E246-F246))</x:f>
        <x:v>33301.435440237794</x:v>
      </x:c>
      <x:c r="H246" s="40" t="n">
        <x:f>MAX(0,'Inputs &amp; Summary'!$B$18-F246)</x:f>
        <x:v>0</x:v>
      </x:c>
      <x:c r="I246" s="40" t="n">
        <x:f>S245</x:f>
        <x:v>384505.85026107926</x:v>
      </x:c>
      <x:c r="J246" s="40" t="n">
        <x:f>I246*'Inputs &amp; Summary'!$B$16</x:f>
        <x:v>2082.7400222475126</x:v>
      </x:c>
      <x:c r="K246" s="40" t="n">
        <x:f>IF(C246=1,J246,K245+J246)</x:f>
        <x:v>4153.646806305306</x:v>
      </x:c>
      <x:c r="L246" s="40" t="n">
        <x:f>IF(C246=12,K246*'Inputs &amp; Summary'!$B$11*'Inputs &amp; Summary'!$B$12,0)</x:f>
        <x:v>0</x:v>
      </x:c>
      <x:c r="M246" s="40" t="n">
        <x:f>MIN(L246,G246)</x:f>
        <x:v>0</x:v>
      </x:c>
      <x:c r="N246" s="40" t="n">
        <x:f>MAX(0,L246-M246)</x:f>
        <x:v>0</x:v>
      </x:c>
      <x:c r="O246" s="40" t="n">
        <x:f>IF(ABS(MAX(0,G246-M246))&lt;0.00000001,0,MAX(0,G246-M246))</x:f>
        <x:v>33301.435440237794</x:v>
      </x:c>
      <x:c r="P246" s="40" t="n">
        <x:f>MAX(0,D246-O246)</x:f>
        <x:v>2192.7142986828985</x:v>
      </x:c>
      <x:c r="Q246" s="40" t="n">
        <x:f>MAX(0,'Inputs &amp; Summary'!$B$19*'Inputs &amp; Summary'!$B$4-O246-I246)</x:f>
        <x:v>37192.71429868293</x:v>
      </x:c>
      <x:c r="R246" s="40" t="n">
        <x:f>MIN(P246,Q246)</x:f>
        <x:v>2192.7142986828985</x:v>
      </x:c>
      <x:c r="S246" s="40" t="n">
        <x:f>I246+R246</x:f>
        <x:v>386698.56455976213</x:v>
      </x:c>
      <x:c r="T246" s="40" t="n">
        <x:f>U245</x:f>
        <x:v>638679.1727427879</x:v>
      </x:c>
      <x:c r="U246" s="40" t="n">
        <x:f>T246*(1+'Inputs &amp; Summary'!$B$17)+R246+N246+H246</x:f>
        <x:v>643980.6902098277</x:v>
      </x:c>
      <x:c r="V246" s="40" t="n">
        <x:f>Y245</x:f>
        <x:v>122955.1739043819</x:v>
      </x:c>
      <x:c r="W246" s="40" t="n">
        <x:f>V246*'Inputs &amp; Summary'!$B$15</x:f>
        <x:v>456.8177644307731</x:v>
      </x:c>
      <x:c r="X246" s="40" t="n">
        <x:f>IF(V246&lt;=0.00000001,0,MIN('Inputs &amp; Summary'!$B$18,V246+W246))</x:f>
        <x:v>2324.586407999052</x:v>
      </x:c>
      <x:c r="Y246" s="40" t="n">
        <x:f>IF(ABS(MAX(0,V246+W246-X246))&lt;0.00000001,0,MAX(0,V246+W246-X246))</x:f>
        <x:v>121087.40526081361</x:v>
      </x:c>
      <x:c r="Z246" s="40" t="n">
        <x:f>MAX(0,'Inputs &amp; Summary'!$B$18-X246)</x:f>
        <x:v>0</x:v>
      </x:c>
      <x:c r="AA246" s="40" t="n">
        <x:f>AC245</x:f>
        <x:v>282847.0182200479</x:v>
      </x:c>
      <x:c r="AB246" s="40" t="n">
        <x:f>J246</x:f>
        <x:v>2082.7400222475126</x:v>
      </x:c>
      <x:c r="AC246" s="40" t="n">
        <x:f>AA246*(1+'Inputs &amp; Summary'!$B$17)+Z246+AB246</x:f>
        <x:v>286306.530405738</x:v>
      </x:c>
      <x:c r="AD246" s="40" t="n">
        <x:f>F246+H246+J246</x:f>
        <x:v>4407.326430246565</x:v>
      </x:c>
      <x:c r="AE246" s="40" t="n">
        <x:f>X246+Z246+AB246</x:f>
        <x:v>4407.326430246565</x:v>
      </x:c>
      <x:c r="AF246" s="40" t="n">
        <x:f>AD246-AE246</x:f>
        <x:v>0</x:v>
      </x:c>
      <x:c r="AG246" s="42" t="n">
        <x:f>(O246+S246)/'Inputs &amp; Summary'!$B$4</x:f>
        <x:v>0.5999999999999999</x:v>
      </x:c>
      <x:c r="AH246" s="40" t="n">
        <x:f>U246-O246-S246</x:f>
        <x:v>223980.69020982785</x:v>
      </x:c>
      <x:c r="AI246" s="40" t="n">
        <x:f>AC246-Y246</x:f>
        <x:v>165219.1251449244</x:v>
      </x:c>
      <x:c r="AJ246" s="40" t="n">
        <x:f>AH246-AI246</x:f>
        <x:v>58761.565064903465</x:v>
      </x:c>
    </x:row>
    <x:row r="247">
      <x:c r="A247" t="n">
        <x:f>A246+1</x:f>
        <x:v>243</x:v>
      </x:c>
      <x:c r="B247" t="n">
        <x:f>INT((A247-1)/12)+1</x:f>
        <x:v>21</x:v>
      </x:c>
      <x:c r="C247" t="n">
        <x:f>MOD(A247-1,12)+1</x:f>
        <x:v>3</x:v>
      </x:c>
      <x:c r="D247" s="40" t="n">
        <x:f>O246</x:f>
        <x:v>33301.435440237794</x:v>
      </x:c>
      <x:c r="E247" s="40" t="n">
        <x:f>D247*'Inputs &amp; Summary'!$B$15</x:f>
        <x:v>123.72547496029358</x:v>
      </x:c>
      <x:c r="F247" s="40" t="n">
        <x:f>IF(D247&lt;=0.00000001,0,MIN('Inputs &amp; Summary'!$B$18,D247+E247))</x:f>
        <x:v>2324.586407999052</x:v>
      </x:c>
      <x:c r="G247" s="40" t="n">
        <x:f>IF(ABS(MAX(0,D247+E247-F247))&lt;0.00000001,0,MAX(0,D247+E247-F247))</x:f>
        <x:v>31100.574507199035</x:v>
      </x:c>
      <x:c r="H247" s="40" t="n">
        <x:f>MAX(0,'Inputs &amp; Summary'!$B$18-F247)</x:f>
        <x:v>0</x:v>
      </x:c>
      <x:c r="I247" s="40" t="n">
        <x:f>S246</x:f>
        <x:v>386698.56455976213</x:v>
      </x:c>
      <x:c r="J247" s="40" t="n">
        <x:f>I247*'Inputs &amp; Summary'!$B$16</x:f>
        <x:v>2094.6172246987117</x:v>
      </x:c>
      <x:c r="K247" s="40" t="n">
        <x:f>IF(C247=1,J247,K246+J247)</x:f>
        <x:v>6248.264031004018</x:v>
      </x:c>
      <x:c r="L247" s="40" t="n">
        <x:f>IF(C247=12,K247*'Inputs &amp; Summary'!$B$11*'Inputs &amp; Summary'!$B$12,0)</x:f>
        <x:v>0</x:v>
      </x:c>
      <x:c r="M247" s="40" t="n">
        <x:f>MIN(L247,G247)</x:f>
        <x:v>0</x:v>
      </x:c>
      <x:c r="N247" s="40" t="n">
        <x:f>MAX(0,L247-M247)</x:f>
        <x:v>0</x:v>
      </x:c>
      <x:c r="O247" s="40" t="n">
        <x:f>IF(ABS(MAX(0,G247-M247))&lt;0.00000001,0,MAX(0,G247-M247))</x:f>
        <x:v>31100.574507199035</x:v>
      </x:c>
      <x:c r="P247" s="40" t="n">
        <x:f>MAX(0,D247-O247)</x:f>
        <x:v>2200.860933038759</x:v>
      </x:c>
      <x:c r="Q247" s="40" t="n">
        <x:f>MAX(0,'Inputs &amp; Summary'!$B$19*'Inputs &amp; Summary'!$B$4-O247-I247)</x:f>
        <x:v>37200.86093303881</x:v>
      </x:c>
      <x:c r="R247" s="40" t="n">
        <x:f>MIN(P247,Q247)</x:f>
        <x:v>2200.860933038759</x:v>
      </x:c>
      <x:c r="S247" s="40" t="n">
        <x:f>I247+R247</x:f>
        <x:v>388899.4254928009</x:v>
      </x:c>
      <x:c r="T247" s="40" t="n">
        <x:f>U246</x:f>
        <x:v>643980.6902098277</x:v>
      </x:c>
      <x:c r="U247" s="40" t="n">
        <x:f>T247*(1+'Inputs &amp; Summary'!$B$17)+R247+N247+H247</x:f>
        <x:v>649316.1597155674</x:v>
      </x:c>
      <x:c r="V247" s="40" t="n">
        <x:f>Y246</x:f>
        <x:v>121087.40526081361</x:v>
      </x:c>
      <x:c r="W247" s="40" t="n">
        <x:f>V247*'Inputs &amp; Summary'!$B$15</x:f>
        <x:v>449.87840702811275</x:v>
      </x:c>
      <x:c r="X247" s="40" t="n">
        <x:f>IF(V247&lt;=0.00000001,0,MIN('Inputs &amp; Summary'!$B$18,V247+W247))</x:f>
        <x:v>2324.586407999052</x:v>
      </x:c>
      <x:c r="Y247" s="40" t="n">
        <x:f>IF(ABS(MAX(0,V247+W247-X247))&lt;0.00000001,0,MAX(0,V247+W247-X247))</x:f>
        <x:v>119212.69725984267</x:v>
      </x:c>
      <x:c r="Z247" s="40" t="n">
        <x:f>MAX(0,'Inputs &amp; Summary'!$B$18-X247)</x:f>
        <x:v>0</x:v>
      </x:c>
      <x:c r="AA247" s="40" t="n">
        <x:f>AC246</x:f>
        <x:v>286306.530405738</x:v>
      </x:c>
      <x:c r="AB247" s="40" t="n">
        <x:f>J247</x:f>
        <x:v>2094.6172246987117</x:v>
      </x:c>
      <x:c r="AC247" s="40" t="n">
        <x:f>AA247*(1+'Inputs &amp; Summary'!$B$17)+Z247+AB247</x:f>
        <x:v>289794.7591443746</x:v>
      </x:c>
      <x:c r="AD247" s="40" t="n">
        <x:f>F247+H247+J247</x:f>
        <x:v>4419.203632697763</x:v>
      </x:c>
      <x:c r="AE247" s="40" t="n">
        <x:f>X247+Z247+AB247</x:f>
        <x:v>4419.203632697763</x:v>
      </x:c>
      <x:c r="AF247" s="40" t="n">
        <x:f>AD247-AE247</x:f>
        <x:v>0</x:v>
      </x:c>
      <x:c r="AG247" s="42" t="n">
        <x:f>(O247+S247)/'Inputs &amp; Summary'!$B$4</x:f>
        <x:v>0.5999999999999999</x:v>
      </x:c>
      <x:c r="AH247" s="40" t="n">
        <x:f>U247-O247-S247</x:f>
        <x:v>229316.15971556748</x:v>
      </x:c>
      <x:c r="AI247" s="40" t="n">
        <x:f>AC247-Y247</x:f>
        <x:v>170582.06188453193</x:v>
      </x:c>
      <x:c r="AJ247" s="40" t="n">
        <x:f>AH247-AI247</x:f>
        <x:v>58734.09783103556</x:v>
      </x:c>
    </x:row>
    <x:row r="248">
      <x:c r="A248" t="n">
        <x:f>A247+1</x:f>
        <x:v>244</x:v>
      </x:c>
      <x:c r="B248" t="n">
        <x:f>INT((A248-1)/12)+1</x:f>
        <x:v>21</x:v>
      </x:c>
      <x:c r="C248" t="n">
        <x:f>MOD(A248-1,12)+1</x:f>
        <x:v>4</x:v>
      </x:c>
      <x:c r="D248" s="40" t="n">
        <x:f>O247</x:f>
        <x:v>31100.574507199035</x:v>
      </x:c>
      <x:c r="E248" s="40" t="n">
        <x:f>D248*'Inputs &amp; Summary'!$B$15</x:f>
        <x:v>115.54857325434625</x:v>
      </x:c>
      <x:c r="F248" s="40" t="n">
        <x:f>IF(D248&lt;=0.00000001,0,MIN('Inputs &amp; Summary'!$B$18,D248+E248))</x:f>
        <x:v>2324.586407999052</x:v>
      </x:c>
      <x:c r="G248" s="40" t="n">
        <x:f>IF(ABS(MAX(0,D248+E248-F248))&lt;0.00000001,0,MAX(0,D248+E248-F248))</x:f>
        <x:v>28891.536672454327</x:v>
      </x:c>
      <x:c r="H248" s="40" t="n">
        <x:f>MAX(0,'Inputs &amp; Summary'!$B$18-F248)</x:f>
        <x:v>0</x:v>
      </x:c>
      <x:c r="I248" s="40" t="n">
        <x:f>S247</x:f>
        <x:v>388899.4254928009</x:v>
      </x:c>
      <x:c r="J248" s="40" t="n">
        <x:f>I248*'Inputs &amp; Summary'!$B$16</x:f>
        <x:v>2106.5385547526716</x:v>
      </x:c>
      <x:c r="K248" s="40" t="n">
        <x:f>IF(C248=1,J248,K247+J248)</x:f>
        <x:v>8354.80258575669</x:v>
      </x:c>
      <x:c r="L248" s="40" t="n">
        <x:f>IF(C248=12,K248*'Inputs &amp; Summary'!$B$11*'Inputs &amp; Summary'!$B$12,0)</x:f>
        <x:v>0</x:v>
      </x:c>
      <x:c r="M248" s="40" t="n">
        <x:f>MIN(L248,G248)</x:f>
        <x:v>0</x:v>
      </x:c>
      <x:c r="N248" s="40" t="n">
        <x:f>MAX(0,L248-M248)</x:f>
        <x:v>0</x:v>
      </x:c>
      <x:c r="O248" s="40" t="n">
        <x:f>IF(ABS(MAX(0,G248-M248))&lt;0.00000001,0,MAX(0,G248-M248))</x:f>
        <x:v>28891.536672454327</x:v>
      </x:c>
      <x:c r="P248" s="40" t="n">
        <x:f>MAX(0,D248-O248)</x:f>
        <x:v>2209.0378347447077</x:v>
      </x:c>
      <x:c r="Q248" s="40" t="n">
        <x:f>MAX(0,'Inputs &amp; Summary'!$B$19*'Inputs &amp; Summary'!$B$4-O248-I248)</x:f>
        <x:v>37209.037834744784</x:v>
      </x:c>
      <x:c r="R248" s="40" t="n">
        <x:f>MIN(P248,Q248)</x:f>
        <x:v>2209.0378347447077</x:v>
      </x:c>
      <x:c r="S248" s="40" t="n">
        <x:f>I248+R248</x:f>
        <x:v>391108.4633275456</x:v>
      </x:c>
      <x:c r="T248" s="40" t="n">
        <x:f>U247</x:f>
        <x:v>649316.1597155674</x:v>
      </x:c>
      <x:c r="U248" s="40" t="n">
        <x:f>T248*(1+'Inputs &amp; Summary'!$B$17)+R248+N248+H248</x:f>
        <x:v>654685.7767906219</x:v>
      </x:c>
      <x:c r="V248" s="40" t="n">
        <x:f>Y247</x:f>
        <x:v>119212.69725984267</x:v>
      </x:c>
      <x:c r="W248" s="40" t="n">
        <x:f>V248*'Inputs &amp; Summary'!$B$15</x:f>
        <x:v>442.9132676950577</x:v>
      </x:c>
      <x:c r="X248" s="40" t="n">
        <x:f>IF(V248&lt;=0.00000001,0,MIN('Inputs &amp; Summary'!$B$18,V248+W248))</x:f>
        <x:v>2324.586407999052</x:v>
      </x:c>
      <x:c r="Y248" s="40" t="n">
        <x:f>IF(ABS(MAX(0,V248+W248-X248))&lt;0.00000001,0,MAX(0,V248+W248-X248))</x:f>
        <x:v>117331.02411953866</x:v>
      </x:c>
      <x:c r="Z248" s="40" t="n">
        <x:f>MAX(0,'Inputs &amp; Summary'!$B$18-X248)</x:f>
        <x:v>0</x:v>
      </x:c>
      <x:c r="AA248" s="40" t="n">
        <x:f>AC247</x:f>
        <x:v>289794.7591443746</x:v>
      </x:c>
      <x:c r="AB248" s="40" t="n">
        <x:f>J248</x:f>
        <x:v>2106.5385547526716</x:v>
      </x:c>
      <x:c r="AC248" s="40" t="n">
        <x:f>AA248*(1+'Inputs &amp; Summary'!$B$17)+Z248+AB248</x:f>
        <x:v>293311.8883428339</x:v>
      </x:c>
      <x:c r="AD248" s="40" t="n">
        <x:f>F248+H248+J248</x:f>
        <x:v>4431.124962751724</x:v>
      </x:c>
      <x:c r="AE248" s="40" t="n">
        <x:f>X248+Z248+AB248</x:f>
        <x:v>4431.124962751724</x:v>
      </x:c>
      <x:c r="AF248" s="40" t="n">
        <x:f>AD248-AE248</x:f>
        <x:v>0</x:v>
      </x:c>
      <x:c r="AG248" s="42" t="n">
        <x:f>(O248+S248)/'Inputs &amp; Summary'!$B$4</x:f>
        <x:v>0.5999999999999999</x:v>
      </x:c>
      <x:c r="AH248" s="40" t="n">
        <x:f>U248-O248-S248</x:f>
        <x:v>234685.77679062198</x:v>
      </x:c>
      <x:c r="AI248" s="40" t="n">
        <x:f>AC248-Y248</x:f>
        <x:v>175980.86422329524</x:v>
      </x:c>
      <x:c r="AJ248" s="40" t="n">
        <x:f>AH248-AI248</x:f>
        <x:v>58704.91256732674</x:v>
      </x:c>
    </x:row>
    <x:row r="249">
      <x:c r="A249" t="n">
        <x:f>A248+1</x:f>
        <x:v>245</x:v>
      </x:c>
      <x:c r="B249" t="n">
        <x:f>INT((A249-1)/12)+1</x:f>
        <x:v>21</x:v>
      </x:c>
      <x:c r="C249" t="n">
        <x:f>MOD(A249-1,12)+1</x:f>
        <x:v>5</x:v>
      </x:c>
      <x:c r="D249" s="40" t="n">
        <x:f>O248</x:f>
        <x:v>28891.536672454327</x:v>
      </x:c>
      <x:c r="E249" s="40" t="n">
        <x:f>D249*'Inputs &amp; Summary'!$B$15</x:f>
        <x:v>107.34129174542954</x:v>
      </x:c>
      <x:c r="F249" s="40" t="n">
        <x:f>IF(D249&lt;=0.00000001,0,MIN('Inputs &amp; Summary'!$B$18,D249+E249))</x:f>
        <x:v>2324.586407999052</x:v>
      </x:c>
      <x:c r="G249" s="40" t="n">
        <x:f>IF(ABS(MAX(0,D249+E249-F249))&lt;0.00000001,0,MAX(0,D249+E249-F249))</x:f>
        <x:v>26674.291556200704</x:v>
      </x:c>
      <x:c r="H249" s="40" t="n">
        <x:f>MAX(0,'Inputs &amp; Summary'!$B$18-F249)</x:f>
        <x:v>0</x:v>
      </x:c>
      <x:c r="I249" s="40" t="n">
        <x:f>S248</x:f>
        <x:v>391108.4633275456</x:v>
      </x:c>
      <x:c r="J249" s="40" t="n">
        <x:f>I249*'Inputs &amp; Summary'!$B$16</x:f>
        <x:v>2118.5041763575387</x:v>
      </x:c>
      <x:c r="K249" s="40" t="n">
        <x:f>IF(C249=1,J249,K248+J249)</x:f>
        <x:v>10473.306762114229</x:v>
      </x:c>
      <x:c r="L249" s="40" t="n">
        <x:f>IF(C249=12,K249*'Inputs &amp; Summary'!$B$11*'Inputs &amp; Summary'!$B$12,0)</x:f>
        <x:v>0</x:v>
      </x:c>
      <x:c r="M249" s="40" t="n">
        <x:f>MIN(L249,G249)</x:f>
        <x:v>0</x:v>
      </x:c>
      <x:c r="N249" s="40" t="n">
        <x:f>MAX(0,L249-M249)</x:f>
        <x:v>0</x:v>
      </x:c>
      <x:c r="O249" s="40" t="n">
        <x:f>IF(ABS(MAX(0,G249-M249))&lt;0.00000001,0,MAX(0,G249-M249))</x:f>
        <x:v>26674.291556200704</x:v>
      </x:c>
      <x:c r="P249" s="40" t="n">
        <x:f>MAX(0,D249-O249)</x:f>
        <x:v>2217.2451162536236</x:v>
      </x:c>
      <x:c r="Q249" s="40" t="n">
        <x:f>MAX(0,'Inputs &amp; Summary'!$B$19*'Inputs &amp; Summary'!$B$4-O249-I249)</x:f>
        <x:v>37217.245116253674</x:v>
      </x:c>
      <x:c r="R249" s="40" t="n">
        <x:f>MIN(P249,Q249)</x:f>
        <x:v>2217.2451162536236</x:v>
      </x:c>
      <x:c r="S249" s="40" t="n">
        <x:f>I249+R249</x:f>
        <x:v>393325.70844379923</x:v>
      </x:c>
      <x:c r="T249" s="40" t="n">
        <x:f>U248</x:f>
        <x:v>654685.7767906219</x:v>
      </x:c>
      <x:c r="U249" s="40" t="n">
        <x:f>T249*(1+'Inputs &amp; Summary'!$B$17)+R249+N249+H249</x:f>
        <x:v>660089.7380298148</x:v>
      </x:c>
      <x:c r="V249" s="40" t="n">
        <x:f>Y248</x:f>
        <x:v>117331.02411953866</x:v>
      </x:c>
      <x:c r="W249" s="40" t="n">
        <x:f>V249*'Inputs &amp; Summary'!$B$15</x:f>
        <x:v>435.9222506434973</x:v>
      </x:c>
      <x:c r="X249" s="40" t="n">
        <x:f>IF(V249&lt;=0.00000001,0,MIN('Inputs &amp; Summary'!$B$18,V249+W249))</x:f>
        <x:v>2324.586407999052</x:v>
      </x:c>
      <x:c r="Y249" s="40" t="n">
        <x:f>IF(ABS(MAX(0,V249+W249-X249))&lt;0.00000001,0,MAX(0,V249+W249-X249))</x:f>
        <x:v>115442.35996218311</x:v>
      </x:c>
      <x:c r="Z249" s="40" t="n">
        <x:f>MAX(0,'Inputs &amp; Summary'!$B$18-X249)</x:f>
        <x:v>0</x:v>
      </x:c>
      <x:c r="AA249" s="40" t="n">
        <x:f>AC248</x:f>
        <x:v>293311.8883428339</x:v>
      </x:c>
      <x:c r="AB249" s="40" t="n">
        <x:f>J249</x:f>
        <x:v>2118.5041763575387</x:v>
      </x:c>
      <x:c r="AC249" s="40" t="n">
        <x:f>AA249*(1+'Inputs &amp; Summary'!$B$17)+Z249+AB249</x:f>
        <x:v>296858.10296711646</x:v>
      </x:c>
      <x:c r="AD249" s="40" t="n">
        <x:f>F249+H249+J249</x:f>
        <x:v>4443.090584356591</x:v>
      </x:c>
      <x:c r="AE249" s="40" t="n">
        <x:f>X249+Z249+AB249</x:f>
        <x:v>4443.090584356591</x:v>
      </x:c>
      <x:c r="AF249" s="40" t="n">
        <x:f>AD249-AE249</x:f>
        <x:v>0</x:v>
      </x:c>
      <x:c r="AG249" s="42" t="n">
        <x:f>(O249+S249)/'Inputs &amp; Summary'!$B$4</x:f>
        <x:v>0.5999999999999999</x:v>
      </x:c>
      <x:c r="AH249" s="40" t="n">
        <x:f>U249-O249-S249</x:f>
        <x:v>240089.73802981485</x:v>
      </x:c>
      <x:c r="AI249" s="40" t="n">
        <x:f>AC249-Y249</x:f>
        <x:v>181415.74300493335</x:v>
      </x:c>
      <x:c r="AJ249" s="40" t="n">
        <x:f>AH249-AI249</x:f>
        <x:v>58673.9950248815</x:v>
      </x:c>
    </x:row>
    <x:row r="250">
      <x:c r="A250" t="n">
        <x:f>A249+1</x:f>
        <x:v>246</x:v>
      </x:c>
      <x:c r="B250" t="n">
        <x:f>INT((A250-1)/12)+1</x:f>
        <x:v>21</x:v>
      </x:c>
      <x:c r="C250" t="n">
        <x:f>MOD(A250-1,12)+1</x:f>
        <x:v>6</x:v>
      </x:c>
      <x:c r="D250" s="40" t="n">
        <x:f>O249</x:f>
        <x:v>26674.291556200704</x:v>
      </x:c>
      <x:c r="E250" s="40" t="n">
        <x:f>D250*'Inputs &amp; Summary'!$B$15</x:f>
        <x:v>99.1035175628668</x:v>
      </x:c>
      <x:c r="F250" s="40" t="n">
        <x:f>IF(D250&lt;=0.00000001,0,MIN('Inputs &amp; Summary'!$B$18,D250+E250))</x:f>
        <x:v>2324.586407999052</x:v>
      </x:c>
      <x:c r="G250" s="40" t="n">
        <x:f>IF(ABS(MAX(0,D250+E250-F250))&lt;0.00000001,0,MAX(0,D250+E250-F250))</x:f>
        <x:v>24448.808665764518</x:v>
      </x:c>
      <x:c r="H250" s="40" t="n">
        <x:f>MAX(0,'Inputs &amp; Summary'!$B$18-F250)</x:f>
        <x:v>0</x:v>
      </x:c>
      <x:c r="I250" s="40" t="n">
        <x:f>S249</x:f>
        <x:v>393325.70844379923</x:v>
      </x:c>
      <x:c r="J250" s="40" t="n">
        <x:f>I250*'Inputs &amp; Summary'!$B$16</x:f>
        <x:v>2130.514254070579</x:v>
      </x:c>
      <x:c r="K250" s="40" t="n">
        <x:f>IF(C250=1,J250,K249+J250)</x:f>
        <x:v>12603.821016184807</x:v>
      </x:c>
      <x:c r="L250" s="40" t="n">
        <x:f>IF(C250=12,K250*'Inputs &amp; Summary'!$B$11*'Inputs &amp; Summary'!$B$12,0)</x:f>
        <x:v>0</x:v>
      </x:c>
      <x:c r="M250" s="40" t="n">
        <x:f>MIN(L250,G250)</x:f>
        <x:v>0</x:v>
      </x:c>
      <x:c r="N250" s="40" t="n">
        <x:f>MAX(0,L250-M250)</x:f>
        <x:v>0</x:v>
      </x:c>
      <x:c r="O250" s="40" t="n">
        <x:f>IF(ABS(MAX(0,G250-M250))&lt;0.00000001,0,MAX(0,G250-M250))</x:f>
        <x:v>24448.808665764518</x:v>
      </x:c>
      <x:c r="P250" s="40" t="n">
        <x:f>MAX(0,D250-O250)</x:f>
        <x:v>2225.4828904361857</x:v>
      </x:c>
      <x:c r="Q250" s="40" t="n">
        <x:f>MAX(0,'Inputs &amp; Summary'!$B$19*'Inputs &amp; Summary'!$B$4-O250-I250)</x:f>
        <x:v>37225.48289043625</x:v>
      </x:c>
      <x:c r="R250" s="40" t="n">
        <x:f>MIN(P250,Q250)</x:f>
        <x:v>2225.4828904361857</x:v>
      </x:c>
      <x:c r="S250" s="40" t="n">
        <x:f>I250+R250</x:f>
        <x:v>395551.1913342354</x:v>
      </x:c>
      <x:c r="T250" s="40" t="n">
        <x:f>U249</x:f>
        <x:v>660089.7380298148</x:v>
      </x:c>
      <x:c r="U250" s="40" t="n">
        <x:f>T250*(1+'Inputs &amp; Summary'!$B$17)+R250+N250+H250</x:f>
        <x:v>665528.2410977752</x:v>
      </x:c>
      <x:c r="V250" s="40" t="n">
        <x:f>Y249</x:f>
        <x:v>115442.35996218311</x:v>
      </x:c>
      <x:c r="W250" s="40" t="n">
        <x:f>V250*'Inputs &amp; Summary'!$B$15</x:f>
        <x:v>428.9052597294375</x:v>
      </x:c>
      <x:c r="X250" s="40" t="n">
        <x:f>IF(V250&lt;=0.00000001,0,MIN('Inputs &amp; Summary'!$B$18,V250+W250))</x:f>
        <x:v>2324.586407999052</x:v>
      </x:c>
      <x:c r="Y250" s="40" t="n">
        <x:f>IF(ABS(MAX(0,V250+W250-X250))&lt;0.00000001,0,MAX(0,V250+W250-X250))</x:f>
        <x:v>113546.67881391349</x:v>
      </x:c>
      <x:c r="Z250" s="40" t="n">
        <x:f>MAX(0,'Inputs &amp; Summary'!$B$18-X250)</x:f>
        <x:v>0</x:v>
      </x:c>
      <x:c r="AA250" s="40" t="n">
        <x:f>AC249</x:f>
        <x:v>296858.10296711646</x:v>
      </x:c>
      <x:c r="AB250" s="40" t="n">
        <x:f>J250</x:f>
        <x:v>2130.514254070579</x:v>
      </x:c>
      <x:c r="AC250" s="40" t="n">
        <x:f>AA250*(1+'Inputs &amp; Summary'!$B$17)+Z250+AB250</x:f>
        <x:v>300433.5890481113</x:v>
      </x:c>
      <x:c r="AD250" s="40" t="n">
        <x:f>F250+H250+J250</x:f>
        <x:v>4455.100662069632</x:v>
      </x:c>
      <x:c r="AE250" s="40" t="n">
        <x:f>X250+Z250+AB250</x:f>
        <x:v>4455.100662069632</x:v>
      </x:c>
      <x:c r="AF250" s="40" t="n">
        <x:f>AD250-AE250</x:f>
        <x:v>0</x:v>
      </x:c>
      <x:c r="AG250" s="42" t="n">
        <x:f>(O250+S250)/'Inputs &amp; Summary'!$B$4</x:f>
        <x:v>0.5999999999999999</x:v>
      </x:c>
      <x:c r="AH250" s="40" t="n">
        <x:f>U250-O250-S250</x:f>
        <x:v>245528.24109777523</x:v>
      </x:c>
      <x:c r="AI250" s="40" t="n">
        <x:f>AC250-Y250</x:f>
        <x:v>186886.9102341978</x:v>
      </x:c>
      <x:c r="AJ250" s="40" t="n">
        <x:f>AH250-AI250</x:f>
        <x:v>58641.33086357743</x:v>
      </x:c>
    </x:row>
    <x:row r="251">
      <x:c r="A251" t="n">
        <x:f>A250+1</x:f>
        <x:v>247</x:v>
      </x:c>
      <x:c r="B251" t="n">
        <x:f>INT((A251-1)/12)+1</x:f>
        <x:v>21</x:v>
      </x:c>
      <x:c r="C251" t="n">
        <x:f>MOD(A251-1,12)+1</x:f>
        <x:v>7</x:v>
      </x:c>
      <x:c r="D251" s="40" t="n">
        <x:f>O250</x:f>
        <x:v>24448.808665764518</x:v>
      </x:c>
      <x:c r="E251" s="40" t="n">
        <x:f>D251*'Inputs &amp; Summary'!$B$15</x:f>
        <x:v>90.83513741663073</x:v>
      </x:c>
      <x:c r="F251" s="40" t="n">
        <x:f>IF(D251&lt;=0.00000001,0,MIN('Inputs &amp; Summary'!$B$18,D251+E251))</x:f>
        <x:v>2324.586407999052</x:v>
      </x:c>
      <x:c r="G251" s="40" t="n">
        <x:f>IF(ABS(MAX(0,D251+E251-F251))&lt;0.00000001,0,MAX(0,D251+E251-F251))</x:f>
        <x:v>22215.057395182095</x:v>
      </x:c>
      <x:c r="H251" s="40" t="n">
        <x:f>MAX(0,'Inputs &amp; Summary'!$B$18-F251)</x:f>
        <x:v>0</x:v>
      </x:c>
      <x:c r="I251" s="40" t="n">
        <x:f>S250</x:f>
        <x:v>395551.1913342354</x:v>
      </x:c>
      <x:c r="J251" s="40" t="n">
        <x:f>I251*'Inputs &amp; Summary'!$B$16</x:f>
        <x:v>2142.568953060442</x:v>
      </x:c>
      <x:c r="K251" s="40" t="n">
        <x:f>IF(C251=1,J251,K250+J251)</x:f>
        <x:v>14746.389969245249</x:v>
      </x:c>
      <x:c r="L251" s="40" t="n">
        <x:f>IF(C251=12,K251*'Inputs &amp; Summary'!$B$11*'Inputs &amp; Summary'!$B$12,0)</x:f>
        <x:v>0</x:v>
      </x:c>
      <x:c r="M251" s="40" t="n">
        <x:f>MIN(L251,G251)</x:f>
        <x:v>0</x:v>
      </x:c>
      <x:c r="N251" s="40" t="n">
        <x:f>MAX(0,L251-M251)</x:f>
        <x:v>0</x:v>
      </x:c>
      <x:c r="O251" s="40" t="n">
        <x:f>IF(ABS(MAX(0,G251-M251))&lt;0.00000001,0,MAX(0,G251-M251))</x:f>
        <x:v>22215.057395182095</x:v>
      </x:c>
      <x:c r="P251" s="40" t="n">
        <x:f>MAX(0,D251-O251)</x:f>
        <x:v>2233.751270582423</x:v>
      </x:c>
      <x:c r="Q251" s="40" t="n">
        <x:f>MAX(0,'Inputs &amp; Summary'!$B$19*'Inputs &amp; Summary'!$B$4-O251-I251)</x:f>
        <x:v>37233.75127058249</x:v>
      </x:c>
      <x:c r="R251" s="40" t="n">
        <x:f>MIN(P251,Q251)</x:f>
        <x:v>2233.751270582423</x:v>
      </x:c>
      <x:c r="S251" s="40" t="n">
        <x:f>I251+R251</x:f>
        <x:v>397784.94260481786</x:v>
      </x:c>
      <x:c r="T251" s="40" t="n">
        <x:f>U250</x:f>
        <x:v>665528.2410977752</x:v>
      </x:c>
      <x:c r="U251" s="40" t="n">
        <x:f>T251*(1+'Inputs &amp; Summary'!$B$17)+R251+N251+H251</x:f>
        <x:v>671001.4847345649</x:v>
      </x:c>
      <x:c r="V251" s="40" t="n">
        <x:f>Y250</x:f>
        <x:v>113546.67881391349</x:v>
      </x:c>
      <x:c r="W251" s="40" t="n">
        <x:f>V251*'Inputs &amp; Summary'!$B$15</x:f>
        <x:v>421.86219845167835</x:v>
      </x:c>
      <x:c r="X251" s="40" t="n">
        <x:f>IF(V251&lt;=0.00000001,0,MIN('Inputs &amp; Summary'!$B$18,V251+W251))</x:f>
        <x:v>2324.586407999052</x:v>
      </x:c>
      <x:c r="Y251" s="40" t="n">
        <x:f>IF(ABS(MAX(0,V251+W251-X251))&lt;0.00000001,0,MAX(0,V251+W251-X251))</x:f>
        <x:v>111643.95460436611</x:v>
      </x:c>
      <x:c r="Z251" s="40" t="n">
        <x:f>MAX(0,'Inputs &amp; Summary'!$B$18-X251)</x:f>
        <x:v>0</x:v>
      </x:c>
      <x:c r="AA251" s="40" t="n">
        <x:f>AC250</x:f>
        <x:v>300433.5890481113</x:v>
      </x:c>
      <x:c r="AB251" s="40" t="n">
        <x:f>J251</x:f>
        <x:v>2142.568953060442</x:v>
      </x:c>
      <x:c r="AC251" s="40" t="n">
        <x:f>AA251*(1+'Inputs &amp; Summary'!$B$17)+Z251+AB251</x:f>
        <x:v>304038.5336873909</x:v>
      </x:c>
      <x:c r="AD251" s="40" t="n">
        <x:f>F251+H251+J251</x:f>
        <x:v>4467.155361059494</x:v>
      </x:c>
      <x:c r="AE251" s="40" t="n">
        <x:f>X251+Z251+AB251</x:f>
        <x:v>4467.155361059494</x:v>
      </x:c>
      <x:c r="AF251" s="40" t="n">
        <x:f>AD251-AE251</x:f>
        <x:v>0</x:v>
      </x:c>
      <x:c r="AG251" s="42" t="n">
        <x:f>(O251+S251)/'Inputs &amp; Summary'!$B$4</x:f>
        <x:v>0.5999999999999999</x:v>
      </x:c>
      <x:c r="AH251" s="40" t="n">
        <x:f>U251-O251-S251</x:f>
        <x:v>251001.48473456496</x:v>
      </x:c>
      <x:c r="AI251" s="40" t="n">
        <x:f>AC251-Y251</x:f>
        <x:v>192394.57908302482</x:v>
      </x:c>
      <x:c r="AJ251" s="40" t="n">
        <x:f>AH251-AI251</x:f>
        <x:v>58606.905651540146</x:v>
      </x:c>
    </x:row>
    <x:row r="252">
      <x:c r="A252" t="n">
        <x:f>A251+1</x:f>
        <x:v>248</x:v>
      </x:c>
      <x:c r="B252" t="n">
        <x:f>INT((A252-1)/12)+1</x:f>
        <x:v>21</x:v>
      </x:c>
      <x:c r="C252" t="n">
        <x:f>MOD(A252-1,12)+1</x:f>
        <x:v>8</x:v>
      </x:c>
      <x:c r="D252" s="40" t="n">
        <x:f>O251</x:f>
        <x:v>22215.057395182095</x:v>
      </x:c>
      <x:c r="E252" s="40" t="n">
        <x:f>D252*'Inputs &amp; Summary'!$B$15</x:f>
        <x:v>82.53603759578542</x:v>
      </x:c>
      <x:c r="F252" s="40" t="n">
        <x:f>IF(D252&lt;=0.00000001,0,MIN('Inputs &amp; Summary'!$B$18,D252+E252))</x:f>
        <x:v>2324.586407999052</x:v>
      </x:c>
      <x:c r="G252" s="40" t="n">
        <x:f>IF(ABS(MAX(0,D252+E252-F252))&lt;0.00000001,0,MAX(0,D252+E252-F252))</x:f>
        <x:v>19973.007024778828</x:v>
      </x:c>
      <x:c r="H252" s="40" t="n">
        <x:f>MAX(0,'Inputs &amp; Summary'!$B$18-F252)</x:f>
        <x:v>0</x:v>
      </x:c>
      <x:c r="I252" s="40" t="n">
        <x:f>S251</x:f>
        <x:v>397784.94260481786</x:v>
      </x:c>
      <x:c r="J252" s="40" t="n">
        <x:f>I252*'Inputs &amp; Summary'!$B$16</x:f>
        <x:v>2154.66843910943</x:v>
      </x:c>
      <x:c r="K252" s="40" t="n">
        <x:f>IF(C252=1,J252,K251+J252)</x:f>
        <x:v>16901.05840835468</x:v>
      </x:c>
      <x:c r="L252" s="40" t="n">
        <x:f>IF(C252=12,K252*'Inputs &amp; Summary'!$B$11*'Inputs &amp; Summary'!$B$12,0)</x:f>
        <x:v>0</x:v>
      </x:c>
      <x:c r="M252" s="40" t="n">
        <x:f>MIN(L252,G252)</x:f>
        <x:v>0</x:v>
      </x:c>
      <x:c r="N252" s="40" t="n">
        <x:f>MAX(0,L252-M252)</x:f>
        <x:v>0</x:v>
      </x:c>
      <x:c r="O252" s="40" t="n">
        <x:f>IF(ABS(MAX(0,G252-M252))&lt;0.00000001,0,MAX(0,G252-M252))</x:f>
        <x:v>19973.007024778828</x:v>
      </x:c>
      <x:c r="P252" s="40" t="n">
        <x:f>MAX(0,D252-O252)</x:f>
        <x:v>2242.050370403267</x:v>
      </x:c>
      <x:c r="Q252" s="40" t="n">
        <x:f>MAX(0,'Inputs &amp; Summary'!$B$19*'Inputs &amp; Summary'!$B$4-O252-I252)</x:f>
        <x:v>37242.05037040333</x:v>
      </x:c>
      <x:c r="R252" s="40" t="n">
        <x:f>MIN(P252,Q252)</x:f>
        <x:v>2242.050370403267</x:v>
      </x:c>
      <x:c r="S252" s="40" t="n">
        <x:f>I252+R252</x:f>
        <x:v>400026.99297522113</x:v>
      </x:c>
      <x:c r="T252" s="40" t="n">
        <x:f>U251</x:f>
        <x:v>671001.4847345649</x:v>
      </x:c>
      <x:c r="U252" s="40" t="n">
        <x:f>T252*(1+'Inputs &amp; Summary'!$B$17)+R252+N252+H252</x:f>
        <x:v>676509.6687613339</x:v>
      </x:c>
      <x:c r="V252" s="40" t="n">
        <x:f>Y251</x:f>
        <x:v>111643.95460436611</x:v>
      </x:c>
      <x:c r="W252" s="40" t="n">
        <x:f>V252*'Inputs &amp; Summary'!$B$15</x:f>
        <x:v>414.7929699504875</x:v>
      </x:c>
      <x:c r="X252" s="40" t="n">
        <x:f>IF(V252&lt;=0.00000001,0,MIN('Inputs &amp; Summary'!$B$18,V252+W252))</x:f>
        <x:v>2324.586407999052</x:v>
      </x:c>
      <x:c r="Y252" s="40" t="n">
        <x:f>IF(ABS(MAX(0,V252+W252-X252))&lt;0.00000001,0,MAX(0,V252+W252-X252))</x:f>
        <x:v>109734.16116631754</x:v>
      </x:c>
      <x:c r="Z252" s="40" t="n">
        <x:f>MAX(0,'Inputs &amp; Summary'!$B$18-X252)</x:f>
        <x:v>0</x:v>
      </x:c>
      <x:c r="AA252" s="40" t="n">
        <x:f>AC251</x:f>
        <x:v>304038.5336873909</x:v>
      </x:c>
      <x:c r="AB252" s="40" t="n">
        <x:f>J252</x:f>
        <x:v>2154.66843910943</x:v>
      </x:c>
      <x:c r="AC252" s="40" t="n">
        <x:f>AA252*(1+'Inputs &amp; Summary'!$B$17)+Z252+AB252</x:f>
        <x:v>307673.12506303645</x:v>
      </x:c>
      <x:c r="AD252" s="40" t="n">
        <x:f>F252+H252+J252</x:f>
        <x:v>4479.254847108482</x:v>
      </x:c>
      <x:c r="AE252" s="40" t="n">
        <x:f>X252+Z252+AB252</x:f>
        <x:v>4479.254847108482</x:v>
      </x:c>
      <x:c r="AF252" s="40" t="n">
        <x:f>AD252-AE252</x:f>
        <x:v>0</x:v>
      </x:c>
      <x:c r="AG252" s="42" t="n">
        <x:f>(O252+S252)/'Inputs &amp; Summary'!$B$4</x:f>
        <x:v>0.5999999999999999</x:v>
      </x:c>
      <x:c r="AH252" s="40" t="n">
        <x:f>U252-O252-S252</x:f>
        <x:v>256509.66876133392</x:v>
      </x:c>
      <x:c r="AI252" s="40" t="n">
        <x:f>AC252-Y252</x:f>
        <x:v>197938.96389671892</x:v>
      </x:c>
      <x:c r="AJ252" s="40" t="n">
        <x:f>AH252-AI252</x:f>
        <x:v>58570.70486461499</x:v>
      </x:c>
    </x:row>
    <x:row r="253">
      <x:c r="A253" t="n">
        <x:f>A252+1</x:f>
        <x:v>249</x:v>
      </x:c>
      <x:c r="B253" t="n">
        <x:f>INT((A253-1)/12)+1</x:f>
        <x:v>21</x:v>
      </x:c>
      <x:c r="C253" t="n">
        <x:f>MOD(A253-1,12)+1</x:f>
        <x:v>9</x:v>
      </x:c>
      <x:c r="D253" s="40" t="n">
        <x:f>O252</x:f>
        <x:v>19973.007024778828</x:v>
      </x:c>
      <x:c r="E253" s="40" t="n">
        <x:f>D253*'Inputs &amp; Summary'!$B$15</x:f>
        <x:v>74.20610396692243</x:v>
      </x:c>
      <x:c r="F253" s="40" t="n">
        <x:f>IF(D253&lt;=0.00000001,0,MIN('Inputs &amp; Summary'!$B$18,D253+E253))</x:f>
        <x:v>2324.586407999052</x:v>
      </x:c>
      <x:c r="G253" s="40" t="n">
        <x:f>IF(ABS(MAX(0,D253+E253-F253))&lt;0.00000001,0,MAX(0,D253+E253-F253))</x:f>
        <x:v>17722.626720746695</x:v>
      </x:c>
      <x:c r="H253" s="40" t="n">
        <x:f>MAX(0,'Inputs &amp; Summary'!$B$18-F253)</x:f>
        <x:v>0</x:v>
      </x:c>
      <x:c r="I253" s="40" t="n">
        <x:f>S252</x:f>
        <x:v>400026.99297522113</x:v>
      </x:c>
      <x:c r="J253" s="40" t="n">
        <x:f>I253*'Inputs &amp; Summary'!$B$16</x:f>
        <x:v>2166.8128786157813</x:v>
      </x:c>
      <x:c r="K253" s="40" t="n">
        <x:f>IF(C253=1,J253,K252+J253)</x:f>
        <x:v>19067.87128697046</x:v>
      </x:c>
      <x:c r="L253" s="40" t="n">
        <x:f>IF(C253=12,K253*'Inputs &amp; Summary'!$B$11*'Inputs &amp; Summary'!$B$12,0)</x:f>
        <x:v>0</x:v>
      </x:c>
      <x:c r="M253" s="40" t="n">
        <x:f>MIN(L253,G253)</x:f>
        <x:v>0</x:v>
      </x:c>
      <x:c r="N253" s="40" t="n">
        <x:f>MAX(0,L253-M253)</x:f>
        <x:v>0</x:v>
      </x:c>
      <x:c r="O253" s="40" t="n">
        <x:f>IF(ABS(MAX(0,G253-M253))&lt;0.00000001,0,MAX(0,G253-M253))</x:f>
        <x:v>17722.626720746695</x:v>
      </x:c>
      <x:c r="P253" s="40" t="n">
        <x:f>MAX(0,D253-O253)</x:f>
        <x:v>2250.3803040321327</x:v>
      </x:c>
      <x:c r="Q253" s="40" t="n">
        <x:f>MAX(0,'Inputs &amp; Summary'!$B$19*'Inputs &amp; Summary'!$B$4-O253-I253)</x:f>
        <x:v>37250.38030403218</x:v>
      </x:c>
      <x:c r="R253" s="40" t="n">
        <x:f>MIN(P253,Q253)</x:f>
        <x:v>2250.3803040321327</x:v>
      </x:c>
      <x:c r="S253" s="40" t="n">
        <x:f>I253+R253</x:f>
        <x:v>402277.37327925325</x:v>
      </x:c>
      <x:c r="T253" s="40" t="n">
        <x:f>U252</x:f>
        <x:v>676509.6687613339</x:v>
      </x:c>
      <x:c r="U253" s="40" t="n">
        <x:f>T253*(1+'Inputs &amp; Summary'!$B$17)+R253+N253+H253</x:f>
        <x:v>682052.9940860053</x:v>
      </x:c>
      <x:c r="V253" s="40" t="n">
        <x:f>Y252</x:f>
        <x:v>109734.16116631754</x:v>
      </x:c>
      <x:c r="W253" s="40" t="n">
        <x:f>V253*'Inputs &amp; Summary'!$B$15</x:f>
        <x:v>407.69747700626726</x:v>
      </x:c>
      <x:c r="X253" s="40" t="n">
        <x:f>IF(V253&lt;=0.00000001,0,MIN('Inputs &amp; Summary'!$B$18,V253+W253))</x:f>
        <x:v>2324.586407999052</x:v>
      </x:c>
      <x:c r="Y253" s="40" t="n">
        <x:f>IF(ABS(MAX(0,V253+W253-X253))&lt;0.00000001,0,MAX(0,V253+W253-X253))</x:f>
        <x:v>107817.27223532475</x:v>
      </x:c>
      <x:c r="Z253" s="40" t="n">
        <x:f>MAX(0,'Inputs &amp; Summary'!$B$18-X253)</x:f>
        <x:v>0</x:v>
      </x:c>
      <x:c r="AA253" s="40" t="n">
        <x:f>AC252</x:f>
        <x:v>307673.12506303645</x:v>
      </x:c>
      <x:c r="AB253" s="40" t="n">
        <x:f>J253</x:f>
        <x:v>2166.8128786157813</x:v>
      </x:c>
      <x:c r="AC253" s="40" t="n">
        <x:f>AA253*(1+'Inputs &amp; Summary'!$B$17)+Z253+AB253</x:f>
        <x:v>311337.5524354937</x:v>
      </x:c>
      <x:c r="AD253" s="40" t="n">
        <x:f>F253+H253+J253</x:f>
        <x:v>4491.399286614833</x:v>
      </x:c>
      <x:c r="AE253" s="40" t="n">
        <x:f>X253+Z253+AB253</x:f>
        <x:v>4491.399286614833</x:v>
      </x:c>
      <x:c r="AF253" s="40" t="n">
        <x:f>AD253-AE253</x:f>
        <x:v>0</x:v>
      </x:c>
      <x:c r="AG253" s="42" t="n">
        <x:f>(O253+S253)/'Inputs &amp; Summary'!$B$4</x:f>
        <x:v>0.5999999999999999</x:v>
      </x:c>
      <x:c r="AH253" s="40" t="n">
        <x:f>U253-O253-S253</x:f>
        <x:v>262052.99408600526</x:v>
      </x:c>
      <x:c r="AI253" s="40" t="n">
        <x:f>AC253-Y253</x:f>
        <x:v>203520.28020016893</x:v>
      </x:c>
      <x:c r="AJ253" s="40" t="n">
        <x:f>AH253-AI253</x:f>
        <x:v>58532.71388583633</x:v>
      </x:c>
    </x:row>
    <x:row r="254">
      <x:c r="A254" t="n">
        <x:f>A253+1</x:f>
        <x:v>250</x:v>
      </x:c>
      <x:c r="B254" t="n">
        <x:f>INT((A254-1)/12)+1</x:f>
        <x:v>21</x:v>
      </x:c>
      <x:c r="C254" t="n">
        <x:f>MOD(A254-1,12)+1</x:f>
        <x:v>10</x:v>
      </x:c>
      <x:c r="D254" s="40" t="n">
        <x:f>O253</x:f>
        <x:v>17722.626720746695</x:v>
      </x:c>
      <x:c r="E254" s="40" t="n">
        <x:f>D254*'Inputs &amp; Summary'!$B$15</x:f>
        <x:v>65.84522197259128</x:v>
      </x:c>
      <x:c r="F254" s="40" t="n">
        <x:f>IF(D254&lt;=0.00000001,0,MIN('Inputs &amp; Summary'!$B$18,D254+E254))</x:f>
        <x:v>2324.586407999052</x:v>
      </x:c>
      <x:c r="G254" s="40" t="n">
        <x:f>IF(ABS(MAX(0,D254+E254-F254))&lt;0.00000001,0,MAX(0,D254+E254-F254))</x:f>
        <x:v>15463.885534720235</x:v>
      </x:c>
      <x:c r="H254" s="40" t="n">
        <x:f>MAX(0,'Inputs &amp; Summary'!$B$18-F254)</x:f>
        <x:v>0</x:v>
      </x:c>
      <x:c r="I254" s="40" t="n">
        <x:f>S253</x:f>
        <x:v>402277.37327925325</x:v>
      </x:c>
      <x:c r="J254" s="40" t="n">
        <x:f>I254*'Inputs &amp; Summary'!$B$16</x:f>
        <x:v>2179.002438595955</x:v>
      </x:c>
      <x:c r="K254" s="40" t="n">
        <x:f>IF(C254=1,J254,K253+J254)</x:f>
        <x:v>21246.873725566416</x:v>
      </x:c>
      <x:c r="L254" s="40" t="n">
        <x:f>IF(C254=12,K254*'Inputs &amp; Summary'!$B$11*'Inputs &amp; Summary'!$B$12,0)</x:f>
        <x:v>0</x:v>
      </x:c>
      <x:c r="M254" s="40" t="n">
        <x:f>MIN(L254,G254)</x:f>
        <x:v>0</x:v>
      </x:c>
      <x:c r="N254" s="40" t="n">
        <x:f>MAX(0,L254-M254)</x:f>
        <x:v>0</x:v>
      </x:c>
      <x:c r="O254" s="40" t="n">
        <x:f>IF(ABS(MAX(0,G254-M254))&lt;0.00000001,0,MAX(0,G254-M254))</x:f>
        <x:v>15463.885534720235</x:v>
      </x:c>
      <x:c r="P254" s="40" t="n">
        <x:f>MAX(0,D254-O254)</x:f>
        <x:v>2258.74118602646</x:v>
      </x:c>
      <x:c r="Q254" s="40" t="n">
        <x:f>MAX(0,'Inputs &amp; Summary'!$B$19*'Inputs &amp; Summary'!$B$4-O254-I254)</x:f>
        <x:v>37258.741186026484</x:v>
      </x:c>
      <x:c r="R254" s="40" t="n">
        <x:f>MIN(P254,Q254)</x:f>
        <x:v>2258.74118602646</x:v>
      </x:c>
      <x:c r="S254" s="40" t="n">
        <x:f>I254+R254</x:f>
        <x:v>404536.11446527974</x:v>
      </x:c>
      <x:c r="T254" s="40" t="n">
        <x:f>U253</x:f>
        <x:v>682052.9940860053</x:v>
      </x:c>
      <x:c r="U254" s="40" t="n">
        <x:f>T254*(1+'Inputs &amp; Summary'!$B$17)+R254+N254+H254</x:f>
        <x:v>687631.662708989</x:v>
      </x:c>
      <x:c r="V254" s="40" t="n">
        <x:f>Y253</x:f>
        <x:v>107817.27223532475</x:v>
      </x:c>
      <x:c r="W254" s="40" t="n">
        <x:f>V254*'Inputs &amp; Summary'!$B$15</x:f>
        <x:v>400.5756220382185</x:v>
      </x:c>
      <x:c r="X254" s="40" t="n">
        <x:f>IF(V254&lt;=0.00000001,0,MIN('Inputs &amp; Summary'!$B$18,V254+W254))</x:f>
        <x:v>2324.586407999052</x:v>
      </x:c>
      <x:c r="Y254" s="40" t="n">
        <x:f>IF(ABS(MAX(0,V254+W254-X254))&lt;0.00000001,0,MAX(0,V254+W254-X254))</x:f>
        <x:v>105893.26144936391</x:v>
      </x:c>
      <x:c r="Z254" s="40" t="n">
        <x:f>MAX(0,'Inputs &amp; Summary'!$B$18-X254)</x:f>
        <x:v>0</x:v>
      </x:c>
      <x:c r="AA254" s="40" t="n">
        <x:f>AC253</x:f>
        <x:v>311337.5524354937</x:v>
      </x:c>
      <x:c r="AB254" s="40" t="n">
        <x:f>J254</x:f>
        <x:v>2179.002438595955</x:v>
      </x:c>
      <x:c r="AC254" s="40" t="n">
        <x:f>AA254*(1+'Inputs &amp; Summary'!$B$17)+Z254+AB254</x:f>
        <x:v>315032.00615345954</x:v>
      </x:c>
      <x:c r="AD254" s="40" t="n">
        <x:f>F254+H254+J254</x:f>
        <x:v>4503.5888465950065</x:v>
      </x:c>
      <x:c r="AE254" s="40" t="n">
        <x:f>X254+Z254+AB254</x:f>
        <x:v>4503.5888465950065</x:v>
      </x:c>
      <x:c r="AF254" s="40" t="n">
        <x:f>AD254-AE254</x:f>
        <x:v>0</x:v>
      </x:c>
      <x:c r="AG254" s="42" t="n">
        <x:f>(O254+S254)/'Inputs &amp; Summary'!$B$4</x:f>
        <x:v>0.6</x:v>
      </x:c>
      <x:c r="AH254" s="40" t="n">
        <x:f>U254-O254-S254</x:f>
        <x:v>267631.662708989</x:v>
      </x:c>
      <x:c r="AI254" s="40" t="n">
        <x:f>AC254-Y254</x:f>
        <x:v>209138.74470409565</x:v>
      </x:c>
      <x:c r="AJ254" s="40" t="n">
        <x:f>AH254-AI254</x:f>
        <x:v>58492.91800489335</x:v>
      </x:c>
    </x:row>
    <x:row r="255">
      <x:c r="A255" t="n">
        <x:f>A254+1</x:f>
        <x:v>251</x:v>
      </x:c>
      <x:c r="B255" t="n">
        <x:f>INT((A255-1)/12)+1</x:f>
        <x:v>21</x:v>
      </x:c>
      <x:c r="C255" t="n">
        <x:f>MOD(A255-1,12)+1</x:f>
        <x:v>11</x:v>
      </x:c>
      <x:c r="D255" s="40" t="n">
        <x:f>O254</x:f>
        <x:v>15463.885534720235</x:v>
      </x:c>
      <x:c r="E255" s="40" t="n">
        <x:f>D255*'Inputs &amp; Summary'!$B$15</x:f>
        <x:v>57.453276629723945</x:v>
      </x:c>
      <x:c r="F255" s="40" t="n">
        <x:f>IF(D255&lt;=0.00000001,0,MIN('Inputs &amp; Summary'!$B$18,D255+E255))</x:f>
        <x:v>2324.586407999052</x:v>
      </x:c>
      <x:c r="G255" s="40" t="n">
        <x:f>IF(ABS(MAX(0,D255+E255-F255))&lt;0.00000001,0,MAX(0,D255+E255-F255))</x:f>
        <x:v>13196.752403350907</x:v>
      </x:c>
      <x:c r="H255" s="40" t="n">
        <x:f>MAX(0,'Inputs &amp; Summary'!$B$18-F255)</x:f>
        <x:v>0</x:v>
      </x:c>
      <x:c r="I255" s="40" t="n">
        <x:f>S254</x:f>
        <x:v>404536.11446527974</x:v>
      </x:c>
      <x:c r="J255" s="40" t="n">
        <x:f>I255*'Inputs &amp; Summary'!$B$16</x:f>
        <x:v>2191.237286686932</x:v>
      </x:c>
      <x:c r="K255" s="40" t="n">
        <x:f>IF(C255=1,J255,K254+J255)</x:f>
        <x:v>23438.11101225335</x:v>
      </x:c>
      <x:c r="L255" s="40" t="n">
        <x:f>IF(C255=12,K255*'Inputs &amp; Summary'!$B$11*'Inputs &amp; Summary'!$B$12,0)</x:f>
        <x:v>0</x:v>
      </x:c>
      <x:c r="M255" s="40" t="n">
        <x:f>MIN(L255,G255)</x:f>
        <x:v>0</x:v>
      </x:c>
      <x:c r="N255" s="40" t="n">
        <x:f>MAX(0,L255-M255)</x:f>
        <x:v>0</x:v>
      </x:c>
      <x:c r="O255" s="40" t="n">
        <x:f>IF(ABS(MAX(0,G255-M255))&lt;0.00000001,0,MAX(0,G255-M255))</x:f>
        <x:v>13196.752403350907</x:v>
      </x:c>
      <x:c r="P255" s="40" t="n">
        <x:f>MAX(0,D255-O255)</x:f>
        <x:v>2267.133131369328</x:v>
      </x:c>
      <x:c r="Q255" s="40" t="n">
        <x:f>MAX(0,'Inputs &amp; Summary'!$B$19*'Inputs &amp; Summary'!$B$4-O255-I255)</x:f>
        <x:v>37267.133131369366</x:v>
      </x:c>
      <x:c r="R255" s="40" t="n">
        <x:f>MIN(P255,Q255)</x:f>
        <x:v>2267.133131369328</x:v>
      </x:c>
      <x:c r="S255" s="40" t="n">
        <x:f>I255+R255</x:f>
        <x:v>406803.24759664905</x:v>
      </x:c>
      <x:c r="T255" s="40" t="n">
        <x:f>U254</x:f>
        <x:v>687631.662708989</x:v>
      </x:c>
      <x:c r="U255" s="40" t="n">
        <x:f>T255*(1+'Inputs &amp; Summary'!$B$17)+R255+N255+H255</x:f>
        <x:v>693245.8777289253</x:v>
      </x:c>
      <x:c r="V255" s="40" t="n">
        <x:f>Y254</x:f>
        <x:v>105893.26144936391</x:v>
      </x:c>
      <x:c r="W255" s="40" t="n">
        <x:f>V255*'Inputs &amp; Summary'!$B$15</x:f>
        <x:v>393.42730710299804</x:v>
      </x:c>
      <x:c r="X255" s="40" t="n">
        <x:f>IF(V255&lt;=0.00000001,0,MIN('Inputs &amp; Summary'!$B$18,V255+W255))</x:f>
        <x:v>2324.586407999052</x:v>
      </x:c>
      <x:c r="Y255" s="40" t="n">
        <x:f>IF(ABS(MAX(0,V255+W255-X255))&lt;0.00000001,0,MAX(0,V255+W255-X255))</x:f>
        <x:v>103962.10234846786</x:v>
      </x:c>
      <x:c r="Z255" s="40" t="n">
        <x:f>MAX(0,'Inputs &amp; Summary'!$B$18-X255)</x:f>
        <x:v>0</x:v>
      </x:c>
      <x:c r="AA255" s="40" t="n">
        <x:f>AC254</x:f>
        <x:v>315032.00615345954</x:v>
      </x:c>
      <x:c r="AB255" s="40" t="n">
        <x:f>J255</x:f>
        <x:v>2191.237286686932</x:v>
      </x:c>
      <x:c r="AC255" s="40" t="n">
        <x:f>AA255*(1+'Inputs &amp; Summary'!$B$17)+Z255+AB255</x:f>
        <x:v>318756.6776597999</x:v>
      </x:c>
      <x:c r="AD255" s="40" t="n">
        <x:f>F255+H255+J255</x:f>
        <x:v>4515.823694685983</x:v>
      </x:c>
      <x:c r="AE255" s="40" t="n">
        <x:f>X255+Z255+AB255</x:f>
        <x:v>4515.823694685983</x:v>
      </x:c>
      <x:c r="AF255" s="40" t="n">
        <x:f>AD255-AE255</x:f>
        <x:v>0</x:v>
      </x:c>
      <x:c r="AG255" s="42" t="n">
        <x:f>(O255+S255)/'Inputs &amp; Summary'!$B$4</x:f>
        <x:v>0.5999999999999999</x:v>
      </x:c>
      <x:c r="AH255" s="40" t="n">
        <x:f>U255-O255-S255</x:f>
        <x:v>273245.8777289254</x:v>
      </x:c>
      <x:c r="AI255" s="40" t="n">
        <x:f>AC255-Y255</x:f>
        <x:v>214794.57531133207</x:v>
      </x:c>
      <x:c r="AJ255" s="40" t="n">
        <x:f>AH255-AI255</x:f>
        <x:v>58451.30241759331</x:v>
      </x:c>
    </x:row>
    <x:row r="256">
      <x:c r="A256" t="n">
        <x:f>A255+1</x:f>
        <x:v>252</x:v>
      </x:c>
      <x:c r="B256" t="n">
        <x:f>INT((A256-1)/12)+1</x:f>
        <x:v>21</x:v>
      </x:c>
      <x:c r="C256" t="n">
        <x:f>MOD(A256-1,12)+1</x:f>
        <x:v>12</x:v>
      </x:c>
      <x:c r="D256" s="40" t="n">
        <x:f>O255</x:f>
        <x:v>13196.752403350907</x:v>
      </x:c>
      <x:c r="E256" s="40" t="n">
        <x:f>D256*'Inputs &amp; Summary'!$B$15</x:f>
        <x:v>49.03015252805354</x:v>
      </x:c>
      <x:c r="F256" s="40" t="n">
        <x:f>IF(D256&lt;=0.00000001,0,MIN('Inputs &amp; Summary'!$B$18,D256+E256))</x:f>
        <x:v>2324.586407999052</x:v>
      </x:c>
      <x:c r="G256" s="40" t="n">
        <x:f>IF(ABS(MAX(0,D256+E256-F256))&lt;0.00000001,0,MAX(0,D256+E256-F256))</x:f>
        <x:v>10921.19614787991</x:v>
      </x:c>
      <x:c r="H256" s="40" t="n">
        <x:f>MAX(0,'Inputs &amp; Summary'!$B$18-F256)</x:f>
        <x:v>0</x:v>
      </x:c>
      <x:c r="I256" s="40" t="n">
        <x:f>S255</x:f>
        <x:v>406803.24759664905</x:v>
      </x:c>
      <x:c r="J256" s="40" t="n">
        <x:f>I256*'Inputs &amp; Summary'!$B$16</x:f>
        <x:v>2203.5175911485157</x:v>
      </x:c>
      <x:c r="K256" s="40" t="n">
        <x:f>IF(C256=1,J256,K255+J256)</x:f>
        <x:v>25641.628603401867</x:v>
      </x:c>
      <x:c r="L256" s="40" t="n">
        <x:f>IF(C256=12,K256*'Inputs &amp; Summary'!$B$11*'Inputs &amp; Summary'!$B$12,0)</x:f>
        <x:v>8974.570011190654</x:v>
      </x:c>
      <x:c r="M256" s="40" t="n">
        <x:f>MIN(L256,G256)</x:f>
        <x:v>8974.570011190654</x:v>
      </x:c>
      <x:c r="N256" s="40" t="n">
        <x:f>MAX(0,L256-M256)</x:f>
        <x:v>0</x:v>
      </x:c>
      <x:c r="O256" s="40" t="n">
        <x:f>IF(ABS(MAX(0,G256-M256))&lt;0.00000001,0,MAX(0,G256-M256))</x:f>
        <x:v>1946.6261366892559</x:v>
      </x:c>
      <x:c r="P256" s="40" t="n">
        <x:f>MAX(0,D256-O256)</x:f>
        <x:v>11250.126266661651</x:v>
      </x:c>
      <x:c r="Q256" s="40" t="n">
        <x:f>MAX(0,'Inputs &amp; Summary'!$B$19*'Inputs &amp; Summary'!$B$4-O256-I256)</x:f>
        <x:v>46250.12626666168</x:v>
      </x:c>
      <x:c r="R256" s="40" t="n">
        <x:f>MIN(P256,Q256)</x:f>
        <x:v>11250.126266661651</x:v>
      </x:c>
      <x:c r="S256" s="40" t="n">
        <x:f>I256+R256</x:f>
        <x:v>418053.37386331067</x:v>
      </x:c>
      <x:c r="T256" s="40" t="n">
        <x:f>U255</x:f>
        <x:v>693245.8777289253</x:v>
      </x:c>
      <x:c r="U256" s="40" t="n">
        <x:f>T256*(1+'Inputs &amp; Summary'!$B$17)+R256+N256+H256</x:f>
        <x:v>707870.4133596482</x:v>
      </x:c>
      <x:c r="V256" s="40" t="n">
        <x:f>Y255</x:f>
        <x:v>103962.10234846786</x:v>
      </x:c>
      <x:c r="W256" s="40" t="n">
        <x:f>V256*'Inputs &amp; Summary'!$B$15</x:f>
        <x:v>386.25243389337186</x:v>
      </x:c>
      <x:c r="X256" s="40" t="n">
        <x:f>IF(V256&lt;=0.00000001,0,MIN('Inputs &amp; Summary'!$B$18,V256+W256))</x:f>
        <x:v>2324.586407999052</x:v>
      </x:c>
      <x:c r="Y256" s="40" t="n">
        <x:f>IF(ABS(MAX(0,V256+W256-X256))&lt;0.00000001,0,MAX(0,V256+W256-X256))</x:f>
        <x:v>102023.76837436217</x:v>
      </x:c>
      <x:c r="Z256" s="40" t="n">
        <x:f>MAX(0,'Inputs &amp; Summary'!$B$18-X256)</x:f>
        <x:v>0</x:v>
      </x:c>
      <x:c r="AA256" s="40" t="n">
        <x:f>AC255</x:f>
        <x:v>318756.6776597999</x:v>
      </x:c>
      <x:c r="AB256" s="40" t="n">
        <x:f>J256</x:f>
        <x:v>2203.5175911485157</x:v>
      </x:c>
      <x:c r="AC256" s="40" t="n">
        <x:f>AA256*(1+'Inputs &amp; Summary'!$B$17)+Z256+AB256</x:f>
        <x:v>322511.7594974983</x:v>
      </x:c>
      <x:c r="AD256" s="40" t="n">
        <x:f>F256+H256+J256</x:f>
        <x:v>4528.103999147568</x:v>
      </x:c>
      <x:c r="AE256" s="40" t="n">
        <x:f>X256+Z256+AB256</x:f>
        <x:v>4528.103999147568</x:v>
      </x:c>
      <x:c r="AF256" s="40" t="n">
        <x:f>AD256-AE256</x:f>
        <x:v>0</x:v>
      </x:c>
      <x:c r="AG256" s="42" t="n">
        <x:f>(O256+S256)/'Inputs &amp; Summary'!$B$4</x:f>
        <x:v>0.5999999999999999</x:v>
      </x:c>
      <x:c r="AH256" s="40" t="n">
        <x:f>U256-O256-S256</x:f>
        <x:v>287870.4133596483</x:v>
      </x:c>
      <x:c r="AI256" s="40" t="n">
        <x:f>AC256-Y256</x:f>
        <x:v>220487.9911231361</x:v>
      </x:c>
      <x:c r="AJ256" s="40" t="n">
        <x:f>AH256-AI256</x:f>
        <x:v>67382.42223651221</x:v>
      </x:c>
    </x:row>
    <x:row r="257">
      <x:c r="A257" t="n">
        <x:f>A256+1</x:f>
        <x:v>253</x:v>
      </x:c>
      <x:c r="B257" t="n">
        <x:f>INT((A257-1)/12)+1</x:f>
        <x:v>22</x:v>
      </x:c>
      <x:c r="C257" t="n">
        <x:f>MOD(A257-1,12)+1</x:f>
        <x:v>1</x:v>
      </x:c>
      <x:c r="D257" s="40" t="n">
        <x:f>O256</x:f>
        <x:v>1946.6261366892559</x:v>
      </x:c>
      <x:c r="E257" s="40" t="n">
        <x:f>D257*'Inputs &amp; Summary'!$B$15</x:f>
        <x:v>7.232338190472902</x:v>
      </x:c>
      <x:c r="F257" s="40" t="n">
        <x:f>IF(D257&lt;=0.00000001,0,MIN('Inputs &amp; Summary'!$B$18,D257+E257))</x:f>
        <x:v>1953.8584748797289</x:v>
      </x:c>
      <x:c r="G257" s="40" t="n">
        <x:f>IF(ABS(MAX(0,D257+E257-F257))&lt;0.00000001,0,MAX(0,D257+E257-F257))</x:f>
        <x:v>0</x:v>
      </x:c>
      <x:c r="H257" s="40" t="n">
        <x:f>MAX(0,'Inputs &amp; Summary'!$B$18-F257)</x:f>
        <x:v>370.7279331193231</x:v>
      </x:c>
      <x:c r="I257" s="40" t="n">
        <x:f>S256</x:f>
        <x:v>418053.37386331067</x:v>
      </x:c>
      <x:c r="J257" s="40" t="n">
        <x:f>I257*'Inputs &amp; Summary'!$B$16</x:f>
        <x:v>2264.455775092933</x:v>
      </x:c>
      <x:c r="K257" s="40" t="n">
        <x:f>IF(C257=1,J257,K256+J257)</x:f>
        <x:v>2264.455775092933</x:v>
      </x:c>
      <x:c r="L257" s="40" t="n">
        <x:f>IF(C257=12,K257*'Inputs &amp; Summary'!$B$11*'Inputs &amp; Summary'!$B$12,0)</x:f>
        <x:v>0</x:v>
      </x:c>
      <x:c r="M257" s="40" t="n">
        <x:f>MIN(L257,G257)</x:f>
        <x:v>0</x:v>
      </x:c>
      <x:c r="N257" s="40" t="n">
        <x:f>MAX(0,L257-M257)</x:f>
        <x:v>0</x:v>
      </x:c>
      <x:c r="O257" s="40" t="n">
        <x:f>IF(ABS(MAX(0,G257-M257))&lt;0.00000001,0,MAX(0,G257-M257))</x:f>
        <x:v>0</x:v>
      </x:c>
      <x:c r="P257" s="40" t="n">
        <x:f>MAX(0,D257-O257)</x:f>
        <x:v>1946.6261366892559</x:v>
      </x:c>
      <x:c r="Q257" s="40" t="n">
        <x:f>MAX(0,'Inputs &amp; Summary'!$B$19*'Inputs &amp; Summary'!$B$4-O257-I257)</x:f>
        <x:v>36946.62613668933</x:v>
      </x:c>
      <x:c r="R257" s="40" t="n">
        <x:f>MIN(P257,Q257)</x:f>
        <x:v>1946.6261366892559</x:v>
      </x:c>
      <x:c r="S257" s="40" t="n">
        <x:f>I257+R257</x:f>
        <x:v>419999.99999999994</x:v>
      </x:c>
      <x:c r="T257" s="40" t="n">
        <x:f>U256</x:f>
        <x:v>707870.4133596482</x:v>
      </x:c>
      <x:c r="U257" s="40" t="n">
        <x:f>T257*(1+'Inputs &amp; Summary'!$B$17)+R257+N257+H257</x:f>
        <x:v>713633.3624601951</x:v>
      </x:c>
      <x:c r="V257" s="40" t="n">
        <x:f>Y256</x:f>
        <x:v>102023.76837436217</x:v>
      </x:c>
      <x:c r="W257" s="40" t="n">
        <x:f>V257*'Inputs &amp; Summary'!$B$15</x:f>
        <x:v>379.0509037368632</x:v>
      </x:c>
      <x:c r="X257" s="40" t="n">
        <x:f>IF(V257&lt;=0.00000001,0,MIN('Inputs &amp; Summary'!$B$18,V257+W257))</x:f>
        <x:v>2324.586407999052</x:v>
      </x:c>
      <x:c r="Y257" s="40" t="n">
        <x:f>IF(ABS(MAX(0,V257+W257-X257))&lt;0.00000001,0,MAX(0,V257+W257-X257))</x:f>
        <x:v>100078.23287009998</x:v>
      </x:c>
      <x:c r="Z257" s="40" t="n">
        <x:f>MAX(0,'Inputs &amp; Summary'!$B$18-X257)</x:f>
        <x:v>0</x:v>
      </x:c>
      <x:c r="AA257" s="40" t="n">
        <x:f>AC256</x:f>
        <x:v>322511.7594974983</x:v>
      </x:c>
      <x:c r="AB257" s="40" t="n">
        <x:f>J257</x:f>
        <x:v>2264.455775092933</x:v>
      </x:c>
      <x:c r="AC257" s="40" t="n">
        <x:f>AA257*(1+'Inputs &amp; Summary'!$B$17)+Z257+AB257</x:f>
        <x:v>326346.05756986304</x:v>
      </x:c>
      <x:c r="AD257" s="40" t="n">
        <x:f>F257+H257+J257</x:f>
        <x:v>4589.042183091985</x:v>
      </x:c>
      <x:c r="AE257" s="40" t="n">
        <x:f>X257+Z257+AB257</x:f>
        <x:v>4589.042183091985</x:v>
      </x:c>
      <x:c r="AF257" s="40" t="n">
        <x:f>AD257-AE257</x:f>
        <x:v>0</x:v>
      </x:c>
      <x:c r="AG257" s="42" t="n">
        <x:f>(O257+S257)/'Inputs &amp; Summary'!$B$4</x:f>
        <x:v>0.5999999999999999</x:v>
      </x:c>
      <x:c r="AH257" s="40" t="n">
        <x:f>U257-O257-S257</x:f>
        <x:v>293633.36246019515</x:v>
      </x:c>
      <x:c r="AI257" s="40" t="n">
        <x:f>AC257-Y257</x:f>
        <x:v>226267.82469976306</x:v>
      </x:c>
      <x:c r="AJ257" s="40" t="n">
        <x:f>AH257-AI257</x:f>
        <x:v>67365.53776043208</x:v>
      </x:c>
    </x:row>
    <x:row r="258">
      <x:c r="A258" t="n">
        <x:f>A257+1</x:f>
        <x:v>254</x:v>
      </x:c>
      <x:c r="B258" t="n">
        <x:f>INT((A258-1)/12)+1</x:f>
        <x:v>22</x:v>
      </x:c>
      <x:c r="C258" t="n">
        <x:f>MOD(A258-1,12)+1</x:f>
        <x:v>2</x:v>
      </x:c>
      <x:c r="D258" s="40" t="n">
        <x:f>O257</x:f>
        <x:v>0</x:v>
      </x:c>
      <x:c r="E258" s="40" t="n">
        <x:f>D258*'Inputs &amp; Summary'!$B$15</x:f>
        <x:v>0</x:v>
      </x:c>
      <x:c r="F258" s="40" t="n">
        <x:f>IF(D258&lt;=0.00000001,0,MIN('Inputs &amp; Summary'!$B$18,D258+E258))</x:f>
        <x:v>0</x:v>
      </x:c>
      <x:c r="G258" s="40" t="n">
        <x:f>IF(ABS(MAX(0,D258+E258-F258))&lt;0.00000001,0,MAX(0,D258+E258-F258))</x:f>
        <x:v>0</x:v>
      </x:c>
      <x:c r="H258" s="40" t="n">
        <x:f>MAX(0,'Inputs &amp; Summary'!$B$18-F258)</x:f>
        <x:v>2324.586407999052</x:v>
      </x:c>
      <x:c r="I258" s="40" t="n">
        <x:f>S257</x:f>
        <x:v>419999.99999999994</x:v>
      </x:c>
      <x:c r="J258" s="40" t="n">
        <x:f>I258*'Inputs &amp; Summary'!$B$16</x:f>
        <x:v>2274.9999999999995</x:v>
      </x:c>
      <x:c r="K258" s="40" t="n">
        <x:f>IF(C258=1,J258,K257+J258)</x:f>
        <x:v>4539.4557750929325</x:v>
      </x:c>
      <x:c r="L258" s="40" t="n">
        <x:f>IF(C258=12,K258*'Inputs &amp; Summary'!$B$11*'Inputs &amp; Summary'!$B$12,0)</x:f>
        <x:v>0</x:v>
      </x:c>
      <x:c r="M258" s="40" t="n">
        <x:f>MIN(L258,G258)</x:f>
        <x:v>0</x:v>
      </x:c>
      <x:c r="N258" s="40" t="n">
        <x:f>MAX(0,L258-M258)</x:f>
        <x:v>0</x:v>
      </x:c>
      <x:c r="O258" s="40" t="n">
        <x:f>IF(ABS(MAX(0,G258-M258))&lt;0.00000001,0,MAX(0,G258-M258))</x:f>
        <x:v>0</x:v>
      </x:c>
      <x:c r="P258" s="40" t="n">
        <x:f>MAX(0,D258-O258)</x:f>
        <x:v>0</x:v>
      </x:c>
      <x:c r="Q258" s="40" t="n">
        <x:f>MAX(0,'Inputs &amp; Summary'!$B$19*'Inputs &amp; Summary'!$B$4-O258-I258)</x:f>
        <x:v>35000.00000000006</x:v>
      </x:c>
      <x:c r="R258" s="40" t="n">
        <x:f>MIN(P258,Q258)</x:f>
        <x:v>0</x:v>
      </x:c>
      <x:c r="S258" s="40" t="n">
        <x:f>I258+R258</x:f>
        <x:v>419999.99999999994</x:v>
      </x:c>
      <x:c r="T258" s="40" t="n">
        <x:f>U257</x:f>
        <x:v>713633.3624601951</x:v>
      </x:c>
      <x:c r="U258" s="40" t="n">
        <x:f>T258*(1+'Inputs &amp; Summary'!$B$17)+R258+N258+H258</x:f>
        <x:v>719431.5953450849</x:v>
      </x:c>
      <x:c r="V258" s="40" t="n">
        <x:f>Y257</x:f>
        <x:v>100078.23287009998</x:v>
      </x:c>
      <x:c r="W258" s="40" t="n">
        <x:f>V258*'Inputs &amp; Summary'!$B$15</x:f>
        <x:v>371.82261759439547</x:v>
      </x:c>
      <x:c r="X258" s="40" t="n">
        <x:f>IF(V258&lt;=0.00000001,0,MIN('Inputs &amp; Summary'!$B$18,V258+W258))</x:f>
        <x:v>2324.586407999052</x:v>
      </x:c>
      <x:c r="Y258" s="40" t="n">
        <x:f>IF(ABS(MAX(0,V258+W258-X258))&lt;0.00000001,0,MAX(0,V258+W258-X258))</x:f>
        <x:v>98125.46907969532</x:v>
      </x:c>
      <x:c r="Z258" s="40" t="n">
        <x:f>MAX(0,'Inputs &amp; Summary'!$B$18-X258)</x:f>
        <x:v>0</x:v>
      </x:c>
      <x:c r="AA258" s="40" t="n">
        <x:f>AC257</x:f>
        <x:v>326346.05756986304</x:v>
      </x:c>
      <x:c r="AB258" s="40" t="n">
        <x:f>J258</x:f>
        <x:v>2274.9999999999995</x:v>
      </x:c>
      <x:c r="AC258" s="40" t="n">
        <x:f>AA258*(1+'Inputs &amp; Summary'!$B$17)+Z258+AB258</x:f>
        <x:v>330209.5635068847</x:v>
      </x:c>
      <x:c r="AD258" s="40" t="n">
        <x:f>F258+H258+J258</x:f>
        <x:v>4599.5864079990515</x:v>
      </x:c>
      <x:c r="AE258" s="40" t="n">
        <x:f>X258+Z258+AB258</x:f>
        <x:v>4599.5864079990515</x:v>
      </x:c>
      <x:c r="AF258" s="40" t="n">
        <x:f>AD258-AE258</x:f>
        <x:v>0</x:v>
      </x:c>
      <x:c r="AG258" s="42" t="n">
        <x:f>(O258+S258)/'Inputs &amp; Summary'!$B$4</x:f>
        <x:v>0.5999999999999999</x:v>
      </x:c>
      <x:c r="AH258" s="40" t="n">
        <x:f>U258-O258-S258</x:f>
        <x:v>299431.59534508496</x:v>
      </x:c>
      <x:c r="AI258" s="40" t="n">
        <x:f>AC258-Y258</x:f>
        <x:v>232084.09442718935</x:v>
      </x:c>
      <x:c r="AJ258" s="40" t="n">
        <x:f>AH258-AI258</x:f>
        <x:v>67347.50091789561</x:v>
      </x:c>
    </x:row>
    <x:row r="259">
      <x:c r="A259" t="n">
        <x:f>A258+1</x:f>
        <x:v>255</x:v>
      </x:c>
      <x:c r="B259" t="n">
        <x:f>INT((A259-1)/12)+1</x:f>
        <x:v>22</x:v>
      </x:c>
      <x:c r="C259" t="n">
        <x:f>MOD(A259-1,12)+1</x:f>
        <x:v>3</x:v>
      </x:c>
      <x:c r="D259" s="40" t="n">
        <x:f>O258</x:f>
        <x:v>0</x:v>
      </x:c>
      <x:c r="E259" s="40" t="n">
        <x:f>D259*'Inputs &amp; Summary'!$B$15</x:f>
        <x:v>0</x:v>
      </x:c>
      <x:c r="F259" s="40" t="n">
        <x:f>IF(D259&lt;=0.00000001,0,MIN('Inputs &amp; Summary'!$B$18,D259+E259))</x:f>
        <x:v>0</x:v>
      </x:c>
      <x:c r="G259" s="40" t="n">
        <x:f>IF(ABS(MAX(0,D259+E259-F259))&lt;0.00000001,0,MAX(0,D259+E259-F259))</x:f>
        <x:v>0</x:v>
      </x:c>
      <x:c r="H259" s="40" t="n">
        <x:f>MAX(0,'Inputs &amp; Summary'!$B$18-F259)</x:f>
        <x:v>2324.586407999052</x:v>
      </x:c>
      <x:c r="I259" s="40" t="n">
        <x:f>S258</x:f>
        <x:v>419999.99999999994</x:v>
      </x:c>
      <x:c r="J259" s="40" t="n">
        <x:f>I259*'Inputs &amp; Summary'!$B$16</x:f>
        <x:v>2274.9999999999995</x:v>
      </x:c>
      <x:c r="K259" s="40" t="n">
        <x:f>IF(C259=1,J259,K258+J259)</x:f>
        <x:v>6814.4557750929325</x:v>
      </x:c>
      <x:c r="L259" s="40" t="n">
        <x:f>IF(C259=12,K259*'Inputs &amp; Summary'!$B$11*'Inputs &amp; Summary'!$B$12,0)</x:f>
        <x:v>0</x:v>
      </x:c>
      <x:c r="M259" s="40" t="n">
        <x:f>MIN(L259,G259)</x:f>
        <x:v>0</x:v>
      </x:c>
      <x:c r="N259" s="40" t="n">
        <x:f>MAX(0,L259-M259)</x:f>
        <x:v>0</x:v>
      </x:c>
      <x:c r="O259" s="40" t="n">
        <x:f>IF(ABS(MAX(0,G259-M259))&lt;0.00000001,0,MAX(0,G259-M259))</x:f>
        <x:v>0</x:v>
      </x:c>
      <x:c r="P259" s="40" t="n">
        <x:f>MAX(0,D259-O259)</x:f>
        <x:v>0</x:v>
      </x:c>
      <x:c r="Q259" s="40" t="n">
        <x:f>MAX(0,'Inputs &amp; Summary'!$B$19*'Inputs &amp; Summary'!$B$4-O259-I259)</x:f>
        <x:v>35000.00000000006</x:v>
      </x:c>
      <x:c r="R259" s="40" t="n">
        <x:f>MIN(P259,Q259)</x:f>
        <x:v>0</x:v>
      </x:c>
      <x:c r="S259" s="40" t="n">
        <x:f>I259+R259</x:f>
        <x:v>419999.99999999994</x:v>
      </x:c>
      <x:c r="T259" s="40" t="n">
        <x:f>U258</x:f>
        <x:v>719431.5953450849</x:v>
      </x:c>
      <x:c r="U259" s="40" t="n">
        <x:f>T259*(1+'Inputs &amp; Summary'!$B$17)+R259+N259+H259</x:f>
        <x:v>725258.0514217316</x:v>
      </x:c>
      <x:c r="V259" s="40" t="n">
        <x:f>Y258</x:f>
        <x:v>98125.46907969532</x:v>
      </x:c>
      <x:c r="W259" s="40" t="n">
        <x:f>V259*'Inputs &amp; Summary'!$B$15</x:f>
        <x:v>364.5674760589303</x:v>
      </x:c>
      <x:c r="X259" s="40" t="n">
        <x:f>IF(V259&lt;=0.00000001,0,MIN('Inputs &amp; Summary'!$B$18,V259+W259))</x:f>
        <x:v>2324.586407999052</x:v>
      </x:c>
      <x:c r="Y259" s="40" t="n">
        <x:f>IF(ABS(MAX(0,V259+W259-X259))&lt;0.00000001,0,MAX(0,V259+W259-X259))</x:f>
        <x:v>96165.4501477552</x:v>
      </x:c>
      <x:c r="Z259" s="40" t="n">
        <x:f>MAX(0,'Inputs &amp; Summary'!$B$18-X259)</x:f>
        <x:v>0</x:v>
      </x:c>
      <x:c r="AA259" s="40" t="n">
        <x:f>AC258</x:f>
        <x:v>330209.5635068847</x:v>
      </x:c>
      <x:c r="AB259" s="40" t="n">
        <x:f>J259</x:f>
        <x:v>2274.9999999999995</x:v>
      </x:c>
      <x:c r="AC259" s="40" t="n">
        <x:f>AA259*(1+'Inputs &amp; Summary'!$B$17)+Z259+AB259</x:f>
        <x:v>334091.8752544143</x:v>
      </x:c>
      <x:c r="AD259" s="40" t="n">
        <x:f>F259+H259+J259</x:f>
        <x:v>4599.5864079990515</x:v>
      </x:c>
      <x:c r="AE259" s="40" t="n">
        <x:f>X259+Z259+AB259</x:f>
        <x:v>4599.5864079990515</x:v>
      </x:c>
      <x:c r="AF259" s="40" t="n">
        <x:f>AD259-AE259</x:f>
        <x:v>0</x:v>
      </x:c>
      <x:c r="AG259" s="42" t="n">
        <x:f>(O259+S259)/'Inputs &amp; Summary'!$B$4</x:f>
        <x:v>0.5999999999999999</x:v>
      </x:c>
      <x:c r="AH259" s="40" t="n">
        <x:f>U259-O259-S259</x:f>
        <x:v>305258.05142173165</x:v>
      </x:c>
      <x:c r="AI259" s="40" t="n">
        <x:f>AC259-Y259</x:f>
        <x:v>237926.42510665907</x:v>
      </x:c>
      <x:c r="AJ259" s="40" t="n">
        <x:f>AH259-AI259</x:f>
        <x:v>67331.62631507259</x:v>
      </x:c>
    </x:row>
    <x:row r="260">
      <x:c r="A260" t="n">
        <x:f>A259+1</x:f>
        <x:v>256</x:v>
      </x:c>
      <x:c r="B260" t="n">
        <x:f>INT((A260-1)/12)+1</x:f>
        <x:v>22</x:v>
      </x:c>
      <x:c r="C260" t="n">
        <x:f>MOD(A260-1,12)+1</x:f>
        <x:v>4</x:v>
      </x:c>
      <x:c r="D260" s="40" t="n">
        <x:f>O259</x:f>
        <x:v>0</x:v>
      </x:c>
      <x:c r="E260" s="40" t="n">
        <x:f>D260*'Inputs &amp; Summary'!$B$15</x:f>
        <x:v>0</x:v>
      </x:c>
      <x:c r="F260" s="40" t="n">
        <x:f>IF(D260&lt;=0.00000001,0,MIN('Inputs &amp; Summary'!$B$18,D260+E260))</x:f>
        <x:v>0</x:v>
      </x:c>
      <x:c r="G260" s="40" t="n">
        <x:f>IF(ABS(MAX(0,D260+E260-F260))&lt;0.00000001,0,MAX(0,D260+E260-F260))</x:f>
        <x:v>0</x:v>
      </x:c>
      <x:c r="H260" s="40" t="n">
        <x:f>MAX(0,'Inputs &amp; Summary'!$B$18-F260)</x:f>
        <x:v>2324.586407999052</x:v>
      </x:c>
      <x:c r="I260" s="40" t="n">
        <x:f>S259</x:f>
        <x:v>419999.99999999994</x:v>
      </x:c>
      <x:c r="J260" s="40" t="n">
        <x:f>I260*'Inputs &amp; Summary'!$B$16</x:f>
        <x:v>2274.9999999999995</x:v>
      </x:c>
      <x:c r="K260" s="40" t="n">
        <x:f>IF(C260=1,J260,K259+J260)</x:f>
        <x:v>9089.455775092933</x:v>
      </x:c>
      <x:c r="L260" s="40" t="n">
        <x:f>IF(C260=12,K260*'Inputs &amp; Summary'!$B$11*'Inputs &amp; Summary'!$B$12,0)</x:f>
        <x:v>0</x:v>
      </x:c>
      <x:c r="M260" s="40" t="n">
        <x:f>MIN(L260,G260)</x:f>
        <x:v>0</x:v>
      </x:c>
      <x:c r="N260" s="40" t="n">
        <x:f>MAX(0,L260-M260)</x:f>
        <x:v>0</x:v>
      </x:c>
      <x:c r="O260" s="40" t="n">
        <x:f>IF(ABS(MAX(0,G260-M260))&lt;0.00000001,0,MAX(0,G260-M260))</x:f>
        <x:v>0</x:v>
      </x:c>
      <x:c r="P260" s="40" t="n">
        <x:f>MAX(0,D260-O260)</x:f>
        <x:v>0</x:v>
      </x:c>
      <x:c r="Q260" s="40" t="n">
        <x:f>MAX(0,'Inputs &amp; Summary'!$B$19*'Inputs &amp; Summary'!$B$4-O260-I260)</x:f>
        <x:v>35000.00000000006</x:v>
      </x:c>
      <x:c r="R260" s="40" t="n">
        <x:f>MIN(P260,Q260)</x:f>
        <x:v>0</x:v>
      </x:c>
      <x:c r="S260" s="40" t="n">
        <x:f>I260+R260</x:f>
        <x:v>419999.99999999994</x:v>
      </x:c>
      <x:c r="T260" s="40" t="n">
        <x:f>U259</x:f>
        <x:v>725258.0514217316</x:v>
      </x:c>
      <x:c r="U260" s="40" t="n">
        <x:f>T260*(1+'Inputs &amp; Summary'!$B$17)+R260+N260+H260</x:f>
        <x:v>731112.868067948</x:v>
      </x:c>
      <x:c r="V260" s="40" t="n">
        <x:f>Y259</x:f>
        <x:v>96165.4501477552</x:v>
      </x:c>
      <x:c r="W260" s="40" t="n">
        <x:f>V260*'Inputs &amp; Summary'!$B$15</x:f>
        <x:v>357.2853793541005</x:v>
      </x:c>
      <x:c r="X260" s="40" t="n">
        <x:f>IF(V260&lt;=0.00000001,0,MIN('Inputs &amp; Summary'!$B$18,V260+W260))</x:f>
        <x:v>2324.586407999052</x:v>
      </x:c>
      <x:c r="Y260" s="40" t="n">
        <x:f>IF(ABS(MAX(0,V260+W260-X260))&lt;0.00000001,0,MAX(0,V260+W260-X260))</x:f>
        <x:v>94198.14911911024</x:v>
      </x:c>
      <x:c r="Z260" s="40" t="n">
        <x:f>MAX(0,'Inputs &amp; Summary'!$B$18-X260)</x:f>
        <x:v>0</x:v>
      </x:c>
      <x:c r="AA260" s="40" t="n">
        <x:f>AC259</x:f>
        <x:v>334091.8752544143</x:v>
      </x:c>
      <x:c r="AB260" s="40" t="n">
        <x:f>J260</x:f>
        <x:v>2274.9999999999995</x:v>
      </x:c>
      <x:c r="AC260" s="40" t="n">
        <x:f>AA260*(1+'Inputs &amp; Summary'!$B$17)+Z260+AB260</x:f>
        <x:v>337993.0843506854</x:v>
      </x:c>
      <x:c r="AD260" s="40" t="n">
        <x:f>F260+H260+J260</x:f>
        <x:v>4599.5864079990515</x:v>
      </x:c>
      <x:c r="AE260" s="40" t="n">
        <x:f>X260+Z260+AB260</x:f>
        <x:v>4599.5864079990515</x:v>
      </x:c>
      <x:c r="AF260" s="40" t="n">
        <x:f>AD260-AE260</x:f>
        <x:v>0</x:v>
      </x:c>
      <x:c r="AG260" s="42" t="n">
        <x:f>(O260+S260)/'Inputs &amp; Summary'!$B$4</x:f>
        <x:v>0.5999999999999999</x:v>
      </x:c>
      <x:c r="AH260" s="40" t="n">
        <x:f>U260-O260-S260</x:f>
        <x:v>311112.8680679481</x:v>
      </x:c>
      <x:c r="AI260" s="40" t="n">
        <x:f>AC260-Y260</x:f>
        <x:v>243794.93523157516</x:v>
      </x:c>
      <x:c r="AJ260" s="40" t="n">
        <x:f>AH260-AI260</x:f>
        <x:v>67317.93283637293</x:v>
      </x:c>
    </x:row>
    <x:row r="261">
      <x:c r="A261" t="n">
        <x:f>A260+1</x:f>
        <x:v>257</x:v>
      </x:c>
      <x:c r="B261" t="n">
        <x:f>INT((A261-1)/12)+1</x:f>
        <x:v>22</x:v>
      </x:c>
      <x:c r="C261" t="n">
        <x:f>MOD(A261-1,12)+1</x:f>
        <x:v>5</x:v>
      </x:c>
      <x:c r="D261" s="40" t="n">
        <x:f>O260</x:f>
        <x:v>0</x:v>
      </x:c>
      <x:c r="E261" s="40" t="n">
        <x:f>D261*'Inputs &amp; Summary'!$B$15</x:f>
        <x:v>0</x:v>
      </x:c>
      <x:c r="F261" s="40" t="n">
        <x:f>IF(D261&lt;=0.00000001,0,MIN('Inputs &amp; Summary'!$B$18,D261+E261))</x:f>
        <x:v>0</x:v>
      </x:c>
      <x:c r="G261" s="40" t="n">
        <x:f>IF(ABS(MAX(0,D261+E261-F261))&lt;0.00000001,0,MAX(0,D261+E261-F261))</x:f>
        <x:v>0</x:v>
      </x:c>
      <x:c r="H261" s="40" t="n">
        <x:f>MAX(0,'Inputs &amp; Summary'!$B$18-F261)</x:f>
        <x:v>2324.586407999052</x:v>
      </x:c>
      <x:c r="I261" s="40" t="n">
        <x:f>S260</x:f>
        <x:v>419999.99999999994</x:v>
      </x:c>
      <x:c r="J261" s="40" t="n">
        <x:f>I261*'Inputs &amp; Summary'!$B$16</x:f>
        <x:v>2274.9999999999995</x:v>
      </x:c>
      <x:c r="K261" s="40" t="n">
        <x:f>IF(C261=1,J261,K260+J261)</x:f>
        <x:v>11364.455775092933</x:v>
      </x:c>
      <x:c r="L261" s="40" t="n">
        <x:f>IF(C261=12,K261*'Inputs &amp; Summary'!$B$11*'Inputs &amp; Summary'!$B$12,0)</x:f>
        <x:v>0</x:v>
      </x:c>
      <x:c r="M261" s="40" t="n">
        <x:f>MIN(L261,G261)</x:f>
        <x:v>0</x:v>
      </x:c>
      <x:c r="N261" s="40" t="n">
        <x:f>MAX(0,L261-M261)</x:f>
        <x:v>0</x:v>
      </x:c>
      <x:c r="O261" s="40" t="n">
        <x:f>IF(ABS(MAX(0,G261-M261))&lt;0.00000001,0,MAX(0,G261-M261))</x:f>
        <x:v>0</x:v>
      </x:c>
      <x:c r="P261" s="40" t="n">
        <x:f>MAX(0,D261-O261)</x:f>
        <x:v>0</x:v>
      </x:c>
      <x:c r="Q261" s="40" t="n">
        <x:f>MAX(0,'Inputs &amp; Summary'!$B$19*'Inputs &amp; Summary'!$B$4-O261-I261)</x:f>
        <x:v>35000.00000000006</x:v>
      </x:c>
      <x:c r="R261" s="40" t="n">
        <x:f>MIN(P261,Q261)</x:f>
        <x:v>0</x:v>
      </x:c>
      <x:c r="S261" s="40" t="n">
        <x:f>I261+R261</x:f>
        <x:v>419999.99999999994</x:v>
      </x:c>
      <x:c r="T261" s="40" t="n">
        <x:f>U260</x:f>
        <x:v>731112.868067948</x:v>
      </x:c>
      <x:c r="U261" s="40" t="n">
        <x:f>T261*(1+'Inputs &amp; Summary'!$B$17)+R261+N261+H261</x:f>
        <x:v>736996.1833302408</x:v>
      </x:c>
      <x:c r="V261" s="40" t="n">
        <x:f>Y260</x:f>
        <x:v>94198.14911911024</x:v>
      </x:c>
      <x:c r="W261" s="40" t="n">
        <x:f>V261*'Inputs &amp; Summary'!$B$15</x:f>
        <x:v>349.97622733283754</x:v>
      </x:c>
      <x:c r="X261" s="40" t="n">
        <x:f>IF(V261&lt;=0.00000001,0,MIN('Inputs &amp; Summary'!$B$18,V261+W261))</x:f>
        <x:v>2324.586407999052</x:v>
      </x:c>
      <x:c r="Y261" s="40" t="n">
        <x:f>IF(ABS(MAX(0,V261+W261-X261))&lt;0.00000001,0,MAX(0,V261+W261-X261))</x:f>
        <x:v>92223.53893844402</x:v>
      </x:c>
      <x:c r="Z261" s="40" t="n">
        <x:f>MAX(0,'Inputs &amp; Summary'!$B$18-X261)</x:f>
        <x:v>0</x:v>
      </x:c>
      <x:c r="AA261" s="40" t="n">
        <x:f>AC260</x:f>
        <x:v>337993.0843506854</x:v>
      </x:c>
      <x:c r="AB261" s="40" t="n">
        <x:f>J261</x:f>
        <x:v>2274.9999999999995</x:v>
      </x:c>
      <x:c r="AC261" s="40" t="n">
        <x:f>AA261*(1+'Inputs &amp; Summary'!$B$17)+Z261+AB261</x:f>
        <x:v>341913.2827794986</x:v>
      </x:c>
      <x:c r="AD261" s="40" t="n">
        <x:f>F261+H261+J261</x:f>
        <x:v>4599.5864079990515</x:v>
      </x:c>
      <x:c r="AE261" s="40" t="n">
        <x:f>X261+Z261+AB261</x:f>
        <x:v>4599.5864079990515</x:v>
      </x:c>
      <x:c r="AF261" s="40" t="n">
        <x:f>AD261-AE261</x:f>
        <x:v>0</x:v>
      </x:c>
      <x:c r="AG261" s="42" t="n">
        <x:f>(O261+S261)/'Inputs &amp; Summary'!$B$4</x:f>
        <x:v>0.5999999999999999</x:v>
      </x:c>
      <x:c r="AH261" s="40" t="n">
        <x:f>U261-O261-S261</x:f>
        <x:v>316996.18333024083</x:v>
      </x:c>
      <x:c r="AI261" s="40" t="n">
        <x:f>AC261-Y261</x:f>
        <x:v>249689.7438410546</x:v>
      </x:c>
      <x:c r="AJ261" s="40" t="n">
        <x:f>AH261-AI261</x:f>
        <x:v>67306.43948918625</x:v>
      </x:c>
    </x:row>
    <x:row r="262">
      <x:c r="A262" t="n">
        <x:f>A261+1</x:f>
        <x:v>258</x:v>
      </x:c>
      <x:c r="B262" t="n">
        <x:f>INT((A262-1)/12)+1</x:f>
        <x:v>22</x:v>
      </x:c>
      <x:c r="C262" t="n">
        <x:f>MOD(A262-1,12)+1</x:f>
        <x:v>6</x:v>
      </x:c>
      <x:c r="D262" s="40" t="n">
        <x:f>O261</x:f>
        <x:v>0</x:v>
      </x:c>
      <x:c r="E262" s="40" t="n">
        <x:f>D262*'Inputs &amp; Summary'!$B$15</x:f>
        <x:v>0</x:v>
      </x:c>
      <x:c r="F262" s="40" t="n">
        <x:f>IF(D262&lt;=0.00000001,0,MIN('Inputs &amp; Summary'!$B$18,D262+E262))</x:f>
        <x:v>0</x:v>
      </x:c>
      <x:c r="G262" s="40" t="n">
        <x:f>IF(ABS(MAX(0,D262+E262-F262))&lt;0.00000001,0,MAX(0,D262+E262-F262))</x:f>
        <x:v>0</x:v>
      </x:c>
      <x:c r="H262" s="40" t="n">
        <x:f>MAX(0,'Inputs &amp; Summary'!$B$18-F262)</x:f>
        <x:v>2324.586407999052</x:v>
      </x:c>
      <x:c r="I262" s="40" t="n">
        <x:f>S261</x:f>
        <x:v>419999.99999999994</x:v>
      </x:c>
      <x:c r="J262" s="40" t="n">
        <x:f>I262*'Inputs &amp; Summary'!$B$16</x:f>
        <x:v>2274.9999999999995</x:v>
      </x:c>
      <x:c r="K262" s="40" t="n">
        <x:f>IF(C262=1,J262,K261+J262)</x:f>
        <x:v>13639.455775092933</x:v>
      </x:c>
      <x:c r="L262" s="40" t="n">
        <x:f>IF(C262=12,K262*'Inputs &amp; Summary'!$B$11*'Inputs &amp; Summary'!$B$12,0)</x:f>
        <x:v>0</x:v>
      </x:c>
      <x:c r="M262" s="40" t="n">
        <x:f>MIN(L262,G262)</x:f>
        <x:v>0</x:v>
      </x:c>
      <x:c r="N262" s="40" t="n">
        <x:f>MAX(0,L262-M262)</x:f>
        <x:v>0</x:v>
      </x:c>
      <x:c r="O262" s="40" t="n">
        <x:f>IF(ABS(MAX(0,G262-M262))&lt;0.00000001,0,MAX(0,G262-M262))</x:f>
        <x:v>0</x:v>
      </x:c>
      <x:c r="P262" s="40" t="n">
        <x:f>MAX(0,D262-O262)</x:f>
        <x:v>0</x:v>
      </x:c>
      <x:c r="Q262" s="40" t="n">
        <x:f>MAX(0,'Inputs &amp; Summary'!$B$19*'Inputs &amp; Summary'!$B$4-O262-I262)</x:f>
        <x:v>35000.00000000006</x:v>
      </x:c>
      <x:c r="R262" s="40" t="n">
        <x:f>MIN(P262,Q262)</x:f>
        <x:v>0</x:v>
      </x:c>
      <x:c r="S262" s="40" t="n">
        <x:f>I262+R262</x:f>
        <x:v>419999.99999999994</x:v>
      </x:c>
      <x:c r="T262" s="40" t="n">
        <x:f>U261</x:f>
        <x:v>736996.1833302408</x:v>
      </x:c>
      <x:c r="U262" s="40" t="n">
        <x:f>T262*(1+'Inputs &amp; Summary'!$B$17)+R262+N262+H262</x:f>
        <x:v>742908.1359270646</x:v>
      </x:c>
      <x:c r="V262" s="40" t="n">
        <x:f>Y261</x:f>
        <x:v>92223.53893844402</x:v>
      </x:c>
      <x:c r="W262" s="40" t="n">
        <x:f>V262*'Inputs &amp; Summary'!$B$15</x:f>
        <x:v>342.63991947599476</x:v>
      </x:c>
      <x:c r="X262" s="40" t="n">
        <x:f>IF(V262&lt;=0.00000001,0,MIN('Inputs &amp; Summary'!$B$18,V262+W262))</x:f>
        <x:v>2324.586407999052</x:v>
      </x:c>
      <x:c r="Y262" s="40" t="n">
        <x:f>IF(ABS(MAX(0,V262+W262-X262))&lt;0.00000001,0,MAX(0,V262+W262-X262))</x:f>
        <x:v>90241.59244992097</x:v>
      </x:c>
      <x:c r="Z262" s="40" t="n">
        <x:f>MAX(0,'Inputs &amp; Summary'!$B$18-X262)</x:f>
        <x:v>0</x:v>
      </x:c>
      <x:c r="AA262" s="40" t="n">
        <x:f>AC261</x:f>
        <x:v>341913.2827794986</x:v>
      </x:c>
      <x:c r="AB262" s="40" t="n">
        <x:f>J262</x:f>
        <x:v>2274.9999999999995</x:v>
      </x:c>
      <x:c r="AC262" s="40" t="n">
        <x:f>AA262*(1+'Inputs &amp; Summary'!$B$17)+Z262+AB262</x:f>
        <x:v>345852.56297239027</x:v>
      </x:c>
      <x:c r="AD262" s="40" t="n">
        <x:f>F262+H262+J262</x:f>
        <x:v>4599.5864079990515</x:v>
      </x:c>
      <x:c r="AE262" s="40" t="n">
        <x:f>X262+Z262+AB262</x:f>
        <x:v>4599.5864079990515</x:v>
      </x:c>
      <x:c r="AF262" s="40" t="n">
        <x:f>AD262-AE262</x:f>
        <x:v>0</x:v>
      </x:c>
      <x:c r="AG262" s="42" t="n">
        <x:f>(O262+S262)/'Inputs &amp; Summary'!$B$4</x:f>
        <x:v>0.5999999999999999</x:v>
      </x:c>
      <x:c r="AH262" s="40" t="n">
        <x:f>U262-O262-S262</x:f>
        <x:v>322908.13592706464</x:v>
      </x:c>
      <x:c r="AI262" s="40" t="n">
        <x:f>AC262-Y262</x:f>
        <x:v>255610.97052246932</x:v>
      </x:c>
      <x:c r="AJ262" s="40" t="n">
        <x:f>AH262-AI262</x:f>
        <x:v>67297.16540459532</x:v>
      </x:c>
    </x:row>
    <x:row r="263">
      <x:c r="A263" t="n">
        <x:f>A262+1</x:f>
        <x:v>259</x:v>
      </x:c>
      <x:c r="B263" t="n">
        <x:f>INT((A263-1)/12)+1</x:f>
        <x:v>22</x:v>
      </x:c>
      <x:c r="C263" t="n">
        <x:f>MOD(A263-1,12)+1</x:f>
        <x:v>7</x:v>
      </x:c>
      <x:c r="D263" s="40" t="n">
        <x:f>O262</x:f>
        <x:v>0</x:v>
      </x:c>
      <x:c r="E263" s="40" t="n">
        <x:f>D263*'Inputs &amp; Summary'!$B$15</x:f>
        <x:v>0</x:v>
      </x:c>
      <x:c r="F263" s="40" t="n">
        <x:f>IF(D263&lt;=0.00000001,0,MIN('Inputs &amp; Summary'!$B$18,D263+E263))</x:f>
        <x:v>0</x:v>
      </x:c>
      <x:c r="G263" s="40" t="n">
        <x:f>IF(ABS(MAX(0,D263+E263-F263))&lt;0.00000001,0,MAX(0,D263+E263-F263))</x:f>
        <x:v>0</x:v>
      </x:c>
      <x:c r="H263" s="40" t="n">
        <x:f>MAX(0,'Inputs &amp; Summary'!$B$18-F263)</x:f>
        <x:v>2324.586407999052</x:v>
      </x:c>
      <x:c r="I263" s="40" t="n">
        <x:f>S262</x:f>
        <x:v>419999.99999999994</x:v>
      </x:c>
      <x:c r="J263" s="40" t="n">
        <x:f>I263*'Inputs &amp; Summary'!$B$16</x:f>
        <x:v>2274.9999999999995</x:v>
      </x:c>
      <x:c r="K263" s="40" t="n">
        <x:f>IF(C263=1,J263,K262+J263)</x:f>
        <x:v>15914.455775092933</x:v>
      </x:c>
      <x:c r="L263" s="40" t="n">
        <x:f>IF(C263=12,K263*'Inputs &amp; Summary'!$B$11*'Inputs &amp; Summary'!$B$12,0)</x:f>
        <x:v>0</x:v>
      </x:c>
      <x:c r="M263" s="40" t="n">
        <x:f>MIN(L263,G263)</x:f>
        <x:v>0</x:v>
      </x:c>
      <x:c r="N263" s="40" t="n">
        <x:f>MAX(0,L263-M263)</x:f>
        <x:v>0</x:v>
      </x:c>
      <x:c r="O263" s="40" t="n">
        <x:f>IF(ABS(MAX(0,G263-M263))&lt;0.00000001,0,MAX(0,G263-M263))</x:f>
        <x:v>0</x:v>
      </x:c>
      <x:c r="P263" s="40" t="n">
        <x:f>MAX(0,D263-O263)</x:f>
        <x:v>0</x:v>
      </x:c>
      <x:c r="Q263" s="40" t="n">
        <x:f>MAX(0,'Inputs &amp; Summary'!$B$19*'Inputs &amp; Summary'!$B$4-O263-I263)</x:f>
        <x:v>35000.00000000006</x:v>
      </x:c>
      <x:c r="R263" s="40" t="n">
        <x:f>MIN(P263,Q263)</x:f>
        <x:v>0</x:v>
      </x:c>
      <x:c r="S263" s="40" t="n">
        <x:f>I263+R263</x:f>
        <x:v>419999.99999999994</x:v>
      </x:c>
      <x:c r="T263" s="40" t="n">
        <x:f>U262</x:f>
        <x:v>742908.1359270646</x:v>
      </x:c>
      <x:c r="U263" s="40" t="n">
        <x:f>T263*(1+'Inputs &amp; Summary'!$B$17)+R263+N263+H263</x:f>
        <x:v>748848.8652520933</x:v>
      </x:c>
      <x:c r="V263" s="40" t="n">
        <x:f>Y262</x:f>
        <x:v>90241.59244992097</x:v>
      </x:c>
      <x:c r="W263" s="40" t="n">
        <x:f>V263*'Inputs &amp; Summary'!$B$15</x:f>
        <x:v>335.2763548909647</x:v>
      </x:c>
      <x:c r="X263" s="40" t="n">
        <x:f>IF(V263&lt;=0.00000001,0,MIN('Inputs &amp; Summary'!$B$18,V263+W263))</x:f>
        <x:v>2324.586407999052</x:v>
      </x:c>
      <x:c r="Y263" s="40" t="n">
        <x:f>IF(ABS(MAX(0,V263+W263-X263))&lt;0.00000001,0,MAX(0,V263+W263-X263))</x:f>
        <x:v>88252.28239681288</x:v>
      </x:c>
      <x:c r="Z263" s="40" t="n">
        <x:f>MAX(0,'Inputs &amp; Summary'!$B$18-X263)</x:f>
        <x:v>0</x:v>
      </x:c>
      <x:c r="AA263" s="40" t="n">
        <x:f>AC262</x:f>
        <x:v>345852.56297239027</x:v>
      </x:c>
      <x:c r="AB263" s="40" t="n">
        <x:f>J263</x:f>
        <x:v>2274.9999999999995</x:v>
      </x:c>
      <x:c r="AC263" s="40" t="n">
        <x:f>AA263*(1+'Inputs &amp; Summary'!$B$17)+Z263+AB263</x:f>
        <x:v>349811.01781081187</x:v>
      </x:c>
      <x:c r="AD263" s="40" t="n">
        <x:f>F263+H263+J263</x:f>
        <x:v>4599.5864079990515</x:v>
      </x:c>
      <x:c r="AE263" s="40" t="n">
        <x:f>X263+Z263+AB263</x:f>
        <x:v>4599.5864079990515</x:v>
      </x:c>
      <x:c r="AF263" s="40" t="n">
        <x:f>AD263-AE263</x:f>
        <x:v>0</x:v>
      </x:c>
      <x:c r="AG263" s="42" t="n">
        <x:f>(O263+S263)/'Inputs &amp; Summary'!$B$4</x:f>
        <x:v>0.5999999999999999</x:v>
      </x:c>
      <x:c r="AH263" s="40" t="n">
        <x:f>U263-O263-S263</x:f>
        <x:v>328848.86525209335</x:v>
      </x:c>
      <x:c r="AI263" s="40" t="n">
        <x:f>AC263-Y263</x:f>
        <x:v>261558.735413999</x:v>
      </x:c>
      <x:c r="AJ263" s="40" t="n">
        <x:f>AH263-AI263</x:f>
        <x:v>67290.12983809435</x:v>
      </x:c>
    </x:row>
    <x:row r="264">
      <x:c r="A264" t="n">
        <x:f>A263+1</x:f>
        <x:v>260</x:v>
      </x:c>
      <x:c r="B264" t="n">
        <x:f>INT((A264-1)/12)+1</x:f>
        <x:v>22</x:v>
      </x:c>
      <x:c r="C264" t="n">
        <x:f>MOD(A264-1,12)+1</x:f>
        <x:v>8</x:v>
      </x:c>
      <x:c r="D264" s="40" t="n">
        <x:f>O263</x:f>
        <x:v>0</x:v>
      </x:c>
      <x:c r="E264" s="40" t="n">
        <x:f>D264*'Inputs &amp; Summary'!$B$15</x:f>
        <x:v>0</x:v>
      </x:c>
      <x:c r="F264" s="40" t="n">
        <x:f>IF(D264&lt;=0.00000001,0,MIN('Inputs &amp; Summary'!$B$18,D264+E264))</x:f>
        <x:v>0</x:v>
      </x:c>
      <x:c r="G264" s="40" t="n">
        <x:f>IF(ABS(MAX(0,D264+E264-F264))&lt;0.00000001,0,MAX(0,D264+E264-F264))</x:f>
        <x:v>0</x:v>
      </x:c>
      <x:c r="H264" s="40" t="n">
        <x:f>MAX(0,'Inputs &amp; Summary'!$B$18-F264)</x:f>
        <x:v>2324.586407999052</x:v>
      </x:c>
      <x:c r="I264" s="40" t="n">
        <x:f>S263</x:f>
        <x:v>419999.99999999994</x:v>
      </x:c>
      <x:c r="J264" s="40" t="n">
        <x:f>I264*'Inputs &amp; Summary'!$B$16</x:f>
        <x:v>2274.9999999999995</x:v>
      </x:c>
      <x:c r="K264" s="40" t="n">
        <x:f>IF(C264=1,J264,K263+J264)</x:f>
        <x:v>18189.45577509293</x:v>
      </x:c>
      <x:c r="L264" s="40" t="n">
        <x:f>IF(C264=12,K264*'Inputs &amp; Summary'!$B$11*'Inputs &amp; Summary'!$B$12,0)</x:f>
        <x:v>0</x:v>
      </x:c>
      <x:c r="M264" s="40" t="n">
        <x:f>MIN(L264,G264)</x:f>
        <x:v>0</x:v>
      </x:c>
      <x:c r="N264" s="40" t="n">
        <x:f>MAX(0,L264-M264)</x:f>
        <x:v>0</x:v>
      </x:c>
      <x:c r="O264" s="40" t="n">
        <x:f>IF(ABS(MAX(0,G264-M264))&lt;0.00000001,0,MAX(0,G264-M264))</x:f>
        <x:v>0</x:v>
      </x:c>
      <x:c r="P264" s="40" t="n">
        <x:f>MAX(0,D264-O264)</x:f>
        <x:v>0</x:v>
      </x:c>
      <x:c r="Q264" s="40" t="n">
        <x:f>MAX(0,'Inputs &amp; Summary'!$B$19*'Inputs &amp; Summary'!$B$4-O264-I264)</x:f>
        <x:v>35000.00000000006</x:v>
      </x:c>
      <x:c r="R264" s="40" t="n">
        <x:f>MIN(P264,Q264)</x:f>
        <x:v>0</x:v>
      </x:c>
      <x:c r="S264" s="40" t="n">
        <x:f>I264+R264</x:f>
        <x:v>419999.99999999994</x:v>
      </x:c>
      <x:c r="T264" s="40" t="n">
        <x:f>U263</x:f>
        <x:v>748848.8652520933</x:v>
      </x:c>
      <x:c r="U264" s="40" t="n">
        <x:f>T264*(1+'Inputs &amp; Summary'!$B$17)+R264+N264+H264</x:f>
        <x:v>754818.5113775067</x:v>
      </x:c>
      <x:c r="V264" s="40" t="n">
        <x:f>Y263</x:f>
        <x:v>88252.28239681288</x:v>
      </x:c>
      <x:c r="W264" s="40" t="n">
        <x:f>V264*'Inputs &amp; Summary'!$B$15</x:f>
        <x:v>327.8854323102915</x:v>
      </x:c>
      <x:c r="X264" s="40" t="n">
        <x:f>IF(V264&lt;=0.00000001,0,MIN('Inputs &amp; Summary'!$B$18,V264+W264))</x:f>
        <x:v>2324.586407999052</x:v>
      </x:c>
      <x:c r="Y264" s="40" t="n">
        <x:f>IF(ABS(MAX(0,V264+W264-X264))&lt;0.00000001,0,MAX(0,V264+W264-X264))</x:f>
        <x:v>86255.58142112411</x:v>
      </x:c>
      <x:c r="Z264" s="40" t="n">
        <x:f>MAX(0,'Inputs &amp; Summary'!$B$18-X264)</x:f>
        <x:v>0</x:v>
      </x:c>
      <x:c r="AA264" s="40" t="n">
        <x:f>AC263</x:f>
        <x:v>349811.01781081187</x:v>
      </x:c>
      <x:c r="AB264" s="40" t="n">
        <x:f>J264</x:f>
        <x:v>2274.9999999999995</x:v>
      </x:c>
      <x:c r="AC264" s="40" t="n">
        <x:f>AA264*(1+'Inputs &amp; Summary'!$B$17)+Z264+AB264</x:f>
        <x:v>353788.74062832014</x:v>
      </x:c>
      <x:c r="AD264" s="40" t="n">
        <x:f>F264+H264+J264</x:f>
        <x:v>4599.5864079990515</x:v>
      </x:c>
      <x:c r="AE264" s="40" t="n">
        <x:f>X264+Z264+AB264</x:f>
        <x:v>4599.5864079990515</x:v>
      </x:c>
      <x:c r="AF264" s="40" t="n">
        <x:f>AD264-AE264</x:f>
        <x:v>0</x:v>
      </x:c>
      <x:c r="AG264" s="42" t="n">
        <x:f>(O264+S264)/'Inputs &amp; Summary'!$B$4</x:f>
        <x:v>0.5999999999999999</x:v>
      </x:c>
      <x:c r="AH264" s="40" t="n">
        <x:f>U264-O264-S264</x:f>
        <x:v>334818.5113775067</x:v>
      </x:c>
      <x:c r="AI264" s="40" t="n">
        <x:f>AC264-Y264</x:f>
        <x:v>267533.15920719603</x:v>
      </x:c>
      <x:c r="AJ264" s="40" t="n">
        <x:f>AH264-AI264</x:f>
        <x:v>67285.35217031068</x:v>
      </x:c>
    </x:row>
    <x:row r="265">
      <x:c r="A265" t="n">
        <x:f>A264+1</x:f>
        <x:v>261</x:v>
      </x:c>
      <x:c r="B265" t="n">
        <x:f>INT((A265-1)/12)+1</x:f>
        <x:v>22</x:v>
      </x:c>
      <x:c r="C265" t="n">
        <x:f>MOD(A265-1,12)+1</x:f>
        <x:v>9</x:v>
      </x:c>
      <x:c r="D265" s="40" t="n">
        <x:f>O264</x:f>
        <x:v>0</x:v>
      </x:c>
      <x:c r="E265" s="40" t="n">
        <x:f>D265*'Inputs &amp; Summary'!$B$15</x:f>
        <x:v>0</x:v>
      </x:c>
      <x:c r="F265" s="40" t="n">
        <x:f>IF(D265&lt;=0.00000001,0,MIN('Inputs &amp; Summary'!$B$18,D265+E265))</x:f>
        <x:v>0</x:v>
      </x:c>
      <x:c r="G265" s="40" t="n">
        <x:f>IF(ABS(MAX(0,D265+E265-F265))&lt;0.00000001,0,MAX(0,D265+E265-F265))</x:f>
        <x:v>0</x:v>
      </x:c>
      <x:c r="H265" s="40" t="n">
        <x:f>MAX(0,'Inputs &amp; Summary'!$B$18-F265)</x:f>
        <x:v>2324.586407999052</x:v>
      </x:c>
      <x:c r="I265" s="40" t="n">
        <x:f>S264</x:f>
        <x:v>419999.99999999994</x:v>
      </x:c>
      <x:c r="J265" s="40" t="n">
        <x:f>I265*'Inputs &amp; Summary'!$B$16</x:f>
        <x:v>2274.9999999999995</x:v>
      </x:c>
      <x:c r="K265" s="40" t="n">
        <x:f>IF(C265=1,J265,K264+J265)</x:f>
        <x:v>20464.45577509293</x:v>
      </x:c>
      <x:c r="L265" s="40" t="n">
        <x:f>IF(C265=12,K265*'Inputs &amp; Summary'!$B$11*'Inputs &amp; Summary'!$B$12,0)</x:f>
        <x:v>0</x:v>
      </x:c>
      <x:c r="M265" s="40" t="n">
        <x:f>MIN(L265,G265)</x:f>
        <x:v>0</x:v>
      </x:c>
      <x:c r="N265" s="40" t="n">
        <x:f>MAX(0,L265-M265)</x:f>
        <x:v>0</x:v>
      </x:c>
      <x:c r="O265" s="40" t="n">
        <x:f>IF(ABS(MAX(0,G265-M265))&lt;0.00000001,0,MAX(0,G265-M265))</x:f>
        <x:v>0</x:v>
      </x:c>
      <x:c r="P265" s="40" t="n">
        <x:f>MAX(0,D265-O265)</x:f>
        <x:v>0</x:v>
      </x:c>
      <x:c r="Q265" s="40" t="n">
        <x:f>MAX(0,'Inputs &amp; Summary'!$B$19*'Inputs &amp; Summary'!$B$4-O265-I265)</x:f>
        <x:v>35000.00000000006</x:v>
      </x:c>
      <x:c r="R265" s="40" t="n">
        <x:f>MIN(P265,Q265)</x:f>
        <x:v>0</x:v>
      </x:c>
      <x:c r="S265" s="40" t="n">
        <x:f>I265+R265</x:f>
        <x:v>419999.99999999994</x:v>
      </x:c>
      <x:c r="T265" s="40" t="n">
        <x:f>U264</x:f>
        <x:v>754818.5113775067</x:v>
      </x:c>
      <x:c r="U265" s="40" t="n">
        <x:f>T265*(1+'Inputs &amp; Summary'!$B$17)+R265+N265+H265</x:f>
        <x:v>760817.2150572927</x:v>
      </x:c>
      <x:c r="V265" s="40" t="n">
        <x:f>Y264</x:f>
        <x:v>86255.58142112411</x:v>
      </x:c>
      <x:c r="W265" s="40" t="n">
        <x:f>V265*'Inputs &amp; Summary'!$B$15</x:f>
        <x:v>320.46705009027835</x:v>
      </x:c>
      <x:c r="X265" s="40" t="n">
        <x:f>IF(V265&lt;=0.00000001,0,MIN('Inputs &amp; Summary'!$B$18,V265+W265))</x:f>
        <x:v>2324.586407999052</x:v>
      </x:c>
      <x:c r="Y265" s="40" t="n">
        <x:f>IF(ABS(MAX(0,V265+W265-X265))&lt;0.00000001,0,MAX(0,V265+W265-X265))</x:f>
        <x:v>84251.46206321532</x:v>
      </x:c>
      <x:c r="Z265" s="40" t="n">
        <x:f>MAX(0,'Inputs &amp; Summary'!$B$18-X265)</x:f>
        <x:v>0</x:v>
      </x:c>
      <x:c r="AA265" s="40" t="n">
        <x:f>AC264</x:f>
        <x:v>353788.74062832014</x:v>
      </x:c>
      <x:c r="AB265" s="40" t="n">
        <x:f>J265</x:f>
        <x:v>2274.9999999999995</x:v>
      </x:c>
      <x:c r="AC265" s="40" t="n">
        <x:f>AA265*(1+'Inputs &amp; Summary'!$B$17)+Z265+AB265</x:f>
        <x:v>357785.82521277753</x:v>
      </x:c>
      <x:c r="AD265" s="40" t="n">
        <x:f>F265+H265+J265</x:f>
        <x:v>4599.5864079990515</x:v>
      </x:c>
      <x:c r="AE265" s="40" t="n">
        <x:f>X265+Z265+AB265</x:f>
        <x:v>4599.5864079990515</x:v>
      </x:c>
      <x:c r="AF265" s="40" t="n">
        <x:f>AD265-AE265</x:f>
        <x:v>0</x:v>
      </x:c>
      <x:c r="AG265" s="42" t="n">
        <x:f>(O265+S265)/'Inputs &amp; Summary'!$B$4</x:f>
        <x:v>0.5999999999999999</x:v>
      </x:c>
      <x:c r="AH265" s="40" t="n">
        <x:f>U265-O265-S265</x:f>
        <x:v>340817.2150572928</x:v>
      </x:c>
      <x:c r="AI265" s="40" t="n">
        <x:f>AC265-Y265</x:f>
        <x:v>273534.3631495622</x:v>
      </x:c>
      <x:c r="AJ265" s="40" t="n">
        <x:f>AH265-AI265</x:f>
        <x:v>67282.85190773057</x:v>
      </x:c>
    </x:row>
    <x:row r="266">
      <x:c r="A266" t="n">
        <x:f>A265+1</x:f>
        <x:v>262</x:v>
      </x:c>
      <x:c r="B266" t="n">
        <x:f>INT((A266-1)/12)+1</x:f>
        <x:v>22</x:v>
      </x:c>
      <x:c r="C266" t="n">
        <x:f>MOD(A266-1,12)+1</x:f>
        <x:v>10</x:v>
      </x:c>
      <x:c r="D266" s="40" t="n">
        <x:f>O265</x:f>
        <x:v>0</x:v>
      </x:c>
      <x:c r="E266" s="40" t="n">
        <x:f>D266*'Inputs &amp; Summary'!$B$15</x:f>
        <x:v>0</x:v>
      </x:c>
      <x:c r="F266" s="40" t="n">
        <x:f>IF(D266&lt;=0.00000001,0,MIN('Inputs &amp; Summary'!$B$18,D266+E266))</x:f>
        <x:v>0</x:v>
      </x:c>
      <x:c r="G266" s="40" t="n">
        <x:f>IF(ABS(MAX(0,D266+E266-F266))&lt;0.00000001,0,MAX(0,D266+E266-F266))</x:f>
        <x:v>0</x:v>
      </x:c>
      <x:c r="H266" s="40" t="n">
        <x:f>MAX(0,'Inputs &amp; Summary'!$B$18-F266)</x:f>
        <x:v>2324.586407999052</x:v>
      </x:c>
      <x:c r="I266" s="40" t="n">
        <x:f>S265</x:f>
        <x:v>419999.99999999994</x:v>
      </x:c>
      <x:c r="J266" s="40" t="n">
        <x:f>I266*'Inputs &amp; Summary'!$B$16</x:f>
        <x:v>2274.9999999999995</x:v>
      </x:c>
      <x:c r="K266" s="40" t="n">
        <x:f>IF(C266=1,J266,K265+J266)</x:f>
        <x:v>22739.45577509293</x:v>
      </x:c>
      <x:c r="L266" s="40" t="n">
        <x:f>IF(C266=12,K266*'Inputs &amp; Summary'!$B$11*'Inputs &amp; Summary'!$B$12,0)</x:f>
        <x:v>0</x:v>
      </x:c>
      <x:c r="M266" s="40" t="n">
        <x:f>MIN(L266,G266)</x:f>
        <x:v>0</x:v>
      </x:c>
      <x:c r="N266" s="40" t="n">
        <x:f>MAX(0,L266-M266)</x:f>
        <x:v>0</x:v>
      </x:c>
      <x:c r="O266" s="40" t="n">
        <x:f>IF(ABS(MAX(0,G266-M266))&lt;0.00000001,0,MAX(0,G266-M266))</x:f>
        <x:v>0</x:v>
      </x:c>
      <x:c r="P266" s="40" t="n">
        <x:f>MAX(0,D266-O266)</x:f>
        <x:v>0</x:v>
      </x:c>
      <x:c r="Q266" s="40" t="n">
        <x:f>MAX(0,'Inputs &amp; Summary'!$B$19*'Inputs &amp; Summary'!$B$4-O266-I266)</x:f>
        <x:v>35000.00000000006</x:v>
      </x:c>
      <x:c r="R266" s="40" t="n">
        <x:f>MIN(P266,Q266)</x:f>
        <x:v>0</x:v>
      </x:c>
      <x:c r="S266" s="40" t="n">
        <x:f>I266+R266</x:f>
        <x:v>419999.99999999994</x:v>
      </x:c>
      <x:c r="T266" s="40" t="n">
        <x:f>U265</x:f>
        <x:v>760817.2150572927</x:v>
      </x:c>
      <x:c r="U266" s="40" t="n">
        <x:f>T266*(1+'Inputs &amp; Summary'!$B$17)+R266+N266+H266</x:f>
        <x:v>766845.1177305666</x:v>
      </x:c>
      <x:c r="V266" s="40" t="n">
        <x:f>Y265</x:f>
        <x:v>84251.46206321532</x:v>
      </x:c>
      <x:c r="W266" s="40" t="n">
        <x:f>V266*'Inputs &amp; Summary'!$B$15</x:f>
        <x:v>313.0211062095898</x:v>
      </x:c>
      <x:c r="X266" s="40" t="n">
        <x:f>IF(V266&lt;=0.00000001,0,MIN('Inputs &amp; Summary'!$B$18,V266+W266))</x:f>
        <x:v>2324.586407999052</x:v>
      </x:c>
      <x:c r="Y266" s="40" t="n">
        <x:f>IF(ABS(MAX(0,V266+W266-X266))&lt;0.00000001,0,MAX(0,V266+W266-X266))</x:f>
        <x:v>82239.89676142586</x:v>
      </x:c>
      <x:c r="Z266" s="40" t="n">
        <x:f>MAX(0,'Inputs &amp; Summary'!$B$18-X266)</x:f>
        <x:v>0</x:v>
      </x:c>
      <x:c r="AA266" s="40" t="n">
        <x:f>AC265</x:f>
        <x:v>357785.82521277753</x:v>
      </x:c>
      <x:c r="AB266" s="40" t="n">
        <x:f>J266</x:f>
        <x:v>2274.9999999999995</x:v>
      </x:c>
      <x:c r="AC266" s="40" t="n">
        <x:f>AA266*(1+'Inputs &amp; Summary'!$B$17)+Z266+AB266</x:f>
        <x:v>361802.3658085637</x:v>
      </x:c>
      <x:c r="AD266" s="40" t="n">
        <x:f>F266+H266+J266</x:f>
        <x:v>4599.5864079990515</x:v>
      </x:c>
      <x:c r="AE266" s="40" t="n">
        <x:f>X266+Z266+AB266</x:f>
        <x:v>4599.5864079990515</x:v>
      </x:c>
      <x:c r="AF266" s="40" t="n">
        <x:f>AD266-AE266</x:f>
        <x:v>0</x:v>
      </x:c>
      <x:c r="AG266" s="42" t="n">
        <x:f>(O266+S266)/'Inputs &amp; Summary'!$B$4</x:f>
        <x:v>0.5999999999999999</x:v>
      </x:c>
      <x:c r="AH266" s="40" t="n">
        <x:f>U266-O266-S266</x:f>
        <x:v>346845.1177305667</x:v>
      </x:c>
      <x:c r="AI266" s="40" t="n">
        <x:f>AC266-Y266</x:f>
        <x:v>279562.4690471379</x:v>
      </x:c>
      <x:c r="AJ266" s="40" t="n">
        <x:f>AH266-AI266</x:f>
        <x:v>67282.64868342882</x:v>
      </x:c>
    </x:row>
    <x:row r="267">
      <x:c r="A267" t="n">
        <x:f>A266+1</x:f>
        <x:v>263</x:v>
      </x:c>
      <x:c r="B267" t="n">
        <x:f>INT((A267-1)/12)+1</x:f>
        <x:v>22</x:v>
      </x:c>
      <x:c r="C267" t="n">
        <x:f>MOD(A267-1,12)+1</x:f>
        <x:v>11</x:v>
      </x:c>
      <x:c r="D267" s="40" t="n">
        <x:f>O266</x:f>
        <x:v>0</x:v>
      </x:c>
      <x:c r="E267" s="40" t="n">
        <x:f>D267*'Inputs &amp; Summary'!$B$15</x:f>
        <x:v>0</x:v>
      </x:c>
      <x:c r="F267" s="40" t="n">
        <x:f>IF(D267&lt;=0.00000001,0,MIN('Inputs &amp; Summary'!$B$18,D267+E267))</x:f>
        <x:v>0</x:v>
      </x:c>
      <x:c r="G267" s="40" t="n">
        <x:f>IF(ABS(MAX(0,D267+E267-F267))&lt;0.00000001,0,MAX(0,D267+E267-F267))</x:f>
        <x:v>0</x:v>
      </x:c>
      <x:c r="H267" s="40" t="n">
        <x:f>MAX(0,'Inputs &amp; Summary'!$B$18-F267)</x:f>
        <x:v>2324.586407999052</x:v>
      </x:c>
      <x:c r="I267" s="40" t="n">
        <x:f>S266</x:f>
        <x:v>419999.99999999994</x:v>
      </x:c>
      <x:c r="J267" s="40" t="n">
        <x:f>I267*'Inputs &amp; Summary'!$B$16</x:f>
        <x:v>2274.9999999999995</x:v>
      </x:c>
      <x:c r="K267" s="40" t="n">
        <x:f>IF(C267=1,J267,K266+J267)</x:f>
        <x:v>25014.45577509293</x:v>
      </x:c>
      <x:c r="L267" s="40" t="n">
        <x:f>IF(C267=12,K267*'Inputs &amp; Summary'!$B$11*'Inputs &amp; Summary'!$B$12,0)</x:f>
        <x:v>0</x:v>
      </x:c>
      <x:c r="M267" s="40" t="n">
        <x:f>MIN(L267,G267)</x:f>
        <x:v>0</x:v>
      </x:c>
      <x:c r="N267" s="40" t="n">
        <x:f>MAX(0,L267-M267)</x:f>
        <x:v>0</x:v>
      </x:c>
      <x:c r="O267" s="40" t="n">
        <x:f>IF(ABS(MAX(0,G267-M267))&lt;0.00000001,0,MAX(0,G267-M267))</x:f>
        <x:v>0</x:v>
      </x:c>
      <x:c r="P267" s="40" t="n">
        <x:f>MAX(0,D267-O267)</x:f>
        <x:v>0</x:v>
      </x:c>
      <x:c r="Q267" s="40" t="n">
        <x:f>MAX(0,'Inputs &amp; Summary'!$B$19*'Inputs &amp; Summary'!$B$4-O267-I267)</x:f>
        <x:v>35000.00000000006</x:v>
      </x:c>
      <x:c r="R267" s="40" t="n">
        <x:f>MIN(P267,Q267)</x:f>
        <x:v>0</x:v>
      </x:c>
      <x:c r="S267" s="40" t="n">
        <x:f>I267+R267</x:f>
        <x:v>419999.99999999994</x:v>
      </x:c>
      <x:c r="T267" s="40" t="n">
        <x:f>U266</x:f>
        <x:v>766845.1177305666</x:v>
      </x:c>
      <x:c r="U267" s="40" t="n">
        <x:f>T267*(1+'Inputs &amp; Summary'!$B$17)+R267+N267+H267</x:f>
        <x:v>772902.3615249057</x:v>
      </x:c>
      <x:c r="V267" s="40" t="n">
        <x:f>Y266</x:f>
        <x:v>82239.89676142586</x:v>
      </x:c>
      <x:c r="W267" s="40" t="n">
        <x:f>V267*'Inputs &amp; Summary'!$B$15</x:f>
        <x:v>305.5474982678485</x:v>
      </x:c>
      <x:c r="X267" s="40" t="n">
        <x:f>IF(V267&lt;=0.00000001,0,MIN('Inputs &amp; Summary'!$B$18,V267+W267))</x:f>
        <x:v>2324.586407999052</x:v>
      </x:c>
      <x:c r="Y267" s="40" t="n">
        <x:f>IF(ABS(MAX(0,V267+W267-X267))&lt;0.00000001,0,MAX(0,V267+W267-X267))</x:f>
        <x:v>80220.85785169464</x:v>
      </x:c>
      <x:c r="Z267" s="40" t="n">
        <x:f>MAX(0,'Inputs &amp; Summary'!$B$18-X267)</x:f>
        <x:v>0</x:v>
      </x:c>
      <x:c r="AA267" s="40" t="n">
        <x:f>AC266</x:f>
        <x:v>361802.3658085637</x:v>
      </x:c>
      <x:c r="AB267" s="40" t="n">
        <x:f>J267</x:f>
        <x:v>2274.9999999999995</x:v>
      </x:c>
      <x:c r="AC267" s="40" t="n">
        <x:f>AA267*(1+'Inputs &amp; Summary'!$B$17)+Z267+AB267</x:f>
        <x:v>365838.45711879764</x:v>
      </x:c>
      <x:c r="AD267" s="40" t="n">
        <x:f>F267+H267+J267</x:f>
        <x:v>4599.5864079990515</x:v>
      </x:c>
      <x:c r="AE267" s="40" t="n">
        <x:f>X267+Z267+AB267</x:f>
        <x:v>4599.5864079990515</x:v>
      </x:c>
      <x:c r="AF267" s="40" t="n">
        <x:f>AD267-AE267</x:f>
        <x:v>0</x:v>
      </x:c>
      <x:c r="AG267" s="42" t="n">
        <x:f>(O267+S267)/'Inputs &amp; Summary'!$B$4</x:f>
        <x:v>0.5999999999999999</x:v>
      </x:c>
      <x:c r="AH267" s="40" t="n">
        <x:f>U267-O267-S267</x:f>
        <x:v>352902.3615249057</x:v>
      </x:c>
      <x:c r="AI267" s="40" t="n">
        <x:f>AC267-Y267</x:f>
        <x:v>285617.599267103</x:v>
      </x:c>
      <x:c r="AJ267" s="40" t="n">
        <x:f>AH267-AI267</x:f>
        <x:v>67284.76225780271</x:v>
      </x:c>
    </x:row>
    <x:row r="268">
      <x:c r="A268" t="n">
        <x:f>A267+1</x:f>
        <x:v>264</x:v>
      </x:c>
      <x:c r="B268" t="n">
        <x:f>INT((A268-1)/12)+1</x:f>
        <x:v>22</x:v>
      </x:c>
      <x:c r="C268" t="n">
        <x:f>MOD(A268-1,12)+1</x:f>
        <x:v>12</x:v>
      </x:c>
      <x:c r="D268" s="40" t="n">
        <x:f>O267</x:f>
        <x:v>0</x:v>
      </x:c>
      <x:c r="E268" s="40" t="n">
        <x:f>D268*'Inputs &amp; Summary'!$B$15</x:f>
        <x:v>0</x:v>
      </x:c>
      <x:c r="F268" s="40" t="n">
        <x:f>IF(D268&lt;=0.00000001,0,MIN('Inputs &amp; Summary'!$B$18,D268+E268))</x:f>
        <x:v>0</x:v>
      </x:c>
      <x:c r="G268" s="40" t="n">
        <x:f>IF(ABS(MAX(0,D268+E268-F268))&lt;0.00000001,0,MAX(0,D268+E268-F268))</x:f>
        <x:v>0</x:v>
      </x:c>
      <x:c r="H268" s="40" t="n">
        <x:f>MAX(0,'Inputs &amp; Summary'!$B$18-F268)</x:f>
        <x:v>2324.586407999052</x:v>
      </x:c>
      <x:c r="I268" s="40" t="n">
        <x:f>S267</x:f>
        <x:v>419999.99999999994</x:v>
      </x:c>
      <x:c r="J268" s="40" t="n">
        <x:f>I268*'Inputs &amp; Summary'!$B$16</x:f>
        <x:v>2274.9999999999995</x:v>
      </x:c>
      <x:c r="K268" s="40" t="n">
        <x:f>IF(C268=1,J268,K267+J268)</x:f>
        <x:v>27289.45577509293</x:v>
      </x:c>
      <x:c r="L268" s="40" t="n">
        <x:f>IF(C268=12,K268*'Inputs &amp; Summary'!$B$11*'Inputs &amp; Summary'!$B$12,0)</x:f>
        <x:v>9551.309521282525</x:v>
      </x:c>
      <x:c r="M268" s="40" t="n">
        <x:f>MIN(L268,G268)</x:f>
        <x:v>0</x:v>
      </x:c>
      <x:c r="N268" s="40" t="n">
        <x:f>MAX(0,L268-M268)</x:f>
        <x:v>9551.309521282525</x:v>
      </x:c>
      <x:c r="O268" s="40" t="n">
        <x:f>IF(ABS(MAX(0,G268-M268))&lt;0.00000001,0,MAX(0,G268-M268))</x:f>
        <x:v>0</x:v>
      </x:c>
      <x:c r="P268" s="40" t="n">
        <x:f>MAX(0,D268-O268)</x:f>
        <x:v>0</x:v>
      </x:c>
      <x:c r="Q268" s="40" t="n">
        <x:f>MAX(0,'Inputs &amp; Summary'!$B$19*'Inputs &amp; Summary'!$B$4-O268-I268)</x:f>
        <x:v>35000.00000000006</x:v>
      </x:c>
      <x:c r="R268" s="40" t="n">
        <x:f>MIN(P268,Q268)</x:f>
        <x:v>0</x:v>
      </x:c>
      <x:c r="S268" s="40" t="n">
        <x:f>I268+R268</x:f>
        <x:v>419999.99999999994</x:v>
      </x:c>
      <x:c r="T268" s="40" t="n">
        <x:f>U267</x:f>
        <x:v>772902.3615249057</x:v>
      </x:c>
      <x:c r="U268" s="40" t="n">
        <x:f>T268*(1+'Inputs &amp; Summary'!$B$17)+R268+N268+H268</x:f>
        <x:v>788540.3987809828</x:v>
      </x:c>
      <x:c r="V268" s="40" t="n">
        <x:f>Y267</x:f>
        <x:v>80220.85785169464</x:v>
      </x:c>
      <x:c r="W268" s="40" t="n">
        <x:f>V268*'Inputs &amp; Summary'!$B$15</x:f>
        <x:v>298.0461234842267</x:v>
      </x:c>
      <x:c r="X268" s="40" t="n">
        <x:f>IF(V268&lt;=0.00000001,0,MIN('Inputs &amp; Summary'!$B$18,V268+W268))</x:f>
        <x:v>2324.586407999052</x:v>
      </x:c>
      <x:c r="Y268" s="40" t="n">
        <x:f>IF(ABS(MAX(0,V268+W268-X268))&lt;0.00000001,0,MAX(0,V268+W268-X268))</x:f>
        <x:v>78194.31756717981</x:v>
      </x:c>
      <x:c r="Z268" s="40" t="n">
        <x:f>MAX(0,'Inputs &amp; Summary'!$B$18-X268)</x:f>
        <x:v>0</x:v>
      </x:c>
      <x:c r="AA268" s="40" t="n">
        <x:f>AC267</x:f>
        <x:v>365838.45711879764</x:v>
      </x:c>
      <x:c r="AB268" s="40" t="n">
        <x:f>J268</x:f>
        <x:v>2274.9999999999995</x:v>
      </x:c>
      <x:c r="AC268" s="40" t="n">
        <x:f>AA268*(1+'Inputs &amp; Summary'!$B$17)+Z268+AB268</x:f>
        <x:v>369894.19430757046</x:v>
      </x:c>
      <x:c r="AD268" s="40" t="n">
        <x:f>F268+H268+J268</x:f>
        <x:v>4599.5864079990515</x:v>
      </x:c>
      <x:c r="AE268" s="40" t="n">
        <x:f>X268+Z268+AB268</x:f>
        <x:v>4599.5864079990515</x:v>
      </x:c>
      <x:c r="AF268" s="40" t="n">
        <x:f>AD268-AE268</x:f>
        <x:v>0</x:v>
      </x:c>
      <x:c r="AG268" s="42" t="n">
        <x:f>(O268+S268)/'Inputs &amp; Summary'!$B$4</x:f>
        <x:v>0.5999999999999999</x:v>
      </x:c>
      <x:c r="AH268" s="40" t="n">
        <x:f>U268-O268-S268</x:f>
        <x:v>368540.3987809829</x:v>
      </x:c>
      <x:c r="AI268" s="40" t="n">
        <x:f>AC268-Y268</x:f>
        <x:v>291699.87674039067</x:v>
      </x:c>
      <x:c r="AJ268" s="40" t="n">
        <x:f>AH268-AI268</x:f>
        <x:v>76840.52204059222</x:v>
      </x:c>
    </x:row>
    <x:row r="269">
      <x:c r="A269" t="n">
        <x:f>A268+1</x:f>
        <x:v>265</x:v>
      </x:c>
      <x:c r="B269" t="n">
        <x:f>INT((A269-1)/12)+1</x:f>
        <x:v>23</x:v>
      </x:c>
      <x:c r="C269" t="n">
        <x:f>MOD(A269-1,12)+1</x:f>
        <x:v>1</x:v>
      </x:c>
      <x:c r="D269" s="40" t="n">
        <x:f>O268</x:f>
        <x:v>0</x:v>
      </x:c>
      <x:c r="E269" s="40" t="n">
        <x:f>D269*'Inputs &amp; Summary'!$B$15</x:f>
        <x:v>0</x:v>
      </x:c>
      <x:c r="F269" s="40" t="n">
        <x:f>IF(D269&lt;=0.00000001,0,MIN('Inputs &amp; Summary'!$B$18,D269+E269))</x:f>
        <x:v>0</x:v>
      </x:c>
      <x:c r="G269" s="40" t="n">
        <x:f>IF(ABS(MAX(0,D269+E269-F269))&lt;0.00000001,0,MAX(0,D269+E269-F269))</x:f>
        <x:v>0</x:v>
      </x:c>
      <x:c r="H269" s="40" t="n">
        <x:f>MAX(0,'Inputs &amp; Summary'!$B$18-F269)</x:f>
        <x:v>2324.586407999052</x:v>
      </x:c>
      <x:c r="I269" s="40" t="n">
        <x:f>S268</x:f>
        <x:v>419999.99999999994</x:v>
      </x:c>
      <x:c r="J269" s="40" t="n">
        <x:f>I269*'Inputs &amp; Summary'!$B$16</x:f>
        <x:v>2274.9999999999995</x:v>
      </x:c>
      <x:c r="K269" s="40" t="n">
        <x:f>IF(C269=1,J269,K268+J269)</x:f>
        <x:v>2274.9999999999995</x:v>
      </x:c>
      <x:c r="L269" s="40" t="n">
        <x:f>IF(C269=12,K269*'Inputs &amp; Summary'!$B$11*'Inputs &amp; Summary'!$B$12,0)</x:f>
        <x:v>0</x:v>
      </x:c>
      <x:c r="M269" s="40" t="n">
        <x:f>MIN(L269,G269)</x:f>
        <x:v>0</x:v>
      </x:c>
      <x:c r="N269" s="40" t="n">
        <x:f>MAX(0,L269-M269)</x:f>
        <x:v>0</x:v>
      </x:c>
      <x:c r="O269" s="40" t="n">
        <x:f>IF(ABS(MAX(0,G269-M269))&lt;0.00000001,0,MAX(0,G269-M269))</x:f>
        <x:v>0</x:v>
      </x:c>
      <x:c r="P269" s="40" t="n">
        <x:f>MAX(0,D269-O269)</x:f>
        <x:v>0</x:v>
      </x:c>
      <x:c r="Q269" s="40" t="n">
        <x:f>MAX(0,'Inputs &amp; Summary'!$B$19*'Inputs &amp; Summary'!$B$4-O269-I269)</x:f>
        <x:v>35000.00000000006</x:v>
      </x:c>
      <x:c r="R269" s="40" t="n">
        <x:f>MIN(P269,Q269)</x:f>
        <x:v>0</x:v>
      </x:c>
      <x:c r="S269" s="40" t="n">
        <x:f>I269+R269</x:f>
        <x:v>419999.99999999994</x:v>
      </x:c>
      <x:c r="T269" s="40" t="n">
        <x:f>U268</x:f>
        <x:v>788540.3987809828</x:v>
      </x:c>
      <x:c r="U269" s="40" t="n">
        <x:f>T269*(1+'Inputs &amp; Summary'!$B$17)+R269+N269+H269</x:f>
        <x:v>794703.2454528641</x:v>
      </x:c>
      <x:c r="V269" s="40" t="n">
        <x:f>Y268</x:f>
        <x:v>78194.31756717981</x:v>
      </x:c>
      <x:c r="W269" s="40" t="n">
        <x:f>V269*'Inputs &amp; Summary'!$B$15</x:f>
        <x:v>290.51687869603336</x:v>
      </x:c>
      <x:c r="X269" s="40" t="n">
        <x:f>IF(V269&lt;=0.00000001,0,MIN('Inputs &amp; Summary'!$B$18,V269+W269))</x:f>
        <x:v>2324.586407999052</x:v>
      </x:c>
      <x:c r="Y269" s="40" t="n">
        <x:f>IF(ABS(MAX(0,V269+W269-X269))&lt;0.00000001,0,MAX(0,V269+W269-X269))</x:f>
        <x:v>76160.24803787678</x:v>
      </x:c>
      <x:c r="Z269" s="40" t="n">
        <x:f>MAX(0,'Inputs &amp; Summary'!$B$18-X269)</x:f>
        <x:v>0</x:v>
      </x:c>
      <x:c r="AA269" s="40" t="n">
        <x:f>AC268</x:f>
        <x:v>369894.19430757046</x:v>
      </x:c>
      <x:c r="AB269" s="40" t="n">
        <x:f>J269</x:f>
        <x:v>2274.9999999999995</x:v>
      </x:c>
      <x:c r="AC269" s="40" t="n">
        <x:f>AA269*(1+'Inputs &amp; Summary'!$B$17)+Z269+AB269</x:f>
        <x:v>373969.6730021894</x:v>
      </x:c>
      <x:c r="AD269" s="40" t="n">
        <x:f>F269+H269+J269</x:f>
        <x:v>4599.5864079990515</x:v>
      </x:c>
      <x:c r="AE269" s="40" t="n">
        <x:f>X269+Z269+AB269</x:f>
        <x:v>4599.5864079990515</x:v>
      </x:c>
      <x:c r="AF269" s="40" t="n">
        <x:f>AD269-AE269</x:f>
        <x:v>0</x:v>
      </x:c>
      <x:c r="AG269" s="42" t="n">
        <x:f>(O269+S269)/'Inputs &amp; Summary'!$B$4</x:f>
        <x:v>0.5999999999999999</x:v>
      </x:c>
      <x:c r="AH269" s="40" t="n">
        <x:f>U269-O269-S269</x:f>
        <x:v>374703.24545286415</x:v>
      </x:c>
      <x:c r="AI269" s="40" t="n">
        <x:f>AC269-Y269</x:f>
        <x:v>297809.4249643126</x:v>
      </x:c>
      <x:c r="AJ269" s="40" t="n">
        <x:f>AH269-AI269</x:f>
        <x:v>76893.82048855157</x:v>
      </x:c>
    </x:row>
    <x:row r="270">
      <x:c r="A270" t="n">
        <x:f>A269+1</x:f>
        <x:v>266</x:v>
      </x:c>
      <x:c r="B270" t="n">
        <x:f>INT((A270-1)/12)+1</x:f>
        <x:v>23</x:v>
      </x:c>
      <x:c r="C270" t="n">
        <x:f>MOD(A270-1,12)+1</x:f>
        <x:v>2</x:v>
      </x:c>
      <x:c r="D270" s="40" t="n">
        <x:f>O269</x:f>
        <x:v>0</x:v>
      </x:c>
      <x:c r="E270" s="40" t="n">
        <x:f>D270*'Inputs &amp; Summary'!$B$15</x:f>
        <x:v>0</x:v>
      </x:c>
      <x:c r="F270" s="40" t="n">
        <x:f>IF(D270&lt;=0.00000001,0,MIN('Inputs &amp; Summary'!$B$18,D270+E270))</x:f>
        <x:v>0</x:v>
      </x:c>
      <x:c r="G270" s="40" t="n">
        <x:f>IF(ABS(MAX(0,D270+E270-F270))&lt;0.00000001,0,MAX(0,D270+E270-F270))</x:f>
        <x:v>0</x:v>
      </x:c>
      <x:c r="H270" s="40" t="n">
        <x:f>MAX(0,'Inputs &amp; Summary'!$B$18-F270)</x:f>
        <x:v>2324.586407999052</x:v>
      </x:c>
      <x:c r="I270" s="40" t="n">
        <x:f>S269</x:f>
        <x:v>419999.99999999994</x:v>
      </x:c>
      <x:c r="J270" s="40" t="n">
        <x:f>I270*'Inputs &amp; Summary'!$B$16</x:f>
        <x:v>2274.9999999999995</x:v>
      </x:c>
      <x:c r="K270" s="40" t="n">
        <x:f>IF(C270=1,J270,K269+J270)</x:f>
        <x:v>4549.999999999999</x:v>
      </x:c>
      <x:c r="L270" s="40" t="n">
        <x:f>IF(C270=12,K270*'Inputs &amp; Summary'!$B$11*'Inputs &amp; Summary'!$B$12,0)</x:f>
        <x:v>0</x:v>
      </x:c>
      <x:c r="M270" s="40" t="n">
        <x:f>MIN(L270,G270)</x:f>
        <x:v>0</x:v>
      </x:c>
      <x:c r="N270" s="40" t="n">
        <x:f>MAX(0,L270-M270)</x:f>
        <x:v>0</x:v>
      </x:c>
      <x:c r="O270" s="40" t="n">
        <x:f>IF(ABS(MAX(0,G270-M270))&lt;0.00000001,0,MAX(0,G270-M270))</x:f>
        <x:v>0</x:v>
      </x:c>
      <x:c r="P270" s="40" t="n">
        <x:f>MAX(0,D270-O270)</x:f>
        <x:v>0</x:v>
      </x:c>
      <x:c r="Q270" s="40" t="n">
        <x:f>MAX(0,'Inputs &amp; Summary'!$B$19*'Inputs &amp; Summary'!$B$4-O270-I270)</x:f>
        <x:v>35000.00000000006</x:v>
      </x:c>
      <x:c r="R270" s="40" t="n">
        <x:f>MIN(P270,Q270)</x:f>
        <x:v>0</x:v>
      </x:c>
      <x:c r="S270" s="40" t="n">
        <x:f>I270+R270</x:f>
        <x:v>419999.99999999994</x:v>
      </x:c>
      <x:c r="T270" s="40" t="n">
        <x:f>U269</x:f>
        <x:v>794703.2454528641</x:v>
      </x:c>
      <x:c r="U270" s="40" t="n">
        <x:f>T270*(1+'Inputs &amp; Summary'!$B$17)+R270+N270+H270</x:f>
        <x:v>800896.0900925472</x:v>
      </x:c>
      <x:c r="V270" s="40" t="n">
        <x:f>Y269</x:f>
        <x:v>76160.24803787678</x:v>
      </x:c>
      <x:c r="W270" s="40" t="n">
        <x:f>V270*'Inputs &amp; Summary'!$B$15</x:f>
        <x:v>282.959660357295</x:v>
      </x:c>
      <x:c r="X270" s="40" t="n">
        <x:f>IF(V270&lt;=0.00000001,0,MIN('Inputs &amp; Summary'!$B$18,V270+W270))</x:f>
        <x:v>2324.586407999052</x:v>
      </x:c>
      <x:c r="Y270" s="40" t="n">
        <x:f>IF(ABS(MAX(0,V270+W270-X270))&lt;0.00000001,0,MAX(0,V270+W270-X270))</x:f>
        <x:v>74118.62129023502</x:v>
      </x:c>
      <x:c r="Z270" s="40" t="n">
        <x:f>MAX(0,'Inputs &amp; Summary'!$B$18-X270)</x:f>
        <x:v>0</x:v>
      </x:c>
      <x:c r="AA270" s="40" t="n">
        <x:f>AC269</x:f>
        <x:v>373969.6730021894</x:v>
      </x:c>
      <x:c r="AB270" s="40" t="n">
        <x:f>J270</x:f>
        <x:v>2274.9999999999995</x:v>
      </x:c>
      <x:c r="AC270" s="40" t="n">
        <x:f>AA270*(1+'Inputs &amp; Summary'!$B$17)+Z270+AB270</x:f>
        <x:v>378064.98929543234</x:v>
      </x:c>
      <x:c r="AD270" s="40" t="n">
        <x:f>F270+H270+J270</x:f>
        <x:v>4599.5864079990515</x:v>
      </x:c>
      <x:c r="AE270" s="40" t="n">
        <x:f>X270+Z270+AB270</x:f>
        <x:v>4599.5864079990515</x:v>
      </x:c>
      <x:c r="AF270" s="40" t="n">
        <x:f>AD270-AE270</x:f>
        <x:v>0</x:v>
      </x:c>
      <x:c r="AG270" s="42" t="n">
        <x:f>(O270+S270)/'Inputs &amp; Summary'!$B$4</x:f>
        <x:v>0.5999999999999999</x:v>
      </x:c>
      <x:c r="AH270" s="40" t="n">
        <x:f>U270-O270-S270</x:f>
        <x:v>380896.0900925473</x:v>
      </x:c>
      <x:c r="AI270" s="40" t="n">
        <x:f>AC270-Y270</x:f>
        <x:v>303946.3680051973</x:v>
      </x:c>
      <x:c r="AJ270" s="40" t="n">
        <x:f>AH270-AI270</x:f>
        <x:v>76949.72208734998</x:v>
      </x:c>
    </x:row>
    <x:row r="271">
      <x:c r="A271" t="n">
        <x:f>A270+1</x:f>
        <x:v>267</x:v>
      </x:c>
      <x:c r="B271" t="n">
        <x:f>INT((A271-1)/12)+1</x:f>
        <x:v>23</x:v>
      </x:c>
      <x:c r="C271" t="n">
        <x:f>MOD(A271-1,12)+1</x:f>
        <x:v>3</x:v>
      </x:c>
      <x:c r="D271" s="40" t="n">
        <x:f>O270</x:f>
        <x:v>0</x:v>
      </x:c>
      <x:c r="E271" s="40" t="n">
        <x:f>D271*'Inputs &amp; Summary'!$B$15</x:f>
        <x:v>0</x:v>
      </x:c>
      <x:c r="F271" s="40" t="n">
        <x:f>IF(D271&lt;=0.00000001,0,MIN('Inputs &amp; Summary'!$B$18,D271+E271))</x:f>
        <x:v>0</x:v>
      </x:c>
      <x:c r="G271" s="40" t="n">
        <x:f>IF(ABS(MAX(0,D271+E271-F271))&lt;0.00000001,0,MAX(0,D271+E271-F271))</x:f>
        <x:v>0</x:v>
      </x:c>
      <x:c r="H271" s="40" t="n">
        <x:f>MAX(0,'Inputs &amp; Summary'!$B$18-F271)</x:f>
        <x:v>2324.586407999052</x:v>
      </x:c>
      <x:c r="I271" s="40" t="n">
        <x:f>S270</x:f>
        <x:v>419999.99999999994</x:v>
      </x:c>
      <x:c r="J271" s="40" t="n">
        <x:f>I271*'Inputs &amp; Summary'!$B$16</x:f>
        <x:v>2274.9999999999995</x:v>
      </x:c>
      <x:c r="K271" s="40" t="n">
        <x:f>IF(C271=1,J271,K270+J271)</x:f>
        <x:v>6824.999999999998</x:v>
      </x:c>
      <x:c r="L271" s="40" t="n">
        <x:f>IF(C271=12,K271*'Inputs &amp; Summary'!$B$11*'Inputs &amp; Summary'!$B$12,0)</x:f>
        <x:v>0</x:v>
      </x:c>
      <x:c r="M271" s="40" t="n">
        <x:f>MIN(L271,G271)</x:f>
        <x:v>0</x:v>
      </x:c>
      <x:c r="N271" s="40" t="n">
        <x:f>MAX(0,L271-M271)</x:f>
        <x:v>0</x:v>
      </x:c>
      <x:c r="O271" s="40" t="n">
        <x:f>IF(ABS(MAX(0,G271-M271))&lt;0.00000001,0,MAX(0,G271-M271))</x:f>
        <x:v>0</x:v>
      </x:c>
      <x:c r="P271" s="40" t="n">
        <x:f>MAX(0,D271-O271)</x:f>
        <x:v>0</x:v>
      </x:c>
      <x:c r="Q271" s="40" t="n">
        <x:f>MAX(0,'Inputs &amp; Summary'!$B$19*'Inputs &amp; Summary'!$B$4-O271-I271)</x:f>
        <x:v>35000.00000000006</x:v>
      </x:c>
      <x:c r="R271" s="40" t="n">
        <x:f>MIN(P271,Q271)</x:f>
        <x:v>0</x:v>
      </x:c>
      <x:c r="S271" s="40" t="n">
        <x:f>I271+R271</x:f>
        <x:v>419999.99999999994</x:v>
      </x:c>
      <x:c r="T271" s="40" t="n">
        <x:f>U270</x:f>
        <x:v>800896.0900925472</x:v>
      </x:c>
      <x:c r="U271" s="40" t="n">
        <x:f>T271*(1+'Inputs &amp; Summary'!$B$17)+R271+N271+H271</x:f>
        <x:v>807119.0787166572</x:v>
      </x:c>
      <x:c r="V271" s="40" t="n">
        <x:f>Y270</x:f>
        <x:v>74118.62129023502</x:v>
      </x:c>
      <x:c r="W271" s="40" t="n">
        <x:f>V271*'Inputs &amp; Summary'!$B$15</x:f>
        <x:v>275.3743645373316</x:v>
      </x:c>
      <x:c r="X271" s="40" t="n">
        <x:f>IF(V271&lt;=0.00000001,0,MIN('Inputs &amp; Summary'!$B$18,V271+W271))</x:f>
        <x:v>2324.586407999052</x:v>
      </x:c>
      <x:c r="Y271" s="40" t="n">
        <x:f>IF(ABS(MAX(0,V271+W271-X271))&lt;0.00000001,0,MAX(0,V271+W271-X271))</x:f>
        <x:v>72069.4092467733</x:v>
      </x:c>
      <x:c r="Z271" s="40" t="n">
        <x:f>MAX(0,'Inputs &amp; Summary'!$B$18-X271)</x:f>
        <x:v>0</x:v>
      </x:c>
      <x:c r="AA271" s="40" t="n">
        <x:f>AC270</x:f>
        <x:v>378064.98929543234</x:v>
      </x:c>
      <x:c r="AB271" s="40" t="n">
        <x:f>J271</x:f>
        <x:v>2274.9999999999995</x:v>
      </x:c>
      <x:c r="AC271" s="40" t="n">
        <x:f>AA271*(1+'Inputs &amp; Summary'!$B$17)+Z271+AB271</x:f>
        <x:v>382180.2397478137</x:v>
      </x:c>
      <x:c r="AD271" s="40" t="n">
        <x:f>F271+H271+J271</x:f>
        <x:v>4599.5864079990515</x:v>
      </x:c>
      <x:c r="AE271" s="40" t="n">
        <x:f>X271+Z271+AB271</x:f>
        <x:v>4599.5864079990515</x:v>
      </x:c>
      <x:c r="AF271" s="40" t="n">
        <x:f>AD271-AE271</x:f>
        <x:v>0</x:v>
      </x:c>
      <x:c r="AG271" s="42" t="n">
        <x:f>(O271+S271)/'Inputs &amp; Summary'!$B$4</x:f>
        <x:v>0.5999999999999999</x:v>
      </x:c>
      <x:c r="AH271" s="40" t="n">
        <x:f>U271-O271-S271</x:f>
        <x:v>387119.0787166573</x:v>
      </x:c>
      <x:c r="AI271" s="40" t="n">
        <x:f>AC271-Y271</x:f>
        <x:v>310110.83050104044</x:v>
      </x:c>
      <x:c r="AJ271" s="40" t="n">
        <x:f>AH271-AI271</x:f>
        <x:v>77008.24821561686</x:v>
      </x:c>
    </x:row>
    <x:row r="272">
      <x:c r="A272" t="n">
        <x:f>A271+1</x:f>
        <x:v>268</x:v>
      </x:c>
      <x:c r="B272" t="n">
        <x:f>INT((A272-1)/12)+1</x:f>
        <x:v>23</x:v>
      </x:c>
      <x:c r="C272" t="n">
        <x:f>MOD(A272-1,12)+1</x:f>
        <x:v>4</x:v>
      </x:c>
      <x:c r="D272" s="40" t="n">
        <x:f>O271</x:f>
        <x:v>0</x:v>
      </x:c>
      <x:c r="E272" s="40" t="n">
        <x:f>D272*'Inputs &amp; Summary'!$B$15</x:f>
        <x:v>0</x:v>
      </x:c>
      <x:c r="F272" s="40" t="n">
        <x:f>IF(D272&lt;=0.00000001,0,MIN('Inputs &amp; Summary'!$B$18,D272+E272))</x:f>
        <x:v>0</x:v>
      </x:c>
      <x:c r="G272" s="40" t="n">
        <x:f>IF(ABS(MAX(0,D272+E272-F272))&lt;0.00000001,0,MAX(0,D272+E272-F272))</x:f>
        <x:v>0</x:v>
      </x:c>
      <x:c r="H272" s="40" t="n">
        <x:f>MAX(0,'Inputs &amp; Summary'!$B$18-F272)</x:f>
        <x:v>2324.586407999052</x:v>
      </x:c>
      <x:c r="I272" s="40" t="n">
        <x:f>S271</x:f>
        <x:v>419999.99999999994</x:v>
      </x:c>
      <x:c r="J272" s="40" t="n">
        <x:f>I272*'Inputs &amp; Summary'!$B$16</x:f>
        <x:v>2274.9999999999995</x:v>
      </x:c>
      <x:c r="K272" s="40" t="n">
        <x:f>IF(C272=1,J272,K271+J272)</x:f>
        <x:v>9099.999999999998</x:v>
      </x:c>
      <x:c r="L272" s="40" t="n">
        <x:f>IF(C272=12,K272*'Inputs &amp; Summary'!$B$11*'Inputs &amp; Summary'!$B$12,0)</x:f>
        <x:v>0</x:v>
      </x:c>
      <x:c r="M272" s="40" t="n">
        <x:f>MIN(L272,G272)</x:f>
        <x:v>0</x:v>
      </x:c>
      <x:c r="N272" s="40" t="n">
        <x:f>MAX(0,L272-M272)</x:f>
        <x:v>0</x:v>
      </x:c>
      <x:c r="O272" s="40" t="n">
        <x:f>IF(ABS(MAX(0,G272-M272))&lt;0.00000001,0,MAX(0,G272-M272))</x:f>
        <x:v>0</x:v>
      </x:c>
      <x:c r="P272" s="40" t="n">
        <x:f>MAX(0,D272-O272)</x:f>
        <x:v>0</x:v>
      </x:c>
      <x:c r="Q272" s="40" t="n">
        <x:f>MAX(0,'Inputs &amp; Summary'!$B$19*'Inputs &amp; Summary'!$B$4-O272-I272)</x:f>
        <x:v>35000.00000000006</x:v>
      </x:c>
      <x:c r="R272" s="40" t="n">
        <x:f>MIN(P272,Q272)</x:f>
        <x:v>0</x:v>
      </x:c>
      <x:c r="S272" s="40" t="n">
        <x:f>I272+R272</x:f>
        <x:v>419999.99999999994</x:v>
      </x:c>
      <x:c r="T272" s="40" t="n">
        <x:f>U271</x:f>
        <x:v>807119.0787166572</x:v>
      </x:c>
      <x:c r="U272" s="40" t="n">
        <x:f>T272*(1+'Inputs &amp; Summary'!$B$17)+R272+N272+H272</x:f>
        <x:v>813372.3580525627</x:v>
      </x:c>
      <x:c r="V272" s="40" t="n">
        <x:f>Y271</x:f>
        <x:v>72069.4092467733</x:v>
      </x:c>
      <x:c r="W272" s="40" t="n">
        <x:f>V272*'Inputs &amp; Summary'!$B$15</x:f>
        <x:v>267.7608869193276</x:v>
      </x:c>
      <x:c r="X272" s="40" t="n">
        <x:f>IF(V272&lt;=0.00000001,0,MIN('Inputs &amp; Summary'!$B$18,V272+W272))</x:f>
        <x:v>2324.586407999052</x:v>
      </x:c>
      <x:c r="Y272" s="40" t="n">
        <x:f>IF(ABS(MAX(0,V272+W272-X272))&lt;0.00000001,0,MAX(0,V272+W272-X272))</x:f>
        <x:v>70012.58372569356</x:v>
      </x:c>
      <x:c r="Z272" s="40" t="n">
        <x:f>MAX(0,'Inputs &amp; Summary'!$B$18-X272)</x:f>
        <x:v>0</x:v>
      </x:c>
      <x:c r="AA272" s="40" t="n">
        <x:f>AC271</x:f>
        <x:v>382180.2397478137</x:v>
      </x:c>
      <x:c r="AB272" s="40" t="n">
        <x:f>J272</x:f>
        <x:v>2274.9999999999995</x:v>
      </x:c>
      <x:c r="AC272" s="40" t="n">
        <x:f>AA272*(1+'Inputs &amp; Summary'!$B$17)+Z272+AB272</x:f>
        <x:v>386315.5213898611</x:v>
      </x:c>
      <x:c r="AD272" s="40" t="n">
        <x:f>F272+H272+J272</x:f>
        <x:v>4599.5864079990515</x:v>
      </x:c>
      <x:c r="AE272" s="40" t="n">
        <x:f>X272+Z272+AB272</x:f>
        <x:v>4599.5864079990515</x:v>
      </x:c>
      <x:c r="AF272" s="40" t="n">
        <x:f>AD272-AE272</x:f>
        <x:v>0</x:v>
      </x:c>
      <x:c r="AG272" s="42" t="n">
        <x:f>(O272+S272)/'Inputs &amp; Summary'!$B$4</x:f>
        <x:v>0.5999999999999999</x:v>
      </x:c>
      <x:c r="AH272" s="40" t="n">
        <x:f>U272-O272-S272</x:f>
        <x:v>393372.35805256275</x:v>
      </x:c>
      <x:c r="AI272" s="40" t="n">
        <x:f>AC272-Y272</x:f>
        <x:v>316302.93766416755</x:v>
      </x:c>
      <x:c r="AJ272" s="40" t="n">
        <x:f>AH272-AI272</x:f>
        <x:v>77069.4203883952</x:v>
      </x:c>
    </x:row>
    <x:row r="273">
      <x:c r="A273" t="n">
        <x:f>A272+1</x:f>
        <x:v>269</x:v>
      </x:c>
      <x:c r="B273" t="n">
        <x:f>INT((A273-1)/12)+1</x:f>
        <x:v>23</x:v>
      </x:c>
      <x:c r="C273" t="n">
        <x:f>MOD(A273-1,12)+1</x:f>
        <x:v>5</x:v>
      </x:c>
      <x:c r="D273" s="40" t="n">
        <x:f>O272</x:f>
        <x:v>0</x:v>
      </x:c>
      <x:c r="E273" s="40" t="n">
        <x:f>D273*'Inputs &amp; Summary'!$B$15</x:f>
        <x:v>0</x:v>
      </x:c>
      <x:c r="F273" s="40" t="n">
        <x:f>IF(D273&lt;=0.00000001,0,MIN('Inputs &amp; Summary'!$B$18,D273+E273))</x:f>
        <x:v>0</x:v>
      </x:c>
      <x:c r="G273" s="40" t="n">
        <x:f>IF(ABS(MAX(0,D273+E273-F273))&lt;0.00000001,0,MAX(0,D273+E273-F273))</x:f>
        <x:v>0</x:v>
      </x:c>
      <x:c r="H273" s="40" t="n">
        <x:f>MAX(0,'Inputs &amp; Summary'!$B$18-F273)</x:f>
        <x:v>2324.586407999052</x:v>
      </x:c>
      <x:c r="I273" s="40" t="n">
        <x:f>S272</x:f>
        <x:v>419999.99999999994</x:v>
      </x:c>
      <x:c r="J273" s="40" t="n">
        <x:f>I273*'Inputs &amp; Summary'!$B$16</x:f>
        <x:v>2274.9999999999995</x:v>
      </x:c>
      <x:c r="K273" s="40" t="n">
        <x:f>IF(C273=1,J273,K272+J273)</x:f>
        <x:v>11374.999999999998</x:v>
      </x:c>
      <x:c r="L273" s="40" t="n">
        <x:f>IF(C273=12,K273*'Inputs &amp; Summary'!$B$11*'Inputs &amp; Summary'!$B$12,0)</x:f>
        <x:v>0</x:v>
      </x:c>
      <x:c r="M273" s="40" t="n">
        <x:f>MIN(L273,G273)</x:f>
        <x:v>0</x:v>
      </x:c>
      <x:c r="N273" s="40" t="n">
        <x:f>MAX(0,L273-M273)</x:f>
        <x:v>0</x:v>
      </x:c>
      <x:c r="O273" s="40" t="n">
        <x:f>IF(ABS(MAX(0,G273-M273))&lt;0.00000001,0,MAX(0,G273-M273))</x:f>
        <x:v>0</x:v>
      </x:c>
      <x:c r="P273" s="40" t="n">
        <x:f>MAX(0,D273-O273)</x:f>
        <x:v>0</x:v>
      </x:c>
      <x:c r="Q273" s="40" t="n">
        <x:f>MAX(0,'Inputs &amp; Summary'!$B$19*'Inputs &amp; Summary'!$B$4-O273-I273)</x:f>
        <x:v>35000.00000000006</x:v>
      </x:c>
      <x:c r="R273" s="40" t="n">
        <x:f>MIN(P273,Q273)</x:f>
        <x:v>0</x:v>
      </x:c>
      <x:c r="S273" s="40" t="n">
        <x:f>I273+R273</x:f>
        <x:v>419999.99999999994</x:v>
      </x:c>
      <x:c r="T273" s="40" t="n">
        <x:f>U272</x:f>
        <x:v>813372.3580525627</x:v>
      </x:c>
      <x:c r="U273" s="40" t="n">
        <x:f>T273*(1+'Inputs &amp; Summary'!$B$17)+R273+N273+H273</x:f>
        <x:v>819656.0755418349</x:v>
      </x:c>
      <x:c r="V273" s="40" t="n">
        <x:f>Y272</x:f>
        <x:v>70012.58372569356</x:v>
      </x:c>
      <x:c r="W273" s="40" t="n">
        <x:f>V273*'Inputs &amp; Summary'!$B$15</x:f>
        <x:v>260.1191227988971</x:v>
      </x:c>
      <x:c r="X273" s="40" t="n">
        <x:f>IF(V273&lt;=0.00000001,0,MIN('Inputs &amp; Summary'!$B$18,V273+W273))</x:f>
        <x:v>2324.586407999052</x:v>
      </x:c>
      <x:c r="Y273" s="40" t="n">
        <x:f>IF(ABS(MAX(0,V273+W273-X273))&lt;0.00000001,0,MAX(0,V273+W273-X273))</x:f>
        <x:v>67948.11644049341</x:v>
      </x:c>
      <x:c r="Z273" s="40" t="n">
        <x:f>MAX(0,'Inputs &amp; Summary'!$B$18-X273)</x:f>
        <x:v>0</x:v>
      </x:c>
      <x:c r="AA273" s="40" t="n">
        <x:f>AC272</x:f>
        <x:v>386315.5213898611</x:v>
      </x:c>
      <x:c r="AB273" s="40" t="n">
        <x:f>J273</x:f>
        <x:v>2274.9999999999995</x:v>
      </x:c>
      <x:c r="AC273" s="40" t="n">
        <x:f>AA273*(1+'Inputs &amp; Summary'!$B$17)+Z273+AB273</x:f>
        <x:v>390470.9317244031</x:v>
      </x:c>
      <x:c r="AD273" s="40" t="n">
        <x:f>F273+H273+J273</x:f>
        <x:v>4599.5864079990515</x:v>
      </x:c>
      <x:c r="AE273" s="40" t="n">
        <x:f>X273+Z273+AB273</x:f>
        <x:v>4599.5864079990515</x:v>
      </x:c>
      <x:c r="AF273" s="40" t="n">
        <x:f>AD273-AE273</x:f>
        <x:v>0</x:v>
      </x:c>
      <x:c r="AG273" s="42" t="n">
        <x:f>(O273+S273)/'Inputs &amp; Summary'!$B$4</x:f>
        <x:v>0.5999999999999999</x:v>
      </x:c>
      <x:c r="AH273" s="40" t="n">
        <x:f>U273-O273-S273</x:f>
        <x:v>399656.075541835</x:v>
      </x:c>
      <x:c r="AI273" s="40" t="n">
        <x:f>AC273-Y273</x:f>
        <x:v>322522.8152839097</x:v>
      </x:c>
      <x:c r="AJ273" s="40" t="n">
        <x:f>AH273-AI273</x:f>
        <x:v>77133.26025792531</x:v>
      </x:c>
    </x:row>
    <x:row r="274">
      <x:c r="A274" t="n">
        <x:f>A273+1</x:f>
        <x:v>270</x:v>
      </x:c>
      <x:c r="B274" t="n">
        <x:f>INT((A274-1)/12)+1</x:f>
        <x:v>23</x:v>
      </x:c>
      <x:c r="C274" t="n">
        <x:f>MOD(A274-1,12)+1</x:f>
        <x:v>6</x:v>
      </x:c>
      <x:c r="D274" s="40" t="n">
        <x:f>O273</x:f>
        <x:v>0</x:v>
      </x:c>
      <x:c r="E274" s="40" t="n">
        <x:f>D274*'Inputs &amp; Summary'!$B$15</x:f>
        <x:v>0</x:v>
      </x:c>
      <x:c r="F274" s="40" t="n">
        <x:f>IF(D274&lt;=0.00000001,0,MIN('Inputs &amp; Summary'!$B$18,D274+E274))</x:f>
        <x:v>0</x:v>
      </x:c>
      <x:c r="G274" s="40" t="n">
        <x:f>IF(ABS(MAX(0,D274+E274-F274))&lt;0.00000001,0,MAX(0,D274+E274-F274))</x:f>
        <x:v>0</x:v>
      </x:c>
      <x:c r="H274" s="40" t="n">
        <x:f>MAX(0,'Inputs &amp; Summary'!$B$18-F274)</x:f>
        <x:v>2324.586407999052</x:v>
      </x:c>
      <x:c r="I274" s="40" t="n">
        <x:f>S273</x:f>
        <x:v>419999.99999999994</x:v>
      </x:c>
      <x:c r="J274" s="40" t="n">
        <x:f>I274*'Inputs &amp; Summary'!$B$16</x:f>
        <x:v>2274.9999999999995</x:v>
      </x:c>
      <x:c r="K274" s="40" t="n">
        <x:f>IF(C274=1,J274,K273+J274)</x:f>
        <x:v>13649.999999999998</x:v>
      </x:c>
      <x:c r="L274" s="40" t="n">
        <x:f>IF(C274=12,K274*'Inputs &amp; Summary'!$B$11*'Inputs &amp; Summary'!$B$12,0)</x:f>
        <x:v>0</x:v>
      </x:c>
      <x:c r="M274" s="40" t="n">
        <x:f>MIN(L274,G274)</x:f>
        <x:v>0</x:v>
      </x:c>
      <x:c r="N274" s="40" t="n">
        <x:f>MAX(0,L274-M274)</x:f>
        <x:v>0</x:v>
      </x:c>
      <x:c r="O274" s="40" t="n">
        <x:f>IF(ABS(MAX(0,G274-M274))&lt;0.00000001,0,MAX(0,G274-M274))</x:f>
        <x:v>0</x:v>
      </x:c>
      <x:c r="P274" s="40" t="n">
        <x:f>MAX(0,D274-O274)</x:f>
        <x:v>0</x:v>
      </x:c>
      <x:c r="Q274" s="40" t="n">
        <x:f>MAX(0,'Inputs &amp; Summary'!$B$19*'Inputs &amp; Summary'!$B$4-O274-I274)</x:f>
        <x:v>35000.00000000006</x:v>
      </x:c>
      <x:c r="R274" s="40" t="n">
        <x:f>MIN(P274,Q274)</x:f>
        <x:v>0</x:v>
      </x:c>
      <x:c r="S274" s="40" t="n">
        <x:f>I274+R274</x:f>
        <x:v>419999.99999999994</x:v>
      </x:c>
      <x:c r="T274" s="40" t="n">
        <x:f>U273</x:f>
        <x:v>819656.0755418349</x:v>
      </x:c>
      <x:c r="U274" s="40" t="n">
        <x:f>T274*(1+'Inputs &amp; Summary'!$B$17)+R274+N274+H274</x:f>
        <x:v>825970.3793437245</x:v>
      </x:c>
      <x:c r="V274" s="40" t="n">
        <x:f>Y273</x:f>
        <x:v>67948.11644049341</x:v>
      </x:c>
      <x:c r="W274" s="40" t="n">
        <x:f>V274*'Inputs &amp; Summary'!$B$15</x:f>
        <x:v>252.44896708264386</x:v>
      </x:c>
      <x:c r="X274" s="40" t="n">
        <x:f>IF(V274&lt;=0.00000001,0,MIN('Inputs &amp; Summary'!$B$18,V274+W274))</x:f>
        <x:v>2324.586407999052</x:v>
      </x:c>
      <x:c r="Y274" s="40" t="n">
        <x:f>IF(ABS(MAX(0,V274+W274-X274))&lt;0.00000001,0,MAX(0,V274+W274-X274))</x:f>
        <x:v>65875.978999577</x:v>
      </x:c>
      <x:c r="Z274" s="40" t="n">
        <x:f>MAX(0,'Inputs &amp; Summary'!$B$18-X274)</x:f>
        <x:v>0</x:v>
      </x:c>
      <x:c r="AA274" s="40" t="n">
        <x:f>AC273</x:f>
        <x:v>390470.9317244031</x:v>
      </x:c>
      <x:c r="AB274" s="40" t="n">
        <x:f>J274</x:f>
        <x:v>2274.9999999999995</x:v>
      </x:c>
      <x:c r="AC274" s="40" t="n">
        <x:f>AA274*(1+'Inputs &amp; Summary'!$B$17)+Z274+AB274</x:f>
        <x:v>394646.56872886827</x:v>
      </x:c>
      <x:c r="AD274" s="40" t="n">
        <x:f>F274+H274+J274</x:f>
        <x:v>4599.5864079990515</x:v>
      </x:c>
      <x:c r="AE274" s="40" t="n">
        <x:f>X274+Z274+AB274</x:f>
        <x:v>4599.5864079990515</x:v>
      </x:c>
      <x:c r="AF274" s="40" t="n">
        <x:f>AD274-AE274</x:f>
        <x:v>0</x:v>
      </x:c>
      <x:c r="AG274" s="42" t="n">
        <x:f>(O274+S274)/'Inputs &amp; Summary'!$B$4</x:f>
        <x:v>0.5999999999999999</x:v>
      </x:c>
      <x:c r="AH274" s="40" t="n">
        <x:f>U274-O274-S274</x:f>
        <x:v>405970.3793437245</x:v>
      </x:c>
      <x:c r="AI274" s="40" t="n">
        <x:f>AC274-Y274</x:f>
        <x:v>328770.58972929127</x:v>
      </x:c>
      <x:c r="AJ274" s="40" t="n">
        <x:f>AH274-AI274</x:f>
        <x:v>77199.78961443325</x:v>
      </x:c>
    </x:row>
    <x:row r="275">
      <x:c r="A275" t="n">
        <x:f>A274+1</x:f>
        <x:v>271</x:v>
      </x:c>
      <x:c r="B275" t="n">
        <x:f>INT((A275-1)/12)+1</x:f>
        <x:v>23</x:v>
      </x:c>
      <x:c r="C275" t="n">
        <x:f>MOD(A275-1,12)+1</x:f>
        <x:v>7</x:v>
      </x:c>
      <x:c r="D275" s="40" t="n">
        <x:f>O274</x:f>
        <x:v>0</x:v>
      </x:c>
      <x:c r="E275" s="40" t="n">
        <x:f>D275*'Inputs &amp; Summary'!$B$15</x:f>
        <x:v>0</x:v>
      </x:c>
      <x:c r="F275" s="40" t="n">
        <x:f>IF(D275&lt;=0.00000001,0,MIN('Inputs &amp; Summary'!$B$18,D275+E275))</x:f>
        <x:v>0</x:v>
      </x:c>
      <x:c r="G275" s="40" t="n">
        <x:f>IF(ABS(MAX(0,D275+E275-F275))&lt;0.00000001,0,MAX(0,D275+E275-F275))</x:f>
        <x:v>0</x:v>
      </x:c>
      <x:c r="H275" s="40" t="n">
        <x:f>MAX(0,'Inputs &amp; Summary'!$B$18-F275)</x:f>
        <x:v>2324.586407999052</x:v>
      </x:c>
      <x:c r="I275" s="40" t="n">
        <x:f>S274</x:f>
        <x:v>419999.99999999994</x:v>
      </x:c>
      <x:c r="J275" s="40" t="n">
        <x:f>I275*'Inputs &amp; Summary'!$B$16</x:f>
        <x:v>2274.9999999999995</x:v>
      </x:c>
      <x:c r="K275" s="40" t="n">
        <x:f>IF(C275=1,J275,K274+J275)</x:f>
        <x:v>15924.999999999998</x:v>
      </x:c>
      <x:c r="L275" s="40" t="n">
        <x:f>IF(C275=12,K275*'Inputs &amp; Summary'!$B$11*'Inputs &amp; Summary'!$B$12,0)</x:f>
        <x:v>0</x:v>
      </x:c>
      <x:c r="M275" s="40" t="n">
        <x:f>MIN(L275,G275)</x:f>
        <x:v>0</x:v>
      </x:c>
      <x:c r="N275" s="40" t="n">
        <x:f>MAX(0,L275-M275)</x:f>
        <x:v>0</x:v>
      </x:c>
      <x:c r="O275" s="40" t="n">
        <x:f>IF(ABS(MAX(0,G275-M275))&lt;0.00000001,0,MAX(0,G275-M275))</x:f>
        <x:v>0</x:v>
      </x:c>
      <x:c r="P275" s="40" t="n">
        <x:f>MAX(0,D275-O275)</x:f>
        <x:v>0</x:v>
      </x:c>
      <x:c r="Q275" s="40" t="n">
        <x:f>MAX(0,'Inputs &amp; Summary'!$B$19*'Inputs &amp; Summary'!$B$4-O275-I275)</x:f>
        <x:v>35000.00000000006</x:v>
      </x:c>
      <x:c r="R275" s="40" t="n">
        <x:f>MIN(P275,Q275)</x:f>
        <x:v>0</x:v>
      </x:c>
      <x:c r="S275" s="40" t="n">
        <x:f>I275+R275</x:f>
        <x:v>419999.99999999994</x:v>
      </x:c>
      <x:c r="T275" s="40" t="n">
        <x:f>U274</x:f>
        <x:v>825970.3793437245</x:v>
      </x:c>
      <x:c r="U275" s="40" t="n">
        <x:f>T275*(1+'Inputs &amp; Summary'!$B$17)+R275+N275+H275</x:f>
        <x:v>832315.4183386547</x:v>
      </x:c>
      <x:c r="V275" s="40" t="n">
        <x:f>Y274</x:f>
        <x:v>65875.978999577</x:v>
      </x:c>
      <x:c r="W275" s="40" t="n">
        <x:f>V275*'Inputs &amp; Summary'!$B$15</x:f>
        <x:v>244.75031428671622</x:v>
      </x:c>
      <x:c r="X275" s="40" t="n">
        <x:f>IF(V275&lt;=0.00000001,0,MIN('Inputs &amp; Summary'!$B$18,V275+W275))</x:f>
        <x:v>2324.586407999052</x:v>
      </x:c>
      <x:c r="Y275" s="40" t="n">
        <x:f>IF(ABS(MAX(0,V275+W275-X275))&lt;0.00000001,0,MAX(0,V275+W275-X275))</x:f>
        <x:v>63796.14290586467</x:v>
      </x:c>
      <x:c r="Z275" s="40" t="n">
        <x:f>MAX(0,'Inputs &amp; Summary'!$B$18-X275)</x:f>
        <x:v>0</x:v>
      </x:c>
      <x:c r="AA275" s="40" t="n">
        <x:f>AC274</x:f>
        <x:v>394646.56872886827</x:v>
      </x:c>
      <x:c r="AB275" s="40" t="n">
        <x:f>J275</x:f>
        <x:v>2274.9999999999995</x:v>
      </x:c>
      <x:c r="AC275" s="40" t="n">
        <x:f>AA275*(1+'Inputs &amp; Summary'!$B$17)+Z275+AB275</x:f>
        <x:v>398842.53085759515</x:v>
      </x:c>
      <x:c r="AD275" s="40" t="n">
        <x:f>F275+H275+J275</x:f>
        <x:v>4599.5864079990515</x:v>
      </x:c>
      <x:c r="AE275" s="40" t="n">
        <x:f>X275+Z275+AB275</x:f>
        <x:v>4599.5864079990515</x:v>
      </x:c>
      <x:c r="AF275" s="40" t="n">
        <x:f>AD275-AE275</x:f>
        <x:v>0</x:v>
      </x:c>
      <x:c r="AG275" s="42" t="n">
        <x:f>(O275+S275)/'Inputs &amp; Summary'!$B$4</x:f>
        <x:v>0.5999999999999999</x:v>
      </x:c>
      <x:c r="AH275" s="40" t="n">
        <x:f>U275-O275-S275</x:f>
        <x:v>412315.41833865474</x:v>
      </x:c>
      <x:c r="AI275" s="40" t="n">
        <x:f>AC275-Y275</x:f>
        <x:v>335046.38795173046</x:v>
      </x:c>
      <x:c r="AJ275" s="40" t="n">
        <x:f>AH275-AI275</x:f>
        <x:v>77269.03038692428</x:v>
      </x:c>
    </x:row>
    <x:row r="276">
      <x:c r="A276" t="n">
        <x:f>A275+1</x:f>
        <x:v>272</x:v>
      </x:c>
      <x:c r="B276" t="n">
        <x:f>INT((A276-1)/12)+1</x:f>
        <x:v>23</x:v>
      </x:c>
      <x:c r="C276" t="n">
        <x:f>MOD(A276-1,12)+1</x:f>
        <x:v>8</x:v>
      </x:c>
      <x:c r="D276" s="40" t="n">
        <x:f>O275</x:f>
        <x:v>0</x:v>
      </x:c>
      <x:c r="E276" s="40" t="n">
        <x:f>D276*'Inputs &amp; Summary'!$B$15</x:f>
        <x:v>0</x:v>
      </x:c>
      <x:c r="F276" s="40" t="n">
        <x:f>IF(D276&lt;=0.00000001,0,MIN('Inputs &amp; Summary'!$B$18,D276+E276))</x:f>
        <x:v>0</x:v>
      </x:c>
      <x:c r="G276" s="40" t="n">
        <x:f>IF(ABS(MAX(0,D276+E276-F276))&lt;0.00000001,0,MAX(0,D276+E276-F276))</x:f>
        <x:v>0</x:v>
      </x:c>
      <x:c r="H276" s="40" t="n">
        <x:f>MAX(0,'Inputs &amp; Summary'!$B$18-F276)</x:f>
        <x:v>2324.586407999052</x:v>
      </x:c>
      <x:c r="I276" s="40" t="n">
        <x:f>S275</x:f>
        <x:v>419999.99999999994</x:v>
      </x:c>
      <x:c r="J276" s="40" t="n">
        <x:f>I276*'Inputs &amp; Summary'!$B$16</x:f>
        <x:v>2274.9999999999995</x:v>
      </x:c>
      <x:c r="K276" s="40" t="n">
        <x:f>IF(C276=1,J276,K275+J276)</x:f>
        <x:v>18199.999999999996</x:v>
      </x:c>
      <x:c r="L276" s="40" t="n">
        <x:f>IF(C276=12,K276*'Inputs &amp; Summary'!$B$11*'Inputs &amp; Summary'!$B$12,0)</x:f>
        <x:v>0</x:v>
      </x:c>
      <x:c r="M276" s="40" t="n">
        <x:f>MIN(L276,G276)</x:f>
        <x:v>0</x:v>
      </x:c>
      <x:c r="N276" s="40" t="n">
        <x:f>MAX(0,L276-M276)</x:f>
        <x:v>0</x:v>
      </x:c>
      <x:c r="O276" s="40" t="n">
        <x:f>IF(ABS(MAX(0,G276-M276))&lt;0.00000001,0,MAX(0,G276-M276))</x:f>
        <x:v>0</x:v>
      </x:c>
      <x:c r="P276" s="40" t="n">
        <x:f>MAX(0,D276-O276)</x:f>
        <x:v>0</x:v>
      </x:c>
      <x:c r="Q276" s="40" t="n">
        <x:f>MAX(0,'Inputs &amp; Summary'!$B$19*'Inputs &amp; Summary'!$B$4-O276-I276)</x:f>
        <x:v>35000.00000000006</x:v>
      </x:c>
      <x:c r="R276" s="40" t="n">
        <x:f>MIN(P276,Q276)</x:f>
        <x:v>0</x:v>
      </x:c>
      <x:c r="S276" s="40" t="n">
        <x:f>I276+R276</x:f>
        <x:v>419999.99999999994</x:v>
      </x:c>
      <x:c r="T276" s="40" t="n">
        <x:f>U275</x:f>
        <x:v>832315.4183386547</x:v>
      </x:c>
      <x:c r="U276" s="40" t="n">
        <x:f>T276*(1+'Inputs &amp; Summary'!$B$17)+R276+N276+H276</x:f>
        <x:v>838691.3421317318</x:v>
      </x:c>
      <x:c r="V276" s="40" t="n">
        <x:f>Y275</x:f>
        <x:v>63796.14290586467</x:v>
      </x:c>
      <x:c r="W276" s="40" t="n">
        <x:f>V276*'Inputs &amp; Summary'!$B$15</x:f>
        <x:v>237.02305853535626</x:v>
      </x:c>
      <x:c r="X276" s="40" t="n">
        <x:f>IF(V276&lt;=0.00000001,0,MIN('Inputs &amp; Summary'!$B$18,V276+W276))</x:f>
        <x:v>2324.586407999052</x:v>
      </x:c>
      <x:c r="Y276" s="40" t="n">
        <x:f>IF(ABS(MAX(0,V276+W276-X276))&lt;0.00000001,0,MAX(0,V276+W276-X276))</x:f>
        <x:v>61708.579556400975</x:v>
      </x:c>
      <x:c r="Z276" s="40" t="n">
        <x:f>MAX(0,'Inputs &amp; Summary'!$B$18-X276)</x:f>
        <x:v>0</x:v>
      </x:c>
      <x:c r="AA276" s="40" t="n">
        <x:f>AC275</x:f>
        <x:v>398842.53085759515</x:v>
      </x:c>
      <x:c r="AB276" s="40" t="n">
        <x:f>J276</x:f>
        <x:v>2274.9999999999995</x:v>
      </x:c>
      <x:c r="AC276" s="40" t="n">
        <x:f>AA276*(1+'Inputs &amp; Summary'!$B$17)+Z276+AB276</x:f>
        <x:v>403058.9170441539</x:v>
      </x:c>
      <x:c r="AD276" s="40" t="n">
        <x:f>F276+H276+J276</x:f>
        <x:v>4599.5864079990515</x:v>
      </x:c>
      <x:c r="AE276" s="40" t="n">
        <x:f>X276+Z276+AB276</x:f>
        <x:v>4599.5864079990515</x:v>
      </x:c>
      <x:c r="AF276" s="40" t="n">
        <x:f>AD276-AE276</x:f>
        <x:v>0</x:v>
      </x:c>
      <x:c r="AG276" s="42" t="n">
        <x:f>(O276+S276)/'Inputs &amp; Summary'!$B$4</x:f>
        <x:v>0.5999999999999999</x:v>
      </x:c>
      <x:c r="AH276" s="40" t="n">
        <x:f>U276-O276-S276</x:f>
        <x:v>418691.34213173186</x:v>
      </x:c>
      <x:c r="AI276" s="40" t="n">
        <x:f>AC276-Y276</x:f>
        <x:v>341350.3374877529</x:v>
      </x:c>
      <x:c r="AJ276" s="40" t="n">
        <x:f>AH276-AI276</x:f>
        <x:v>77341.00464397896</x:v>
      </x:c>
    </x:row>
    <x:row r="277">
      <x:c r="A277" t="n">
        <x:f>A276+1</x:f>
        <x:v>273</x:v>
      </x:c>
      <x:c r="B277" t="n">
        <x:f>INT((A277-1)/12)+1</x:f>
        <x:v>23</x:v>
      </x:c>
      <x:c r="C277" t="n">
        <x:f>MOD(A277-1,12)+1</x:f>
        <x:v>9</x:v>
      </x:c>
      <x:c r="D277" s="40" t="n">
        <x:f>O276</x:f>
        <x:v>0</x:v>
      </x:c>
      <x:c r="E277" s="40" t="n">
        <x:f>D277*'Inputs &amp; Summary'!$B$15</x:f>
        <x:v>0</x:v>
      </x:c>
      <x:c r="F277" s="40" t="n">
        <x:f>IF(D277&lt;=0.00000001,0,MIN('Inputs &amp; Summary'!$B$18,D277+E277))</x:f>
        <x:v>0</x:v>
      </x:c>
      <x:c r="G277" s="40" t="n">
        <x:f>IF(ABS(MAX(0,D277+E277-F277))&lt;0.00000001,0,MAX(0,D277+E277-F277))</x:f>
        <x:v>0</x:v>
      </x:c>
      <x:c r="H277" s="40" t="n">
        <x:f>MAX(0,'Inputs &amp; Summary'!$B$18-F277)</x:f>
        <x:v>2324.586407999052</x:v>
      </x:c>
      <x:c r="I277" s="40" t="n">
        <x:f>S276</x:f>
        <x:v>419999.99999999994</x:v>
      </x:c>
      <x:c r="J277" s="40" t="n">
        <x:f>I277*'Inputs &amp; Summary'!$B$16</x:f>
        <x:v>2274.9999999999995</x:v>
      </x:c>
      <x:c r="K277" s="40" t="n">
        <x:f>IF(C277=1,J277,K276+J277)</x:f>
        <x:v>20474.999999999996</x:v>
      </x:c>
      <x:c r="L277" s="40" t="n">
        <x:f>IF(C277=12,K277*'Inputs &amp; Summary'!$B$11*'Inputs &amp; Summary'!$B$12,0)</x:f>
        <x:v>0</x:v>
      </x:c>
      <x:c r="M277" s="40" t="n">
        <x:f>MIN(L277,G277)</x:f>
        <x:v>0</x:v>
      </x:c>
      <x:c r="N277" s="40" t="n">
        <x:f>MAX(0,L277-M277)</x:f>
        <x:v>0</x:v>
      </x:c>
      <x:c r="O277" s="40" t="n">
        <x:f>IF(ABS(MAX(0,G277-M277))&lt;0.00000001,0,MAX(0,G277-M277))</x:f>
        <x:v>0</x:v>
      </x:c>
      <x:c r="P277" s="40" t="n">
        <x:f>MAX(0,D277-O277)</x:f>
        <x:v>0</x:v>
      </x:c>
      <x:c r="Q277" s="40" t="n">
        <x:f>MAX(0,'Inputs &amp; Summary'!$B$19*'Inputs &amp; Summary'!$B$4-O277-I277)</x:f>
        <x:v>35000.00000000006</x:v>
      </x:c>
      <x:c r="R277" s="40" t="n">
        <x:f>MIN(P277,Q277)</x:f>
        <x:v>0</x:v>
      </x:c>
      <x:c r="S277" s="40" t="n">
        <x:f>I277+R277</x:f>
        <x:v>419999.99999999994</x:v>
      </x:c>
      <x:c r="T277" s="40" t="n">
        <x:f>U276</x:f>
        <x:v>838691.3421317318</x:v>
      </x:c>
      <x:c r="U277" s="40" t="n">
        <x:f>T277*(1+'Inputs &amp; Summary'!$B$17)+R277+N277+H277</x:f>
        <x:v>845098.3010562725</x:v>
      </x:c>
      <x:c r="V277" s="40" t="n">
        <x:f>Y276</x:f>
        <x:v>61708.579556400975</x:v>
      </x:c>
      <x:c r="W277" s="40" t="n">
        <x:f>V277*'Inputs &amp; Summary'!$B$15</x:f>
        <x:v>229.26709355944374</x:v>
      </x:c>
      <x:c r="X277" s="40" t="n">
        <x:f>IF(V277&lt;=0.00000001,0,MIN('Inputs &amp; Summary'!$B$18,V277+W277))</x:f>
        <x:v>2324.586407999052</x:v>
      </x:c>
      <x:c r="Y277" s="40" t="n">
        <x:f>IF(ABS(MAX(0,V277+W277-X277))&lt;0.00000001,0,MAX(0,V277+W277-X277))</x:f>
        <x:v>59613.26024196137</x:v>
      </x:c>
      <x:c r="Z277" s="40" t="n">
        <x:f>MAX(0,'Inputs &amp; Summary'!$B$18-X277)</x:f>
        <x:v>0</x:v>
      </x:c>
      <x:c r="AA277" s="40" t="n">
        <x:f>AC276</x:f>
        <x:v>403058.9170441539</x:v>
      </x:c>
      <x:c r="AB277" s="40" t="n">
        <x:f>J277</x:f>
        <x:v>2274.9999999999995</x:v>
      </x:c>
      <x:c r="AC277" s="40" t="n">
        <x:f>AA277*(1+'Inputs &amp; Summary'!$B$17)+Z277+AB277</x:f>
        <x:v>407295.82670367876</x:v>
      </x:c>
      <x:c r="AD277" s="40" t="n">
        <x:f>F277+H277+J277</x:f>
        <x:v>4599.5864079990515</x:v>
      </x:c>
      <x:c r="AE277" s="40" t="n">
        <x:f>X277+Z277+AB277</x:f>
        <x:v>4599.5864079990515</x:v>
      </x:c>
      <x:c r="AF277" s="40" t="n">
        <x:f>AD277-AE277</x:f>
        <x:v>0</x:v>
      </x:c>
      <x:c r="AG277" s="42" t="n">
        <x:f>(O277+S277)/'Inputs &amp; Summary'!$B$4</x:f>
        <x:v>0.5999999999999999</x:v>
      </x:c>
      <x:c r="AH277" s="40" t="n">
        <x:f>U277-O277-S277</x:f>
        <x:v>425098.3010562725</x:v>
      </x:c>
      <x:c r="AI277" s="40" t="n">
        <x:f>AC277-Y277</x:f>
        <x:v>347682.56646171736</x:v>
      </x:c>
      <x:c r="AJ277" s="40" t="n">
        <x:f>AH277-AI277</x:f>
        <x:v>77415.73459455516</x:v>
      </x:c>
    </x:row>
    <x:row r="278">
      <x:c r="A278" t="n">
        <x:f>A277+1</x:f>
        <x:v>274</x:v>
      </x:c>
      <x:c r="B278" t="n">
        <x:f>INT((A278-1)/12)+1</x:f>
        <x:v>23</x:v>
      </x:c>
      <x:c r="C278" t="n">
        <x:f>MOD(A278-1,12)+1</x:f>
        <x:v>10</x:v>
      </x:c>
      <x:c r="D278" s="40" t="n">
        <x:f>O277</x:f>
        <x:v>0</x:v>
      </x:c>
      <x:c r="E278" s="40" t="n">
        <x:f>D278*'Inputs &amp; Summary'!$B$15</x:f>
        <x:v>0</x:v>
      </x:c>
      <x:c r="F278" s="40" t="n">
        <x:f>IF(D278&lt;=0.00000001,0,MIN('Inputs &amp; Summary'!$B$18,D278+E278))</x:f>
        <x:v>0</x:v>
      </x:c>
      <x:c r="G278" s="40" t="n">
        <x:f>IF(ABS(MAX(0,D278+E278-F278))&lt;0.00000001,0,MAX(0,D278+E278-F278))</x:f>
        <x:v>0</x:v>
      </x:c>
      <x:c r="H278" s="40" t="n">
        <x:f>MAX(0,'Inputs &amp; Summary'!$B$18-F278)</x:f>
        <x:v>2324.586407999052</x:v>
      </x:c>
      <x:c r="I278" s="40" t="n">
        <x:f>S277</x:f>
        <x:v>419999.99999999994</x:v>
      </x:c>
      <x:c r="J278" s="40" t="n">
        <x:f>I278*'Inputs &amp; Summary'!$B$16</x:f>
        <x:v>2274.9999999999995</x:v>
      </x:c>
      <x:c r="K278" s="40" t="n">
        <x:f>IF(C278=1,J278,K277+J278)</x:f>
        <x:v>22749.999999999996</x:v>
      </x:c>
      <x:c r="L278" s="40" t="n">
        <x:f>IF(C278=12,K278*'Inputs &amp; Summary'!$B$11*'Inputs &amp; Summary'!$B$12,0)</x:f>
        <x:v>0</x:v>
      </x:c>
      <x:c r="M278" s="40" t="n">
        <x:f>MIN(L278,G278)</x:f>
        <x:v>0</x:v>
      </x:c>
      <x:c r="N278" s="40" t="n">
        <x:f>MAX(0,L278-M278)</x:f>
        <x:v>0</x:v>
      </x:c>
      <x:c r="O278" s="40" t="n">
        <x:f>IF(ABS(MAX(0,G278-M278))&lt;0.00000001,0,MAX(0,G278-M278))</x:f>
        <x:v>0</x:v>
      </x:c>
      <x:c r="P278" s="40" t="n">
        <x:f>MAX(0,D278-O278)</x:f>
        <x:v>0</x:v>
      </x:c>
      <x:c r="Q278" s="40" t="n">
        <x:f>MAX(0,'Inputs &amp; Summary'!$B$19*'Inputs &amp; Summary'!$B$4-O278-I278)</x:f>
        <x:v>35000.00000000006</x:v>
      </x:c>
      <x:c r="R278" s="40" t="n">
        <x:f>MIN(P278,Q278)</x:f>
        <x:v>0</x:v>
      </x:c>
      <x:c r="S278" s="40" t="n">
        <x:f>I278+R278</x:f>
        <x:v>419999.99999999994</x:v>
      </x:c>
      <x:c r="T278" s="40" t="n">
        <x:f>U277</x:f>
        <x:v>845098.3010562725</x:v>
      </x:c>
      <x:c r="U278" s="40" t="n">
        <x:f>T278*(1+'Inputs &amp; Summary'!$B$17)+R278+N278+H278</x:f>
        <x:v>851536.4461773484</x:v>
      </x:c>
      <x:c r="V278" s="40" t="n">
        <x:f>Y277</x:f>
        <x:v>59613.26024196137</x:v>
      </x:c>
      <x:c r="W278" s="40" t="n">
        <x:f>V278*'Inputs &amp; Summary'!$B$15</x:f>
        <x:v>221.48231269503466</x:v>
      </x:c>
      <x:c r="X278" s="40" t="n">
        <x:f>IF(V278&lt;=0.00000001,0,MIN('Inputs &amp; Summary'!$B$18,V278+W278))</x:f>
        <x:v>2324.586407999052</x:v>
      </x:c>
      <x:c r="Y278" s="40" t="n">
        <x:f>IF(ABS(MAX(0,V278+W278-X278))&lt;0.00000001,0,MAX(0,V278+W278-X278))</x:f>
        <x:v>57510.156146657355</x:v>
      </x:c>
      <x:c r="Z278" s="40" t="n">
        <x:f>MAX(0,'Inputs &amp; Summary'!$B$18-X278)</x:f>
        <x:v>0</x:v>
      </x:c>
      <x:c r="AA278" s="40" t="n">
        <x:f>AC277</x:f>
        <x:v>407295.82670367876</x:v>
      </x:c>
      <x:c r="AB278" s="40" t="n">
        <x:f>J278</x:f>
        <x:v>2274.9999999999995</x:v>
      </x:c>
      <x:c r="AC278" s="40" t="n">
        <x:f>AA278*(1+'Inputs &amp; Summary'!$B$17)+Z278+AB278</x:f>
        <x:v>411553.3597352121</x:v>
      </x:c>
      <x:c r="AD278" s="40" t="n">
        <x:f>F278+H278+J278</x:f>
        <x:v>4599.5864079990515</x:v>
      </x:c>
      <x:c r="AE278" s="40" t="n">
        <x:f>X278+Z278+AB278</x:f>
        <x:v>4599.5864079990515</x:v>
      </x:c>
      <x:c r="AF278" s="40" t="n">
        <x:f>AD278-AE278</x:f>
        <x:v>0</x:v>
      </x:c>
      <x:c r="AG278" s="42" t="n">
        <x:f>(O278+S278)/'Inputs &amp; Summary'!$B$4</x:f>
        <x:v>0.5999999999999999</x:v>
      </x:c>
      <x:c r="AH278" s="40" t="n">
        <x:f>U278-O278-S278</x:f>
        <x:v>431536.44617734844</x:v>
      </x:c>
      <x:c r="AI278" s="40" t="n">
        <x:f>AC278-Y278</x:f>
        <x:v>354043.20358855475</x:v>
      </x:c>
      <x:c r="AJ278" s="40" t="n">
        <x:f>AH278-AI278</x:f>
        <x:v>77493.24258879368</x:v>
      </x:c>
    </x:row>
    <x:row r="279">
      <x:c r="A279" t="n">
        <x:f>A278+1</x:f>
        <x:v>275</x:v>
      </x:c>
      <x:c r="B279" t="n">
        <x:f>INT((A279-1)/12)+1</x:f>
        <x:v>23</x:v>
      </x:c>
      <x:c r="C279" t="n">
        <x:f>MOD(A279-1,12)+1</x:f>
        <x:v>11</x:v>
      </x:c>
      <x:c r="D279" s="40" t="n">
        <x:f>O278</x:f>
        <x:v>0</x:v>
      </x:c>
      <x:c r="E279" s="40" t="n">
        <x:f>D279*'Inputs &amp; Summary'!$B$15</x:f>
        <x:v>0</x:v>
      </x:c>
      <x:c r="F279" s="40" t="n">
        <x:f>IF(D279&lt;=0.00000001,0,MIN('Inputs &amp; Summary'!$B$18,D279+E279))</x:f>
        <x:v>0</x:v>
      </x:c>
      <x:c r="G279" s="40" t="n">
        <x:f>IF(ABS(MAX(0,D279+E279-F279))&lt;0.00000001,0,MAX(0,D279+E279-F279))</x:f>
        <x:v>0</x:v>
      </x:c>
      <x:c r="H279" s="40" t="n">
        <x:f>MAX(0,'Inputs &amp; Summary'!$B$18-F279)</x:f>
        <x:v>2324.586407999052</x:v>
      </x:c>
      <x:c r="I279" s="40" t="n">
        <x:f>S278</x:f>
        <x:v>419999.99999999994</x:v>
      </x:c>
      <x:c r="J279" s="40" t="n">
        <x:f>I279*'Inputs &amp; Summary'!$B$16</x:f>
        <x:v>2274.9999999999995</x:v>
      </x:c>
      <x:c r="K279" s="40" t="n">
        <x:f>IF(C279=1,J279,K278+J279)</x:f>
        <x:v>25024.999999999996</x:v>
      </x:c>
      <x:c r="L279" s="40" t="n">
        <x:f>IF(C279=12,K279*'Inputs &amp; Summary'!$B$11*'Inputs &amp; Summary'!$B$12,0)</x:f>
        <x:v>0</x:v>
      </x:c>
      <x:c r="M279" s="40" t="n">
        <x:f>MIN(L279,G279)</x:f>
        <x:v>0</x:v>
      </x:c>
      <x:c r="N279" s="40" t="n">
        <x:f>MAX(0,L279-M279)</x:f>
        <x:v>0</x:v>
      </x:c>
      <x:c r="O279" s="40" t="n">
        <x:f>IF(ABS(MAX(0,G279-M279))&lt;0.00000001,0,MAX(0,G279-M279))</x:f>
        <x:v>0</x:v>
      </x:c>
      <x:c r="P279" s="40" t="n">
        <x:f>MAX(0,D279-O279)</x:f>
        <x:v>0</x:v>
      </x:c>
      <x:c r="Q279" s="40" t="n">
        <x:f>MAX(0,'Inputs &amp; Summary'!$B$19*'Inputs &amp; Summary'!$B$4-O279-I279)</x:f>
        <x:v>35000.00000000006</x:v>
      </x:c>
      <x:c r="R279" s="40" t="n">
        <x:f>MIN(P279,Q279)</x:f>
        <x:v>0</x:v>
      </x:c>
      <x:c r="S279" s="40" t="n">
        <x:f>I279+R279</x:f>
        <x:v>419999.99999999994</x:v>
      </x:c>
      <x:c r="T279" s="40" t="n">
        <x:f>U278</x:f>
        <x:v>851536.4461773484</x:v>
      </x:c>
      <x:c r="U279" s="40" t="n">
        <x:f>T279*(1+'Inputs &amp; Summary'!$B$17)+R279+N279+H279</x:f>
        <x:v>858005.9292953482</x:v>
      </x:c>
      <x:c r="V279" s="40" t="n">
        <x:f>Y278</x:f>
        <x:v>57510.156146657355</x:v>
      </x:c>
      <x:c r="W279" s="40" t="n">
        <x:f>V279*'Inputs &amp; Summary'!$B$15</x:f>
        <x:v>213.66860888189447</x:v>
      </x:c>
      <x:c r="X279" s="40" t="n">
        <x:f>IF(V279&lt;=0.00000001,0,MIN('Inputs &amp; Summary'!$B$18,V279+W279))</x:f>
        <x:v>2324.586407999052</x:v>
      </x:c>
      <x:c r="Y279" s="40" t="n">
        <x:f>IF(ABS(MAX(0,V279+W279-X279))&lt;0.00000001,0,MAX(0,V279+W279-X279))</x:f>
        <x:v>55399.2383475402</x:v>
      </x:c>
      <x:c r="Z279" s="40" t="n">
        <x:f>MAX(0,'Inputs &amp; Summary'!$B$18-X279)</x:f>
        <x:v>0</x:v>
      </x:c>
      <x:c r="AA279" s="40" t="n">
        <x:f>AC278</x:f>
        <x:v>411553.3597352121</x:v>
      </x:c>
      <x:c r="AB279" s="40" t="n">
        <x:f>J279</x:f>
        <x:v>2274.9999999999995</x:v>
      </x:c>
      <x:c r="AC279" s="40" t="n">
        <x:f>AA279*(1+'Inputs &amp; Summary'!$B$17)+Z279+AB279</x:f>
        <x:v>415831.6165240601</x:v>
      </x:c>
      <x:c r="AD279" s="40" t="n">
        <x:f>F279+H279+J279</x:f>
        <x:v>4599.5864079990515</x:v>
      </x:c>
      <x:c r="AE279" s="40" t="n">
        <x:f>X279+Z279+AB279</x:f>
        <x:v>4599.5864079990515</x:v>
      </x:c>
      <x:c r="AF279" s="40" t="n">
        <x:f>AD279-AE279</x:f>
        <x:v>0</x:v>
      </x:c>
      <x:c r="AG279" s="42" t="n">
        <x:f>(O279+S279)/'Inputs &amp; Summary'!$B$4</x:f>
        <x:v>0.5999999999999999</x:v>
      </x:c>
      <x:c r="AH279" s="40" t="n">
        <x:f>U279-O279-S279</x:f>
        <x:v>438005.9292953483</x:v>
      </x:c>
      <x:c r="AI279" s="40" t="n">
        <x:f>AC279-Y279</x:f>
        <x:v>360432.3781765199</x:v>
      </x:c>
      <x:c r="AJ279" s="40" t="n">
        <x:f>AH279-AI279</x:f>
        <x:v>77573.55111882841</x:v>
      </x:c>
    </x:row>
    <x:row r="280">
      <x:c r="A280" t="n">
        <x:f>A279+1</x:f>
        <x:v>276</x:v>
      </x:c>
      <x:c r="B280" t="n">
        <x:f>INT((A280-1)/12)+1</x:f>
        <x:v>23</x:v>
      </x:c>
      <x:c r="C280" t="n">
        <x:f>MOD(A280-1,12)+1</x:f>
        <x:v>12</x:v>
      </x:c>
      <x:c r="D280" s="40" t="n">
        <x:f>O279</x:f>
        <x:v>0</x:v>
      </x:c>
      <x:c r="E280" s="40" t="n">
        <x:f>D280*'Inputs &amp; Summary'!$B$15</x:f>
        <x:v>0</x:v>
      </x:c>
      <x:c r="F280" s="40" t="n">
        <x:f>IF(D280&lt;=0.00000001,0,MIN('Inputs &amp; Summary'!$B$18,D280+E280))</x:f>
        <x:v>0</x:v>
      </x:c>
      <x:c r="G280" s="40" t="n">
        <x:f>IF(ABS(MAX(0,D280+E280-F280))&lt;0.00000001,0,MAX(0,D280+E280-F280))</x:f>
        <x:v>0</x:v>
      </x:c>
      <x:c r="H280" s="40" t="n">
        <x:f>MAX(0,'Inputs &amp; Summary'!$B$18-F280)</x:f>
        <x:v>2324.586407999052</x:v>
      </x:c>
      <x:c r="I280" s="40" t="n">
        <x:f>S279</x:f>
        <x:v>419999.99999999994</x:v>
      </x:c>
      <x:c r="J280" s="40" t="n">
        <x:f>I280*'Inputs &amp; Summary'!$B$16</x:f>
        <x:v>2274.9999999999995</x:v>
      </x:c>
      <x:c r="K280" s="40" t="n">
        <x:f>IF(C280=1,J280,K279+J280)</x:f>
        <x:v>27299.999999999996</x:v>
      </x:c>
      <x:c r="L280" s="40" t="n">
        <x:f>IF(C280=12,K280*'Inputs &amp; Summary'!$B$11*'Inputs &amp; Summary'!$B$12,0)</x:f>
        <x:v>9554.999999999998</x:v>
      </x:c>
      <x:c r="M280" s="40" t="n">
        <x:f>MIN(L280,G280)</x:f>
        <x:v>0</x:v>
      </x:c>
      <x:c r="N280" s="40" t="n">
        <x:f>MAX(0,L280-M280)</x:f>
        <x:v>9554.999999999998</x:v>
      </x:c>
      <x:c r="O280" s="40" t="n">
        <x:f>IF(ABS(MAX(0,G280-M280))&lt;0.00000001,0,MAX(0,G280-M280))</x:f>
        <x:v>0</x:v>
      </x:c>
      <x:c r="P280" s="40" t="n">
        <x:f>MAX(0,D280-O280)</x:f>
        <x:v>0</x:v>
      </x:c>
      <x:c r="Q280" s="40" t="n">
        <x:f>MAX(0,'Inputs &amp; Summary'!$B$19*'Inputs &amp; Summary'!$B$4-O280-I280)</x:f>
        <x:v>35000.00000000006</x:v>
      </x:c>
      <x:c r="R280" s="40" t="n">
        <x:f>MIN(P280,Q280)</x:f>
        <x:v>0</x:v>
      </x:c>
      <x:c r="S280" s="40" t="n">
        <x:f>I280+R280</x:f>
        <x:v>419999.99999999994</x:v>
      </x:c>
      <x:c r="T280" s="40" t="n">
        <x:f>U279</x:f>
        <x:v>858005.9292953482</x:v>
      </x:c>
      <x:c r="U280" s="40" t="n">
        <x:f>T280*(1+'Inputs &amp; Summary'!$B$17)+R280+N280+H280</x:f>
        <x:v>874061.9029495566</x:v>
      </x:c>
      <x:c r="V280" s="40" t="n">
        <x:f>Y279</x:f>
        <x:v>55399.2383475402</x:v>
      </x:c>
      <x:c r="W280" s="40" t="n">
        <x:f>V280*'Inputs &amp; Summary'!$B$15</x:f>
        <x:v>205.8258746620256</x:v>
      </x:c>
      <x:c r="X280" s="40" t="n">
        <x:f>IF(V280&lt;=0.00000001,0,MIN('Inputs &amp; Summary'!$B$18,V280+W280))</x:f>
        <x:v>2324.586407999052</x:v>
      </x:c>
      <x:c r="Y280" s="40" t="n">
        <x:f>IF(ABS(MAX(0,V280+W280-X280))&lt;0.00000001,0,MAX(0,V280+W280-X280))</x:f>
        <x:v>53280.47781420318</x:v>
      </x:c>
      <x:c r="Z280" s="40" t="n">
        <x:f>MAX(0,'Inputs &amp; Summary'!$B$18-X280)</x:f>
        <x:v>0</x:v>
      </x:c>
      <x:c r="AA280" s="40" t="n">
        <x:f>AC279</x:f>
        <x:v>415831.6165240601</x:v>
      </x:c>
      <x:c r="AB280" s="40" t="n">
        <x:f>J280</x:f>
        <x:v>2274.9999999999995</x:v>
      </x:c>
      <x:c r="AC280" s="40" t="n">
        <x:f>AA280*(1+'Inputs &amp; Summary'!$B$17)+Z280+AB280</x:f>
        <x:v>420130.69794415927</x:v>
      </x:c>
      <x:c r="AD280" s="40" t="n">
        <x:f>F280+H280+J280</x:f>
        <x:v>4599.5864079990515</x:v>
      </x:c>
      <x:c r="AE280" s="40" t="n">
        <x:f>X280+Z280+AB280</x:f>
        <x:v>4599.5864079990515</x:v>
      </x:c>
      <x:c r="AF280" s="40" t="n">
        <x:f>AD280-AE280</x:f>
        <x:v>0</x:v>
      </x:c>
      <x:c r="AG280" s="42" t="n">
        <x:f>(O280+S280)/'Inputs &amp; Summary'!$B$4</x:f>
        <x:v>0.5999999999999999</x:v>
      </x:c>
      <x:c r="AH280" s="40" t="n">
        <x:f>U280-O280-S280</x:f>
        <x:v>454061.90294955665</x:v>
      </x:c>
      <x:c r="AI280" s="40" t="n">
        <x:f>AC280-Y280</x:f>
        <x:v>366850.2201299561</x:v>
      </x:c>
      <x:c r="AJ280" s="40" t="n">
        <x:f>AH280-AI280</x:f>
        <x:v>87211.68281960057</x:v>
      </x:c>
    </x:row>
    <x:row r="281">
      <x:c r="A281" t="n">
        <x:f>A280+1</x:f>
        <x:v>277</x:v>
      </x:c>
      <x:c r="B281" t="n">
        <x:f>INT((A281-1)/12)+1</x:f>
        <x:v>24</x:v>
      </x:c>
      <x:c r="C281" t="n">
        <x:f>MOD(A281-1,12)+1</x:f>
        <x:v>1</x:v>
      </x:c>
      <x:c r="D281" s="40" t="n">
        <x:f>O280</x:f>
        <x:v>0</x:v>
      </x:c>
      <x:c r="E281" s="40" t="n">
        <x:f>D281*'Inputs &amp; Summary'!$B$15</x:f>
        <x:v>0</x:v>
      </x:c>
      <x:c r="F281" s="40" t="n">
        <x:f>IF(D281&lt;=0.00000001,0,MIN('Inputs &amp; Summary'!$B$18,D281+E281))</x:f>
        <x:v>0</x:v>
      </x:c>
      <x:c r="G281" s="40" t="n">
        <x:f>IF(ABS(MAX(0,D281+E281-F281))&lt;0.00000001,0,MAX(0,D281+E281-F281))</x:f>
        <x:v>0</x:v>
      </x:c>
      <x:c r="H281" s="40" t="n">
        <x:f>MAX(0,'Inputs &amp; Summary'!$B$18-F281)</x:f>
        <x:v>2324.586407999052</x:v>
      </x:c>
      <x:c r="I281" s="40" t="n">
        <x:f>S280</x:f>
        <x:v>419999.99999999994</x:v>
      </x:c>
      <x:c r="J281" s="40" t="n">
        <x:f>I281*'Inputs &amp; Summary'!$B$16</x:f>
        <x:v>2274.9999999999995</x:v>
      </x:c>
      <x:c r="K281" s="40" t="n">
        <x:f>IF(C281=1,J281,K280+J281)</x:f>
        <x:v>2274.9999999999995</x:v>
      </x:c>
      <x:c r="L281" s="40" t="n">
        <x:f>IF(C281=12,K281*'Inputs &amp; Summary'!$B$11*'Inputs &amp; Summary'!$B$12,0)</x:f>
        <x:v>0</x:v>
      </x:c>
      <x:c r="M281" s="40" t="n">
        <x:f>MIN(L281,G281)</x:f>
        <x:v>0</x:v>
      </x:c>
      <x:c r="N281" s="40" t="n">
        <x:f>MAX(0,L281-M281)</x:f>
        <x:v>0</x:v>
      </x:c>
      <x:c r="O281" s="40" t="n">
        <x:f>IF(ABS(MAX(0,G281-M281))&lt;0.00000001,0,MAX(0,G281-M281))</x:f>
        <x:v>0</x:v>
      </x:c>
      <x:c r="P281" s="40" t="n">
        <x:f>MAX(0,D281-O281)</x:f>
        <x:v>0</x:v>
      </x:c>
      <x:c r="Q281" s="40" t="n">
        <x:f>MAX(0,'Inputs &amp; Summary'!$B$19*'Inputs &amp; Summary'!$B$4-O281-I281)</x:f>
        <x:v>35000.00000000006</x:v>
      </x:c>
      <x:c r="R281" s="40" t="n">
        <x:f>MIN(P281,Q281)</x:f>
        <x:v>0</x:v>
      </x:c>
      <x:c r="S281" s="40" t="n">
        <x:f>I281+R281</x:f>
        <x:v>419999.99999999994</x:v>
      </x:c>
      <x:c r="T281" s="40" t="n">
        <x:f>U280</x:f>
        <x:v>874061.9029495566</x:v>
      </x:c>
      <x:c r="U281" s="40" t="n">
        <x:f>T281*(1+'Inputs &amp; Summary'!$B$17)+R281+N281+H281</x:f>
        <x:v>880641.0298674026</x:v>
      </x:c>
      <x:c r="V281" s="40" t="n">
        <x:f>Y280</x:f>
        <x:v>53280.47781420318</x:v>
      </x:c>
      <x:c r="W281" s="40" t="n">
        <x:f>V281*'Inputs &amp; Summary'!$B$15</x:f>
        <x:v>197.95400217818963</x:v>
      </x:c>
      <x:c r="X281" s="40" t="n">
        <x:f>IF(V281&lt;=0.00000001,0,MIN('Inputs &amp; Summary'!$B$18,V281+W281))</x:f>
        <x:v>2324.586407999052</x:v>
      </x:c>
      <x:c r="Y281" s="40" t="n">
        <x:f>IF(ABS(MAX(0,V281+W281-X281))&lt;0.00000001,0,MAX(0,V281+W281-X281))</x:f>
        <x:v>51153.845408382316</x:v>
      </x:c>
      <x:c r="Z281" s="40" t="n">
        <x:f>MAX(0,'Inputs &amp; Summary'!$B$18-X281)</x:f>
        <x:v>0</x:v>
      </x:c>
      <x:c r="AA281" s="40" t="n">
        <x:f>AC280</x:f>
        <x:v>420130.69794415927</x:v>
      </x:c>
      <x:c r="AB281" s="40" t="n">
        <x:f>J281</x:f>
        <x:v>2274.9999999999995</x:v>
      </x:c>
      <x:c r="AC281" s="40" t="n">
        <x:f>AA281*(1+'Inputs &amp; Summary'!$B$17)+Z281+AB281</x:f>
        <x:v>424450.7053604553</x:v>
      </x:c>
      <x:c r="AD281" s="40" t="n">
        <x:f>F281+H281+J281</x:f>
        <x:v>4599.5864079990515</x:v>
      </x:c>
      <x:c r="AE281" s="40" t="n">
        <x:f>X281+Z281+AB281</x:f>
        <x:v>4599.5864079990515</x:v>
      </x:c>
      <x:c r="AF281" s="40" t="n">
        <x:f>AD281-AE281</x:f>
        <x:v>0</x:v>
      </x:c>
      <x:c r="AG281" s="42" t="n">
        <x:f>(O281+S281)/'Inputs &amp; Summary'!$B$4</x:f>
        <x:v>0.5999999999999999</x:v>
      </x:c>
      <x:c r="AH281" s="40" t="n">
        <x:f>U281-O281-S281</x:f>
        <x:v>460641.0298674027</x:v>
      </x:c>
      <x:c r="AI281" s="40" t="n">
        <x:f>AC281-Y281</x:f>
        <x:v>373296.859952073</x:v>
      </x:c>
      <x:c r="AJ281" s="40" t="n">
        <x:f>AH281-AI281</x:f>
        <x:v>87344.16991532966</x:v>
      </x:c>
    </x:row>
    <x:row r="282">
      <x:c r="A282" t="n">
        <x:f>A281+1</x:f>
        <x:v>278</x:v>
      </x:c>
      <x:c r="B282" t="n">
        <x:f>INT((A282-1)/12)+1</x:f>
        <x:v>24</x:v>
      </x:c>
      <x:c r="C282" t="n">
        <x:f>MOD(A282-1,12)+1</x:f>
        <x:v>2</x:v>
      </x:c>
      <x:c r="D282" s="40" t="n">
        <x:f>O281</x:f>
        <x:v>0</x:v>
      </x:c>
      <x:c r="E282" s="40" t="n">
        <x:f>D282*'Inputs &amp; Summary'!$B$15</x:f>
        <x:v>0</x:v>
      </x:c>
      <x:c r="F282" s="40" t="n">
        <x:f>IF(D282&lt;=0.00000001,0,MIN('Inputs &amp; Summary'!$B$18,D282+E282))</x:f>
        <x:v>0</x:v>
      </x:c>
      <x:c r="G282" s="40" t="n">
        <x:f>IF(ABS(MAX(0,D282+E282-F282))&lt;0.00000001,0,MAX(0,D282+E282-F282))</x:f>
        <x:v>0</x:v>
      </x:c>
      <x:c r="H282" s="40" t="n">
        <x:f>MAX(0,'Inputs &amp; Summary'!$B$18-F282)</x:f>
        <x:v>2324.586407999052</x:v>
      </x:c>
      <x:c r="I282" s="40" t="n">
        <x:f>S281</x:f>
        <x:v>419999.99999999994</x:v>
      </x:c>
      <x:c r="J282" s="40" t="n">
        <x:f>I282*'Inputs &amp; Summary'!$B$16</x:f>
        <x:v>2274.9999999999995</x:v>
      </x:c>
      <x:c r="K282" s="40" t="n">
        <x:f>IF(C282=1,J282,K281+J282)</x:f>
        <x:v>4549.999999999999</x:v>
      </x:c>
      <x:c r="L282" s="40" t="n">
        <x:f>IF(C282=12,K282*'Inputs &amp; Summary'!$B$11*'Inputs &amp; Summary'!$B$12,0)</x:f>
        <x:v>0</x:v>
      </x:c>
      <x:c r="M282" s="40" t="n">
        <x:f>MIN(L282,G282)</x:f>
        <x:v>0</x:v>
      </x:c>
      <x:c r="N282" s="40" t="n">
        <x:f>MAX(0,L282-M282)</x:f>
        <x:v>0</x:v>
      </x:c>
      <x:c r="O282" s="40" t="n">
        <x:f>IF(ABS(MAX(0,G282-M282))&lt;0.00000001,0,MAX(0,G282-M282))</x:f>
        <x:v>0</x:v>
      </x:c>
      <x:c r="P282" s="40" t="n">
        <x:f>MAX(0,D282-O282)</x:f>
        <x:v>0</x:v>
      </x:c>
      <x:c r="Q282" s="40" t="n">
        <x:f>MAX(0,'Inputs &amp; Summary'!$B$19*'Inputs &amp; Summary'!$B$4-O282-I282)</x:f>
        <x:v>35000.00000000006</x:v>
      </x:c>
      <x:c r="R282" s="40" t="n">
        <x:f>MIN(P282,Q282)</x:f>
        <x:v>0</x:v>
      </x:c>
      <x:c r="S282" s="40" t="n">
        <x:f>I282+R282</x:f>
        <x:v>419999.99999999994</x:v>
      </x:c>
      <x:c r="T282" s="40" t="n">
        <x:f>U281</x:f>
        <x:v>880641.0298674026</x:v>
      </x:c>
      <x:c r="U282" s="40" t="n">
        <x:f>T282*(1+'Inputs &amp; Summary'!$B$17)+R282+N282+H282</x:f>
        <x:v>887252.181018197</x:v>
      </x:c>
      <x:c r="V282" s="40" t="n">
        <x:f>Y281</x:f>
        <x:v>51153.845408382316</x:v>
      </x:c>
      <x:c r="W282" s="40" t="n">
        <x:f>V282*'Inputs &amp; Summary'!$B$15</x:f>
        <x:v>190.05288317242406</x:v>
      </x:c>
      <x:c r="X282" s="40" t="n">
        <x:f>IF(V282&lt;=0.00000001,0,MIN('Inputs &amp; Summary'!$B$18,V282+W282))</x:f>
        <x:v>2324.586407999052</x:v>
      </x:c>
      <x:c r="Y282" s="40" t="n">
        <x:f>IF(ABS(MAX(0,V282+W282-X282))&lt;0.00000001,0,MAX(0,V282+W282-X282))</x:f>
        <x:v>49019.31188355569</x:v>
      </x:c>
      <x:c r="Z282" s="40" t="n">
        <x:f>MAX(0,'Inputs &amp; Summary'!$B$18-X282)</x:f>
        <x:v>0</x:v>
      </x:c>
      <x:c r="AA282" s="40" t="n">
        <x:f>AC281</x:f>
        <x:v>424450.7053604553</x:v>
      </x:c>
      <x:c r="AB282" s="40" t="n">
        <x:f>J282</x:f>
        <x:v>2274.9999999999995</x:v>
      </x:c>
      <x:c r="AC282" s="40" t="n">
        <x:f>AA282*(1+'Inputs &amp; Summary'!$B$17)+Z282+AB282</x:f>
        <x:v>428791.74063129287</x:v>
      </x:c>
      <x:c r="AD282" s="40" t="n">
        <x:f>F282+H282+J282</x:f>
        <x:v>4599.5864079990515</x:v>
      </x:c>
      <x:c r="AE282" s="40" t="n">
        <x:f>X282+Z282+AB282</x:f>
        <x:v>4599.5864079990515</x:v>
      </x:c>
      <x:c r="AF282" s="40" t="n">
        <x:f>AD282-AE282</x:f>
        <x:v>0</x:v>
      </x:c>
      <x:c r="AG282" s="42" t="n">
        <x:f>(O282+S282)/'Inputs &amp; Summary'!$B$4</x:f>
        <x:v>0.5999999999999999</x:v>
      </x:c>
      <x:c r="AH282" s="40" t="n">
        <x:f>U282-O282-S282</x:f>
        <x:v>467252.18101819704</x:v>
      </x:c>
      <x:c r="AI282" s="40" t="n">
        <x:f>AC282-Y282</x:f>
        <x:v>379772.4287477372</x:v>
      </x:c>
      <x:c r="AJ282" s="40" t="n">
        <x:f>AH282-AI282</x:f>
        <x:v>87479.75227045984</x:v>
      </x:c>
    </x:row>
    <x:row r="283">
      <x:c r="A283" t="n">
        <x:f>A282+1</x:f>
        <x:v>279</x:v>
      </x:c>
      <x:c r="B283" t="n">
        <x:f>INT((A283-1)/12)+1</x:f>
        <x:v>24</x:v>
      </x:c>
      <x:c r="C283" t="n">
        <x:f>MOD(A283-1,12)+1</x:f>
        <x:v>3</x:v>
      </x:c>
      <x:c r="D283" s="40" t="n">
        <x:f>O282</x:f>
        <x:v>0</x:v>
      </x:c>
      <x:c r="E283" s="40" t="n">
        <x:f>D283*'Inputs &amp; Summary'!$B$15</x:f>
        <x:v>0</x:v>
      </x:c>
      <x:c r="F283" s="40" t="n">
        <x:f>IF(D283&lt;=0.00000001,0,MIN('Inputs &amp; Summary'!$B$18,D283+E283))</x:f>
        <x:v>0</x:v>
      </x:c>
      <x:c r="G283" s="40" t="n">
        <x:f>IF(ABS(MAX(0,D283+E283-F283))&lt;0.00000001,0,MAX(0,D283+E283-F283))</x:f>
        <x:v>0</x:v>
      </x:c>
      <x:c r="H283" s="40" t="n">
        <x:f>MAX(0,'Inputs &amp; Summary'!$B$18-F283)</x:f>
        <x:v>2324.586407999052</x:v>
      </x:c>
      <x:c r="I283" s="40" t="n">
        <x:f>S282</x:f>
        <x:v>419999.99999999994</x:v>
      </x:c>
      <x:c r="J283" s="40" t="n">
        <x:f>I283*'Inputs &amp; Summary'!$B$16</x:f>
        <x:v>2274.9999999999995</x:v>
      </x:c>
      <x:c r="K283" s="40" t="n">
        <x:f>IF(C283=1,J283,K282+J283)</x:f>
        <x:v>6824.999999999998</x:v>
      </x:c>
      <x:c r="L283" s="40" t="n">
        <x:f>IF(C283=12,K283*'Inputs &amp; Summary'!$B$11*'Inputs &amp; Summary'!$B$12,0)</x:f>
        <x:v>0</x:v>
      </x:c>
      <x:c r="M283" s="40" t="n">
        <x:f>MIN(L283,G283)</x:f>
        <x:v>0</x:v>
      </x:c>
      <x:c r="N283" s="40" t="n">
        <x:f>MAX(0,L283-M283)</x:f>
        <x:v>0</x:v>
      </x:c>
      <x:c r="O283" s="40" t="n">
        <x:f>IF(ABS(MAX(0,G283-M283))&lt;0.00000001,0,MAX(0,G283-M283))</x:f>
        <x:v>0</x:v>
      </x:c>
      <x:c r="P283" s="40" t="n">
        <x:f>MAX(0,D283-O283)</x:f>
        <x:v>0</x:v>
      </x:c>
      <x:c r="Q283" s="40" t="n">
        <x:f>MAX(0,'Inputs &amp; Summary'!$B$19*'Inputs &amp; Summary'!$B$4-O283-I283)</x:f>
        <x:v>35000.00000000006</x:v>
      </x:c>
      <x:c r="R283" s="40" t="n">
        <x:f>MIN(P283,Q283)</x:f>
        <x:v>0</x:v>
      </x:c>
      <x:c r="S283" s="40" t="n">
        <x:f>I283+R283</x:f>
        <x:v>419999.99999999994</x:v>
      </x:c>
      <x:c r="T283" s="40" t="n">
        <x:f>U282</x:f>
        <x:v>887252.181018197</x:v>
      </x:c>
      <x:c r="U283" s="40" t="n">
        <x:f>T283*(1+'Inputs &amp; Summary'!$B$17)+R283+N283+H283</x:f>
        <x:v>893895.512281513</x:v>
      </x:c>
      <x:c r="V283" s="40" t="n">
        <x:f>Y282</x:f>
        <x:v>49019.31188355569</x:v>
      </x:c>
      <x:c r="W283" s="40" t="n">
        <x:f>V283*'Inputs &amp; Summary'!$B$15</x:f>
        <x:v>182.1224089845535</x:v>
      </x:c>
      <x:c r="X283" s="40" t="n">
        <x:f>IF(V283&lt;=0.00000001,0,MIN('Inputs &amp; Summary'!$B$18,V283+W283))</x:f>
        <x:v>2324.586407999052</x:v>
      </x:c>
      <x:c r="Y283" s="40" t="n">
        <x:f>IF(ABS(MAX(0,V283+W283-X283))&lt;0.00000001,0,MAX(0,V283+W283-X283))</x:f>
        <x:v>46876.847884541196</x:v>
      </x:c>
      <x:c r="Z283" s="40" t="n">
        <x:f>MAX(0,'Inputs &amp; Summary'!$B$18-X283)</x:f>
        <x:v>0</x:v>
      </x:c>
      <x:c r="AA283" s="40" t="n">
        <x:f>AC282</x:f>
        <x:v>428791.74063129287</x:v>
      </x:c>
      <x:c r="AB283" s="40" t="n">
        <x:f>J283</x:f>
        <x:v>2274.9999999999995</x:v>
      </x:c>
      <x:c r="AC283" s="40" t="n">
        <x:f>AA283*(1+'Inputs &amp; Summary'!$B$17)+Z283+AB283</x:f>
        <x:v>433153.90611081716</x:v>
      </x:c>
      <x:c r="AD283" s="40" t="n">
        <x:f>F283+H283+J283</x:f>
        <x:v>4599.5864079990515</x:v>
      </x:c>
      <x:c r="AE283" s="40" t="n">
        <x:f>X283+Z283+AB283</x:f>
        <x:v>4599.5864079990515</x:v>
      </x:c>
      <x:c r="AF283" s="40" t="n">
        <x:f>AD283-AE283</x:f>
        <x:v>0</x:v>
      </x:c>
      <x:c r="AG283" s="42" t="n">
        <x:f>(O283+S283)/'Inputs &amp; Summary'!$B$4</x:f>
        <x:v>0.5999999999999999</x:v>
      </x:c>
      <x:c r="AH283" s="40" t="n">
        <x:f>U283-O283-S283</x:f>
        <x:v>473895.512281513</x:v>
      </x:c>
      <x:c r="AI283" s="40" t="n">
        <x:f>AC283-Y283</x:f>
        <x:v>386277.05822627596</x:v>
      </x:c>
      <x:c r="AJ283" s="40" t="n">
        <x:f>AH283-AI283</x:f>
        <x:v>87618.45405523706</x:v>
      </x:c>
    </x:row>
    <x:row r="284">
      <x:c r="A284" t="n">
        <x:f>A283+1</x:f>
        <x:v>280</x:v>
      </x:c>
      <x:c r="B284" t="n">
        <x:f>INT((A284-1)/12)+1</x:f>
        <x:v>24</x:v>
      </x:c>
      <x:c r="C284" t="n">
        <x:f>MOD(A284-1,12)+1</x:f>
        <x:v>4</x:v>
      </x:c>
      <x:c r="D284" s="40" t="n">
        <x:f>O283</x:f>
        <x:v>0</x:v>
      </x:c>
      <x:c r="E284" s="40" t="n">
        <x:f>D284*'Inputs &amp; Summary'!$B$15</x:f>
        <x:v>0</x:v>
      </x:c>
      <x:c r="F284" s="40" t="n">
        <x:f>IF(D284&lt;=0.00000001,0,MIN('Inputs &amp; Summary'!$B$18,D284+E284))</x:f>
        <x:v>0</x:v>
      </x:c>
      <x:c r="G284" s="40" t="n">
        <x:f>IF(ABS(MAX(0,D284+E284-F284))&lt;0.00000001,0,MAX(0,D284+E284-F284))</x:f>
        <x:v>0</x:v>
      </x:c>
      <x:c r="H284" s="40" t="n">
        <x:f>MAX(0,'Inputs &amp; Summary'!$B$18-F284)</x:f>
        <x:v>2324.586407999052</x:v>
      </x:c>
      <x:c r="I284" s="40" t="n">
        <x:f>S283</x:f>
        <x:v>419999.99999999994</x:v>
      </x:c>
      <x:c r="J284" s="40" t="n">
        <x:f>I284*'Inputs &amp; Summary'!$B$16</x:f>
        <x:v>2274.9999999999995</x:v>
      </x:c>
      <x:c r="K284" s="40" t="n">
        <x:f>IF(C284=1,J284,K283+J284)</x:f>
        <x:v>9099.999999999998</x:v>
      </x:c>
      <x:c r="L284" s="40" t="n">
        <x:f>IF(C284=12,K284*'Inputs &amp; Summary'!$B$11*'Inputs &amp; Summary'!$B$12,0)</x:f>
        <x:v>0</x:v>
      </x:c>
      <x:c r="M284" s="40" t="n">
        <x:f>MIN(L284,G284)</x:f>
        <x:v>0</x:v>
      </x:c>
      <x:c r="N284" s="40" t="n">
        <x:f>MAX(0,L284-M284)</x:f>
        <x:v>0</x:v>
      </x:c>
      <x:c r="O284" s="40" t="n">
        <x:f>IF(ABS(MAX(0,G284-M284))&lt;0.00000001,0,MAX(0,G284-M284))</x:f>
        <x:v>0</x:v>
      </x:c>
      <x:c r="P284" s="40" t="n">
        <x:f>MAX(0,D284-O284)</x:f>
        <x:v>0</x:v>
      </x:c>
      <x:c r="Q284" s="40" t="n">
        <x:f>MAX(0,'Inputs &amp; Summary'!$B$19*'Inputs &amp; Summary'!$B$4-O284-I284)</x:f>
        <x:v>35000.00000000006</x:v>
      </x:c>
      <x:c r="R284" s="40" t="n">
        <x:f>MIN(P284,Q284)</x:f>
        <x:v>0</x:v>
      </x:c>
      <x:c r="S284" s="40" t="n">
        <x:f>I284+R284</x:f>
        <x:v>419999.99999999994</x:v>
      </x:c>
      <x:c r="T284" s="40" t="n">
        <x:f>U283</x:f>
        <x:v>893895.512281513</x:v>
      </x:c>
      <x:c r="U284" s="40" t="n">
        <x:f>T284*(1+'Inputs &amp; Summary'!$B$17)+R284+N284+H284</x:f>
        <x:v>900571.1802956755</x:v>
      </x:c>
      <x:c r="V284" s="40" t="n">
        <x:f>Y283</x:f>
        <x:v>46876.847884541196</x:v>
      </x:c>
      <x:c r="W284" s="40" t="n">
        <x:f>V284*'Inputs &amp; Summary'!$B$15</x:f>
        <x:v>174.16247055069522</x:v>
      </x:c>
      <x:c r="X284" s="40" t="n">
        <x:f>IF(V284&lt;=0.00000001,0,MIN('Inputs &amp; Summary'!$B$18,V284+W284))</x:f>
        <x:v>2324.586407999052</x:v>
      </x:c>
      <x:c r="Y284" s="40" t="n">
        <x:f>IF(ABS(MAX(0,V284+W284-X284))&lt;0.00000001,0,MAX(0,V284+W284-X284))</x:f>
        <x:v>44726.423947092844</x:v>
      </x:c>
      <x:c r="Z284" s="40" t="n">
        <x:f>MAX(0,'Inputs &amp; Summary'!$B$18-X284)</x:f>
        <x:v>0</x:v>
      </x:c>
      <x:c r="AA284" s="40" t="n">
        <x:f>AC283</x:f>
        <x:v>433153.90611081716</x:v>
      </x:c>
      <x:c r="AB284" s="40" t="n">
        <x:f>J284</x:f>
        <x:v>2274.9999999999995</x:v>
      </x:c>
      <x:c r="AC284" s="40" t="n">
        <x:f>AA284*(1+'Inputs &amp; Summary'!$B$17)+Z284+AB284</x:f>
        <x:v>437537.30465138744</x:v>
      </x:c>
      <x:c r="AD284" s="40" t="n">
        <x:f>F284+H284+J284</x:f>
        <x:v>4599.5864079990515</x:v>
      </x:c>
      <x:c r="AE284" s="40" t="n">
        <x:f>X284+Z284+AB284</x:f>
        <x:v>4599.5864079990515</x:v>
      </x:c>
      <x:c r="AF284" s="40" t="n">
        <x:f>AD284-AE284</x:f>
        <x:v>0</x:v>
      </x:c>
      <x:c r="AG284" s="42" t="n">
        <x:f>(O284+S284)/'Inputs &amp; Summary'!$B$4</x:f>
        <x:v>0.5999999999999999</x:v>
      </x:c>
      <x:c r="AH284" s="40" t="n">
        <x:f>U284-O284-S284</x:f>
        <x:v>480571.1802956756</x:v>
      </x:c>
      <x:c r="AI284" s="40" t="n">
        <x:f>AC284-Y284</x:f>
        <x:v>392810.8807042946</x:v>
      </x:c>
      <x:c r="AJ284" s="40" t="n">
        <x:f>AH284-AI284</x:f>
        <x:v>87760.29959138099</x:v>
      </x:c>
    </x:row>
    <x:row r="285">
      <x:c r="A285" t="n">
        <x:f>A284+1</x:f>
        <x:v>281</x:v>
      </x:c>
      <x:c r="B285" t="n">
        <x:f>INT((A285-1)/12)+1</x:f>
        <x:v>24</x:v>
      </x:c>
      <x:c r="C285" t="n">
        <x:f>MOD(A285-1,12)+1</x:f>
        <x:v>5</x:v>
      </x:c>
      <x:c r="D285" s="40" t="n">
        <x:f>O284</x:f>
        <x:v>0</x:v>
      </x:c>
      <x:c r="E285" s="40" t="n">
        <x:f>D285*'Inputs &amp; Summary'!$B$15</x:f>
        <x:v>0</x:v>
      </x:c>
      <x:c r="F285" s="40" t="n">
        <x:f>IF(D285&lt;=0.00000001,0,MIN('Inputs &amp; Summary'!$B$18,D285+E285))</x:f>
        <x:v>0</x:v>
      </x:c>
      <x:c r="G285" s="40" t="n">
        <x:f>IF(ABS(MAX(0,D285+E285-F285))&lt;0.00000001,0,MAX(0,D285+E285-F285))</x:f>
        <x:v>0</x:v>
      </x:c>
      <x:c r="H285" s="40" t="n">
        <x:f>MAX(0,'Inputs &amp; Summary'!$B$18-F285)</x:f>
        <x:v>2324.586407999052</x:v>
      </x:c>
      <x:c r="I285" s="40" t="n">
        <x:f>S284</x:f>
        <x:v>419999.99999999994</x:v>
      </x:c>
      <x:c r="J285" s="40" t="n">
        <x:f>I285*'Inputs &amp; Summary'!$B$16</x:f>
        <x:v>2274.9999999999995</x:v>
      </x:c>
      <x:c r="K285" s="40" t="n">
        <x:f>IF(C285=1,J285,K284+J285)</x:f>
        <x:v>11374.999999999998</x:v>
      </x:c>
      <x:c r="L285" s="40" t="n">
        <x:f>IF(C285=12,K285*'Inputs &amp; Summary'!$B$11*'Inputs &amp; Summary'!$B$12,0)</x:f>
        <x:v>0</x:v>
      </x:c>
      <x:c r="M285" s="40" t="n">
        <x:f>MIN(L285,G285)</x:f>
        <x:v>0</x:v>
      </x:c>
      <x:c r="N285" s="40" t="n">
        <x:f>MAX(0,L285-M285)</x:f>
        <x:v>0</x:v>
      </x:c>
      <x:c r="O285" s="40" t="n">
        <x:f>IF(ABS(MAX(0,G285-M285))&lt;0.00000001,0,MAX(0,G285-M285))</x:f>
        <x:v>0</x:v>
      </x:c>
      <x:c r="P285" s="40" t="n">
        <x:f>MAX(0,D285-O285)</x:f>
        <x:v>0</x:v>
      </x:c>
      <x:c r="Q285" s="40" t="n">
        <x:f>MAX(0,'Inputs &amp; Summary'!$B$19*'Inputs &amp; Summary'!$B$4-O285-I285)</x:f>
        <x:v>35000.00000000006</x:v>
      </x:c>
      <x:c r="R285" s="40" t="n">
        <x:f>MIN(P285,Q285)</x:f>
        <x:v>0</x:v>
      </x:c>
      <x:c r="S285" s="40" t="n">
        <x:f>I285+R285</x:f>
        <x:v>419999.99999999994</x:v>
      </x:c>
      <x:c r="T285" s="40" t="n">
        <x:f>U284</x:f>
        <x:v>900571.1802956755</x:v>
      </x:c>
      <x:c r="U285" s="40" t="n">
        <x:f>T285*(1+'Inputs &amp; Summary'!$B$17)+R285+N285+H285</x:f>
        <x:v>907279.3424614544</x:v>
      </x:c>
      <x:c r="V285" s="40" t="n">
        <x:f>Y284</x:f>
        <x:v>44726.423947092844</x:v>
      </x:c>
      <x:c r="W285" s="40" t="n">
        <x:f>V285*'Inputs &amp; Summary'!$B$15</x:f>
        <x:v>166.1729584017594</x:v>
      </x:c>
      <x:c r="X285" s="40" t="n">
        <x:f>IF(V285&lt;=0.00000001,0,MIN('Inputs &amp; Summary'!$B$18,V285+W285))</x:f>
        <x:v>2324.586407999052</x:v>
      </x:c>
      <x:c r="Y285" s="40" t="n">
        <x:f>IF(ABS(MAX(0,V285+W285-X285))&lt;0.00000001,0,MAX(0,V285+W285-X285))</x:f>
        <x:v>42568.010497495554</x:v>
      </x:c>
      <x:c r="Z285" s="40" t="n">
        <x:f>MAX(0,'Inputs &amp; Summary'!$B$18-X285)</x:f>
        <x:v>0</x:v>
      </x:c>
      <x:c r="AA285" s="40" t="n">
        <x:f>AC284</x:f>
        <x:v>437537.30465138744</x:v>
      </x:c>
      <x:c r="AB285" s="40" t="n">
        <x:f>J285</x:f>
        <x:v>2274.9999999999995</x:v>
      </x:c>
      <x:c r="AC285" s="40" t="n">
        <x:f>AA285*(1+'Inputs &amp; Summary'!$B$17)+Z285+AB285</x:f>
        <x:v>441942.039606002</x:v>
      </x:c>
      <x:c r="AD285" s="40" t="n">
        <x:f>F285+H285+J285</x:f>
        <x:v>4599.5864079990515</x:v>
      </x:c>
      <x:c r="AE285" s="40" t="n">
        <x:f>X285+Z285+AB285</x:f>
        <x:v>4599.5864079990515</x:v>
      </x:c>
      <x:c r="AF285" s="40" t="n">
        <x:f>AD285-AE285</x:f>
        <x:v>0</x:v>
      </x:c>
      <x:c r="AG285" s="42" t="n">
        <x:f>(O285+S285)/'Inputs &amp; Summary'!$B$4</x:f>
        <x:v>0.5999999999999999</x:v>
      </x:c>
      <x:c r="AH285" s="40" t="n">
        <x:f>U285-O285-S285</x:f>
        <x:v>487279.3424614545</x:v>
      </x:c>
      <x:c r="AI285" s="40" t="n">
        <x:f>AC285-Y285</x:f>
        <x:v>399374.02910850645</x:v>
      </x:c>
      <x:c r="AJ285" s="40" t="n">
        <x:f>AH285-AI285</x:f>
        <x:v>87905.31335294805</x:v>
      </x:c>
    </x:row>
    <x:row r="286">
      <x:c r="A286" t="n">
        <x:f>A285+1</x:f>
        <x:v>282</x:v>
      </x:c>
      <x:c r="B286" t="n">
        <x:f>INT((A286-1)/12)+1</x:f>
        <x:v>24</x:v>
      </x:c>
      <x:c r="C286" t="n">
        <x:f>MOD(A286-1,12)+1</x:f>
        <x:v>6</x:v>
      </x:c>
      <x:c r="D286" s="40" t="n">
        <x:f>O285</x:f>
        <x:v>0</x:v>
      </x:c>
      <x:c r="E286" s="40" t="n">
        <x:f>D286*'Inputs &amp; Summary'!$B$15</x:f>
        <x:v>0</x:v>
      </x:c>
      <x:c r="F286" s="40" t="n">
        <x:f>IF(D286&lt;=0.00000001,0,MIN('Inputs &amp; Summary'!$B$18,D286+E286))</x:f>
        <x:v>0</x:v>
      </x:c>
      <x:c r="G286" s="40" t="n">
        <x:f>IF(ABS(MAX(0,D286+E286-F286))&lt;0.00000001,0,MAX(0,D286+E286-F286))</x:f>
        <x:v>0</x:v>
      </x:c>
      <x:c r="H286" s="40" t="n">
        <x:f>MAX(0,'Inputs &amp; Summary'!$B$18-F286)</x:f>
        <x:v>2324.586407999052</x:v>
      </x:c>
      <x:c r="I286" s="40" t="n">
        <x:f>S285</x:f>
        <x:v>419999.99999999994</x:v>
      </x:c>
      <x:c r="J286" s="40" t="n">
        <x:f>I286*'Inputs &amp; Summary'!$B$16</x:f>
        <x:v>2274.9999999999995</x:v>
      </x:c>
      <x:c r="K286" s="40" t="n">
        <x:f>IF(C286=1,J286,K285+J286)</x:f>
        <x:v>13649.999999999998</x:v>
      </x:c>
      <x:c r="L286" s="40" t="n">
        <x:f>IF(C286=12,K286*'Inputs &amp; Summary'!$B$11*'Inputs &amp; Summary'!$B$12,0)</x:f>
        <x:v>0</x:v>
      </x:c>
      <x:c r="M286" s="40" t="n">
        <x:f>MIN(L286,G286)</x:f>
        <x:v>0</x:v>
      </x:c>
      <x:c r="N286" s="40" t="n">
        <x:f>MAX(0,L286-M286)</x:f>
        <x:v>0</x:v>
      </x:c>
      <x:c r="O286" s="40" t="n">
        <x:f>IF(ABS(MAX(0,G286-M286))&lt;0.00000001,0,MAX(0,G286-M286))</x:f>
        <x:v>0</x:v>
      </x:c>
      <x:c r="P286" s="40" t="n">
        <x:f>MAX(0,D286-O286)</x:f>
        <x:v>0</x:v>
      </x:c>
      <x:c r="Q286" s="40" t="n">
        <x:f>MAX(0,'Inputs &amp; Summary'!$B$19*'Inputs &amp; Summary'!$B$4-O286-I286)</x:f>
        <x:v>35000.00000000006</x:v>
      </x:c>
      <x:c r="R286" s="40" t="n">
        <x:f>MIN(P286,Q286)</x:f>
        <x:v>0</x:v>
      </x:c>
      <x:c r="S286" s="40" t="n">
        <x:f>I286+R286</x:f>
        <x:v>419999.99999999994</x:v>
      </x:c>
      <x:c r="T286" s="40" t="n">
        <x:f>U285</x:f>
        <x:v>907279.3424614544</x:v>
      </x:c>
      <x:c r="U286" s="40" t="n">
        <x:f>T286*(1+'Inputs &amp; Summary'!$B$17)+R286+N286+H286</x:f>
        <x:v>914020.1569457758</x:v>
      </x:c>
      <x:c r="V286" s="40" t="n">
        <x:f>Y285</x:f>
        <x:v>42568.010497495554</x:v>
      </x:c>
      <x:c r="W286" s="40" t="n">
        <x:f>V286*'Inputs &amp; Summary'!$B$15</x:f>
        <x:v>158.15376266194346</x:v>
      </x:c>
      <x:c r="X286" s="40" t="n">
        <x:f>IF(V286&lt;=0.00000001,0,MIN('Inputs &amp; Summary'!$B$18,V286+W286))</x:f>
        <x:v>2324.586407999052</x:v>
      </x:c>
      <x:c r="Y286" s="40" t="n">
        <x:f>IF(ABS(MAX(0,V286+W286-X286))&lt;0.00000001,0,MAX(0,V286+W286-X286))</x:f>
        <x:v>40401.57785215845</x:v>
      </x:c>
      <x:c r="Z286" s="40" t="n">
        <x:f>MAX(0,'Inputs &amp; Summary'!$B$18-X286)</x:f>
        <x:v>0</x:v>
      </x:c>
      <x:c r="AA286" s="40" t="n">
        <x:f>AC285</x:f>
        <x:v>441942.039606002</x:v>
      </x:c>
      <x:c r="AB286" s="40" t="n">
        <x:f>J286</x:f>
        <x:v>2274.9999999999995</x:v>
      </x:c>
      <x:c r="AC286" s="40" t="n">
        <x:f>AA286*(1+'Inputs &amp; Summary'!$B$17)+Z286+AB286</x:f>
        <x:v>446368.21483073506</x:v>
      </x:c>
      <x:c r="AD286" s="40" t="n">
        <x:f>F286+H286+J286</x:f>
        <x:v>4599.5864079990515</x:v>
      </x:c>
      <x:c r="AE286" s="40" t="n">
        <x:f>X286+Z286+AB286</x:f>
        <x:v>4599.5864079990515</x:v>
      </x:c>
      <x:c r="AF286" s="40" t="n">
        <x:f>AD286-AE286</x:f>
        <x:v>0</x:v>
      </x:c>
      <x:c r="AG286" s="42" t="n">
        <x:f>(O286+S286)/'Inputs &amp; Summary'!$B$4</x:f>
        <x:v>0.5999999999999999</x:v>
      </x:c>
      <x:c r="AH286" s="40" t="n">
        <x:f>U286-O286-S286</x:f>
        <x:v>494020.1569457759</x:v>
      </x:c>
      <x:c r="AI286" s="40" t="n">
        <x:f>AC286-Y286</x:f>
        <x:v>405966.6369785766</x:v>
      </x:c>
      <x:c r="AJ286" s="40" t="n">
        <x:f>AH286-AI286</x:f>
        <x:v>88053.5199671993</x:v>
      </x:c>
    </x:row>
    <x:row r="287">
      <x:c r="A287" t="n">
        <x:f>A286+1</x:f>
        <x:v>283</x:v>
      </x:c>
      <x:c r="B287" t="n">
        <x:f>INT((A287-1)/12)+1</x:f>
        <x:v>24</x:v>
      </x:c>
      <x:c r="C287" t="n">
        <x:f>MOD(A287-1,12)+1</x:f>
        <x:v>7</x:v>
      </x:c>
      <x:c r="D287" s="40" t="n">
        <x:f>O286</x:f>
        <x:v>0</x:v>
      </x:c>
      <x:c r="E287" s="40" t="n">
        <x:f>D287*'Inputs &amp; Summary'!$B$15</x:f>
        <x:v>0</x:v>
      </x:c>
      <x:c r="F287" s="40" t="n">
        <x:f>IF(D287&lt;=0.00000001,0,MIN('Inputs &amp; Summary'!$B$18,D287+E287))</x:f>
        <x:v>0</x:v>
      </x:c>
      <x:c r="G287" s="40" t="n">
        <x:f>IF(ABS(MAX(0,D287+E287-F287))&lt;0.00000001,0,MAX(0,D287+E287-F287))</x:f>
        <x:v>0</x:v>
      </x:c>
      <x:c r="H287" s="40" t="n">
        <x:f>MAX(0,'Inputs &amp; Summary'!$B$18-F287)</x:f>
        <x:v>2324.586407999052</x:v>
      </x:c>
      <x:c r="I287" s="40" t="n">
        <x:f>S286</x:f>
        <x:v>419999.99999999994</x:v>
      </x:c>
      <x:c r="J287" s="40" t="n">
        <x:f>I287*'Inputs &amp; Summary'!$B$16</x:f>
        <x:v>2274.9999999999995</x:v>
      </x:c>
      <x:c r="K287" s="40" t="n">
        <x:f>IF(C287=1,J287,K286+J287)</x:f>
        <x:v>15924.999999999998</x:v>
      </x:c>
      <x:c r="L287" s="40" t="n">
        <x:f>IF(C287=12,K287*'Inputs &amp; Summary'!$B$11*'Inputs &amp; Summary'!$B$12,0)</x:f>
        <x:v>0</x:v>
      </x:c>
      <x:c r="M287" s="40" t="n">
        <x:f>MIN(L287,G287)</x:f>
        <x:v>0</x:v>
      </x:c>
      <x:c r="N287" s="40" t="n">
        <x:f>MAX(0,L287-M287)</x:f>
        <x:v>0</x:v>
      </x:c>
      <x:c r="O287" s="40" t="n">
        <x:f>IF(ABS(MAX(0,G287-M287))&lt;0.00000001,0,MAX(0,G287-M287))</x:f>
        <x:v>0</x:v>
      </x:c>
      <x:c r="P287" s="40" t="n">
        <x:f>MAX(0,D287-O287)</x:f>
        <x:v>0</x:v>
      </x:c>
      <x:c r="Q287" s="40" t="n">
        <x:f>MAX(0,'Inputs &amp; Summary'!$B$19*'Inputs &amp; Summary'!$B$4-O287-I287)</x:f>
        <x:v>35000.00000000006</x:v>
      </x:c>
      <x:c r="R287" s="40" t="n">
        <x:f>MIN(P287,Q287)</x:f>
        <x:v>0</x:v>
      </x:c>
      <x:c r="S287" s="40" t="n">
        <x:f>I287+R287</x:f>
        <x:v>419999.99999999994</x:v>
      </x:c>
      <x:c r="T287" s="40" t="n">
        <x:f>U286</x:f>
        <x:v>914020.1569457758</x:v>
      </x:c>
      <x:c r="U287" s="40" t="n">
        <x:f>T287*(1+'Inputs &amp; Summary'!$B$17)+R287+N287+H287</x:f>
        <x:v>920793.7826854512</x:v>
      </x:c>
      <x:c r="V287" s="40" t="n">
        <x:f>Y286</x:f>
        <x:v>40401.57785215845</x:v>
      </x:c>
      <x:c r="W287" s="40" t="n">
        <x:f>V287*'Inputs &amp; Summary'!$B$15</x:f>
        <x:v>150.1047730472212</x:v>
      </x:c>
      <x:c r="X287" s="40" t="n">
        <x:f>IF(V287&lt;=0.00000001,0,MIN('Inputs &amp; Summary'!$B$18,V287+W287))</x:f>
        <x:v>2324.586407999052</x:v>
      </x:c>
      <x:c r="Y287" s="40" t="n">
        <x:f>IF(ABS(MAX(0,V287+W287-X287))&lt;0.00000001,0,MAX(0,V287+W287-X287))</x:f>
        <x:v>38227.09621720662</x:v>
      </x:c>
      <x:c r="Z287" s="40" t="n">
        <x:f>MAX(0,'Inputs &amp; Summary'!$B$18-X287)</x:f>
        <x:v>0</x:v>
      </x:c>
      <x:c r="AA287" s="40" t="n">
        <x:f>AC286</x:f>
        <x:v>446368.21483073506</x:v>
      </x:c>
      <x:c r="AB287" s="40" t="n">
        <x:f>J287</x:f>
        <x:v>2274.9999999999995</x:v>
      </x:c>
      <x:c r="AC287" s="40" t="n">
        <x:f>AA287*(1+'Inputs &amp; Summary'!$B$17)+Z287+AB287</x:f>
        <x:v>450815.93468718557</x:v>
      </x:c>
      <x:c r="AD287" s="40" t="n">
        <x:f>F287+H287+J287</x:f>
        <x:v>4599.5864079990515</x:v>
      </x:c>
      <x:c r="AE287" s="40" t="n">
        <x:f>X287+Z287+AB287</x:f>
        <x:v>4599.5864079990515</x:v>
      </x:c>
      <x:c r="AF287" s="40" t="n">
        <x:f>AD287-AE287</x:f>
        <x:v>0</x:v>
      </x:c>
      <x:c r="AG287" s="42" t="n">
        <x:f>(O287+S287)/'Inputs &amp; Summary'!$B$4</x:f>
        <x:v>0.5999999999999999</x:v>
      </x:c>
      <x:c r="AH287" s="40" t="n">
        <x:f>U287-O287-S287</x:f>
        <x:v>500793.78268545127</x:v>
      </x:c>
      <x:c r="AI287" s="40" t="n">
        <x:f>AC287-Y287</x:f>
        <x:v>412588.83846997895</x:v>
      </x:c>
      <x:c r="AJ287" s="40" t="n">
        <x:f>AH287-AI287</x:f>
        <x:v>88204.94421547232</x:v>
      </x:c>
    </x:row>
    <x:row r="288">
      <x:c r="A288" t="n">
        <x:f>A287+1</x:f>
        <x:v>284</x:v>
      </x:c>
      <x:c r="B288" t="n">
        <x:f>INT((A288-1)/12)+1</x:f>
        <x:v>24</x:v>
      </x:c>
      <x:c r="C288" t="n">
        <x:f>MOD(A288-1,12)+1</x:f>
        <x:v>8</x:v>
      </x:c>
      <x:c r="D288" s="40" t="n">
        <x:f>O287</x:f>
        <x:v>0</x:v>
      </x:c>
      <x:c r="E288" s="40" t="n">
        <x:f>D288*'Inputs &amp; Summary'!$B$15</x:f>
        <x:v>0</x:v>
      </x:c>
      <x:c r="F288" s="40" t="n">
        <x:f>IF(D288&lt;=0.00000001,0,MIN('Inputs &amp; Summary'!$B$18,D288+E288))</x:f>
        <x:v>0</x:v>
      </x:c>
      <x:c r="G288" s="40" t="n">
        <x:f>IF(ABS(MAX(0,D288+E288-F288))&lt;0.00000001,0,MAX(0,D288+E288-F288))</x:f>
        <x:v>0</x:v>
      </x:c>
      <x:c r="H288" s="40" t="n">
        <x:f>MAX(0,'Inputs &amp; Summary'!$B$18-F288)</x:f>
        <x:v>2324.586407999052</x:v>
      </x:c>
      <x:c r="I288" s="40" t="n">
        <x:f>S287</x:f>
        <x:v>419999.99999999994</x:v>
      </x:c>
      <x:c r="J288" s="40" t="n">
        <x:f>I288*'Inputs &amp; Summary'!$B$16</x:f>
        <x:v>2274.9999999999995</x:v>
      </x:c>
      <x:c r="K288" s="40" t="n">
        <x:f>IF(C288=1,J288,K287+J288)</x:f>
        <x:v>18199.999999999996</x:v>
      </x:c>
      <x:c r="L288" s="40" t="n">
        <x:f>IF(C288=12,K288*'Inputs &amp; Summary'!$B$11*'Inputs &amp; Summary'!$B$12,0)</x:f>
        <x:v>0</x:v>
      </x:c>
      <x:c r="M288" s="40" t="n">
        <x:f>MIN(L288,G288)</x:f>
        <x:v>0</x:v>
      </x:c>
      <x:c r="N288" s="40" t="n">
        <x:f>MAX(0,L288-M288)</x:f>
        <x:v>0</x:v>
      </x:c>
      <x:c r="O288" s="40" t="n">
        <x:f>IF(ABS(MAX(0,G288-M288))&lt;0.00000001,0,MAX(0,G288-M288))</x:f>
        <x:v>0</x:v>
      </x:c>
      <x:c r="P288" s="40" t="n">
        <x:f>MAX(0,D288-O288)</x:f>
        <x:v>0</x:v>
      </x:c>
      <x:c r="Q288" s="40" t="n">
        <x:f>MAX(0,'Inputs &amp; Summary'!$B$19*'Inputs &amp; Summary'!$B$4-O288-I288)</x:f>
        <x:v>35000.00000000006</x:v>
      </x:c>
      <x:c r="R288" s="40" t="n">
        <x:f>MIN(P288,Q288)</x:f>
        <x:v>0</x:v>
      </x:c>
      <x:c r="S288" s="40" t="n">
        <x:f>I288+R288</x:f>
        <x:v>419999.99999999994</x:v>
      </x:c>
      <x:c r="T288" s="40" t="n">
        <x:f>U287</x:f>
        <x:v>920793.7826854512</x:v>
      </x:c>
      <x:c r="U288" s="40" t="n">
        <x:f>T288*(1+'Inputs &amp; Summary'!$B$17)+R288+N288+H288</x:f>
        <x:v>927600.3793909252</x:v>
      </x:c>
      <x:c r="V288" s="40" t="n">
        <x:f>Y287</x:f>
        <x:v>38227.09621720662</x:v>
      </x:c>
      <x:c r="W288" s="40" t="n">
        <x:f>V288*'Inputs &amp; Summary'!$B$15</x:f>
        <x:v>142.0258788638259</x:v>
      </x:c>
      <x:c r="X288" s="40" t="n">
        <x:f>IF(V288&lt;=0.00000001,0,MIN('Inputs &amp; Summary'!$B$18,V288+W288))</x:f>
        <x:v>2324.586407999052</x:v>
      </x:c>
      <x:c r="Y288" s="40" t="n">
        <x:f>IF(ABS(MAX(0,V288+W288-X288))&lt;0.00000001,0,MAX(0,V288+W288-X288))</x:f>
        <x:v>36044.535688071395</x:v>
      </x:c>
      <x:c r="Z288" s="40" t="n">
        <x:f>MAX(0,'Inputs &amp; Summary'!$B$18-X288)</x:f>
        <x:v>0</x:v>
      </x:c>
      <x:c r="AA288" s="40" t="n">
        <x:f>AC287</x:f>
        <x:v>450815.93468718557</x:v>
      </x:c>
      <x:c r="AB288" s="40" t="n">
        <x:f>J288</x:f>
        <x:v>2274.9999999999995</x:v>
      </x:c>
      <x:c r="AC288" s="40" t="n">
        <x:f>AA288*(1+'Inputs &amp; Summary'!$B$17)+Z288+AB288</x:f>
        <x:v>455285.30404493783</x:v>
      </x:c>
      <x:c r="AD288" s="40" t="n">
        <x:f>F288+H288+J288</x:f>
        <x:v>4599.5864079990515</x:v>
      </x:c>
      <x:c r="AE288" s="40" t="n">
        <x:f>X288+Z288+AB288</x:f>
        <x:v>4599.5864079990515</x:v>
      </x:c>
      <x:c r="AF288" s="40" t="n">
        <x:f>AD288-AE288</x:f>
        <x:v>0</x:v>
      </x:c>
      <x:c r="AG288" s="42" t="n">
        <x:f>(O288+S288)/'Inputs &amp; Summary'!$B$4</x:f>
        <x:v>0.5999999999999999</x:v>
      </x:c>
      <x:c r="AH288" s="40" t="n">
        <x:f>U288-O288-S288</x:f>
        <x:v>507600.3793909252</x:v>
      </x:c>
      <x:c r="AI288" s="40" t="n">
        <x:f>AC288-Y288</x:f>
        <x:v>419240.76835686644</x:v>
      </x:c>
      <x:c r="AJ288" s="40" t="n">
        <x:f>AH288-AI288</x:f>
        <x:v>88359.61103405879</x:v>
      </x:c>
    </x:row>
    <x:row r="289">
      <x:c r="A289" t="n">
        <x:f>A288+1</x:f>
        <x:v>285</x:v>
      </x:c>
      <x:c r="B289" t="n">
        <x:f>INT((A289-1)/12)+1</x:f>
        <x:v>24</x:v>
      </x:c>
      <x:c r="C289" t="n">
        <x:f>MOD(A289-1,12)+1</x:f>
        <x:v>9</x:v>
      </x:c>
      <x:c r="D289" s="40" t="n">
        <x:f>O288</x:f>
        <x:v>0</x:v>
      </x:c>
      <x:c r="E289" s="40" t="n">
        <x:f>D289*'Inputs &amp; Summary'!$B$15</x:f>
        <x:v>0</x:v>
      </x:c>
      <x:c r="F289" s="40" t="n">
        <x:f>IF(D289&lt;=0.00000001,0,MIN('Inputs &amp; Summary'!$B$18,D289+E289))</x:f>
        <x:v>0</x:v>
      </x:c>
      <x:c r="G289" s="40" t="n">
        <x:f>IF(ABS(MAX(0,D289+E289-F289))&lt;0.00000001,0,MAX(0,D289+E289-F289))</x:f>
        <x:v>0</x:v>
      </x:c>
      <x:c r="H289" s="40" t="n">
        <x:f>MAX(0,'Inputs &amp; Summary'!$B$18-F289)</x:f>
        <x:v>2324.586407999052</x:v>
      </x:c>
      <x:c r="I289" s="40" t="n">
        <x:f>S288</x:f>
        <x:v>419999.99999999994</x:v>
      </x:c>
      <x:c r="J289" s="40" t="n">
        <x:f>I289*'Inputs &amp; Summary'!$B$16</x:f>
        <x:v>2274.9999999999995</x:v>
      </x:c>
      <x:c r="K289" s="40" t="n">
        <x:f>IF(C289=1,J289,K288+J289)</x:f>
        <x:v>20474.999999999996</x:v>
      </x:c>
      <x:c r="L289" s="40" t="n">
        <x:f>IF(C289=12,K289*'Inputs &amp; Summary'!$B$11*'Inputs &amp; Summary'!$B$12,0)</x:f>
        <x:v>0</x:v>
      </x:c>
      <x:c r="M289" s="40" t="n">
        <x:f>MIN(L289,G289)</x:f>
        <x:v>0</x:v>
      </x:c>
      <x:c r="N289" s="40" t="n">
        <x:f>MAX(0,L289-M289)</x:f>
        <x:v>0</x:v>
      </x:c>
      <x:c r="O289" s="40" t="n">
        <x:f>IF(ABS(MAX(0,G289-M289))&lt;0.00000001,0,MAX(0,G289-M289))</x:f>
        <x:v>0</x:v>
      </x:c>
      <x:c r="P289" s="40" t="n">
        <x:f>MAX(0,D289-O289)</x:f>
        <x:v>0</x:v>
      </x:c>
      <x:c r="Q289" s="40" t="n">
        <x:f>MAX(0,'Inputs &amp; Summary'!$B$19*'Inputs &amp; Summary'!$B$4-O289-I289)</x:f>
        <x:v>35000.00000000006</x:v>
      </x:c>
      <x:c r="R289" s="40" t="n">
        <x:f>MIN(P289,Q289)</x:f>
        <x:v>0</x:v>
      </x:c>
      <x:c r="S289" s="40" t="n">
        <x:f>I289+R289</x:f>
        <x:v>419999.99999999994</x:v>
      </x:c>
      <x:c r="T289" s="40" t="n">
        <x:f>U288</x:f>
        <x:v>927600.3793909252</x:v>
      </x:c>
      <x:c r="U289" s="40" t="n">
        <x:f>T289*(1+'Inputs &amp; Summary'!$B$17)+R289+N289+H289</x:f>
        <x:v>934440.1075500409</x:v>
      </x:c>
      <x:c r="V289" s="40" t="n">
        <x:f>Y288</x:f>
        <x:v>36044.535688071395</x:v>
      </x:c>
      <x:c r="W289" s="40" t="n">
        <x:f>V289*'Inputs &amp; Summary'!$B$15</x:f>
        <x:v>133.91696900672824</x:v>
      </x:c>
      <x:c r="X289" s="40" t="n">
        <x:f>IF(V289&lt;=0.00000001,0,MIN('Inputs &amp; Summary'!$B$18,V289+W289))</x:f>
        <x:v>2324.586407999052</x:v>
      </x:c>
      <x:c r="Y289" s="40" t="n">
        <x:f>IF(ABS(MAX(0,V289+W289-X289))&lt;0.00000001,0,MAX(0,V289+W289-X289))</x:f>
        <x:v>33853.866249079074</x:v>
      </x:c>
      <x:c r="Z289" s="40" t="n">
        <x:f>MAX(0,'Inputs &amp; Summary'!$B$18-X289)</x:f>
        <x:v>0</x:v>
      </x:c>
      <x:c r="AA289" s="40" t="n">
        <x:f>AC288</x:f>
        <x:v>455285.30404493783</x:v>
      </x:c>
      <x:c r="AB289" s="40" t="n">
        <x:f>J289</x:f>
        <x:v>2274.9999999999995</x:v>
      </x:c>
      <x:c r="AC289" s="40" t="n">
        <x:f>AA289*(1+'Inputs &amp; Summary'!$B$17)+Z289+AB289</x:f>
        <x:v>459776.42828403413</x:v>
      </x:c>
      <x:c r="AD289" s="40" t="n">
        <x:f>F289+H289+J289</x:f>
        <x:v>4599.5864079990515</x:v>
      </x:c>
      <x:c r="AE289" s="40" t="n">
        <x:f>X289+Z289+AB289</x:f>
        <x:v>4599.5864079990515</x:v>
      </x:c>
      <x:c r="AF289" s="40" t="n">
        <x:f>AD289-AE289</x:f>
        <x:v>0</x:v>
      </x:c>
      <x:c r="AG289" s="42" t="n">
        <x:f>(O289+S289)/'Inputs &amp; Summary'!$B$4</x:f>
        <x:v>0.5999999999999999</x:v>
      </x:c>
      <x:c r="AH289" s="40" t="n">
        <x:f>U289-O289-S289</x:f>
        <x:v>514440.107550041</x:v>
      </x:c>
      <x:c r="AI289" s="40" t="n">
        <x:f>AC289-Y289</x:f>
        <x:v>425922.5620349551</x:v>
      </x:c>
      <x:c r="AJ289" s="40" t="n">
        <x:f>AH289-AI289</x:f>
        <x:v>88517.54551508592</x:v>
      </x:c>
    </x:row>
    <x:row r="290">
      <x:c r="A290" t="n">
        <x:f>A289+1</x:f>
        <x:v>286</x:v>
      </x:c>
      <x:c r="B290" t="n">
        <x:f>INT((A290-1)/12)+1</x:f>
        <x:v>24</x:v>
      </x:c>
      <x:c r="C290" t="n">
        <x:f>MOD(A290-1,12)+1</x:f>
        <x:v>10</x:v>
      </x:c>
      <x:c r="D290" s="40" t="n">
        <x:f>O289</x:f>
        <x:v>0</x:v>
      </x:c>
      <x:c r="E290" s="40" t="n">
        <x:f>D290*'Inputs &amp; Summary'!$B$15</x:f>
        <x:v>0</x:v>
      </x:c>
      <x:c r="F290" s="40" t="n">
        <x:f>IF(D290&lt;=0.00000001,0,MIN('Inputs &amp; Summary'!$B$18,D290+E290))</x:f>
        <x:v>0</x:v>
      </x:c>
      <x:c r="G290" s="40" t="n">
        <x:f>IF(ABS(MAX(0,D290+E290-F290))&lt;0.00000001,0,MAX(0,D290+E290-F290))</x:f>
        <x:v>0</x:v>
      </x:c>
      <x:c r="H290" s="40" t="n">
        <x:f>MAX(0,'Inputs &amp; Summary'!$B$18-F290)</x:f>
        <x:v>2324.586407999052</x:v>
      </x:c>
      <x:c r="I290" s="40" t="n">
        <x:f>S289</x:f>
        <x:v>419999.99999999994</x:v>
      </x:c>
      <x:c r="J290" s="40" t="n">
        <x:f>I290*'Inputs &amp; Summary'!$B$16</x:f>
        <x:v>2274.9999999999995</x:v>
      </x:c>
      <x:c r="K290" s="40" t="n">
        <x:f>IF(C290=1,J290,K289+J290)</x:f>
        <x:v>22749.999999999996</x:v>
      </x:c>
      <x:c r="L290" s="40" t="n">
        <x:f>IF(C290=12,K290*'Inputs &amp; Summary'!$B$11*'Inputs &amp; Summary'!$B$12,0)</x:f>
        <x:v>0</x:v>
      </x:c>
      <x:c r="M290" s="40" t="n">
        <x:f>MIN(L290,G290)</x:f>
        <x:v>0</x:v>
      </x:c>
      <x:c r="N290" s="40" t="n">
        <x:f>MAX(0,L290-M290)</x:f>
        <x:v>0</x:v>
      </x:c>
      <x:c r="O290" s="40" t="n">
        <x:f>IF(ABS(MAX(0,G290-M290))&lt;0.00000001,0,MAX(0,G290-M290))</x:f>
        <x:v>0</x:v>
      </x:c>
      <x:c r="P290" s="40" t="n">
        <x:f>MAX(0,D290-O290)</x:f>
        <x:v>0</x:v>
      </x:c>
      <x:c r="Q290" s="40" t="n">
        <x:f>MAX(0,'Inputs &amp; Summary'!$B$19*'Inputs &amp; Summary'!$B$4-O290-I290)</x:f>
        <x:v>35000.00000000006</x:v>
      </x:c>
      <x:c r="R290" s="40" t="n">
        <x:f>MIN(P290,Q290)</x:f>
        <x:v>0</x:v>
      </x:c>
      <x:c r="S290" s="40" t="n">
        <x:f>I290+R290</x:f>
        <x:v>419999.99999999994</x:v>
      </x:c>
      <x:c r="T290" s="40" t="n">
        <x:f>U289</x:f>
        <x:v>934440.1075500409</x:v>
      </x:c>
      <x:c r="U290" s="40" t="n">
        <x:f>T290*(1+'Inputs &amp; Summary'!$B$17)+R290+N290+H290</x:f>
        <x:v>941313.1284318244</x:v>
      </x:c>
      <x:c r="V290" s="40" t="n">
        <x:f>Y289</x:f>
        <x:v>33853.866249079074</x:v>
      </x:c>
      <x:c r="W290" s="40" t="n">
        <x:f>V290*'Inputs &amp; Summary'!$B$15</x:f>
        <x:v>125.77793195810817</x:v>
      </x:c>
      <x:c r="X290" s="40" t="n">
        <x:f>IF(V290&lt;=0.00000001,0,MIN('Inputs &amp; Summary'!$B$18,V290+W290))</x:f>
        <x:v>2324.586407999052</x:v>
      </x:c>
      <x:c r="Y290" s="40" t="n">
        <x:f>IF(ABS(MAX(0,V290+W290-X290))&lt;0.00000001,0,MAX(0,V290+W290-X290))</x:f>
        <x:v>31655.05777303813</x:v>
      </x:c>
      <x:c r="Z290" s="40" t="n">
        <x:f>MAX(0,'Inputs &amp; Summary'!$B$18-X290)</x:f>
        <x:v>0</x:v>
      </x:c>
      <x:c r="AA290" s="40" t="n">
        <x:f>AC289</x:f>
        <x:v>459776.42828403413</x:v>
      </x:c>
      <x:c r="AB290" s="40" t="n">
        <x:f>J290</x:f>
        <x:v>2274.9999999999995</x:v>
      </x:c>
      <x:c r="AC290" s="40" t="n">
        <x:f>AA290*(1+'Inputs &amp; Summary'!$B$17)+Z290+AB290</x:f>
        <x:v>464289.4132974595</x:v>
      </x:c>
      <x:c r="AD290" s="40" t="n">
        <x:f>F290+H290+J290</x:f>
        <x:v>4599.5864079990515</x:v>
      </x:c>
      <x:c r="AE290" s="40" t="n">
        <x:f>X290+Z290+AB290</x:f>
        <x:v>4599.5864079990515</x:v>
      </x:c>
      <x:c r="AF290" s="40" t="n">
        <x:f>AD290-AE290</x:f>
        <x:v>0</x:v>
      </x:c>
      <x:c r="AG290" s="42" t="n">
        <x:f>(O290+S290)/'Inputs &amp; Summary'!$B$4</x:f>
        <x:v>0.5999999999999999</x:v>
      </x:c>
      <x:c r="AH290" s="40" t="n">
        <x:f>U290-O290-S290</x:f>
        <x:v>521313.12843182444</x:v>
      </x:c>
      <x:c r="AI290" s="40" t="n">
        <x:f>AC290-Y290</x:f>
        <x:v>432634.3555244214</x:v>
      </x:c>
      <x:c r="AJ290" s="40" t="n">
        <x:f>AH290-AI290</x:f>
        <x:v>88678.77290740306</x:v>
      </x:c>
    </x:row>
    <x:row r="291">
      <x:c r="A291" t="n">
        <x:f>A290+1</x:f>
        <x:v>287</x:v>
      </x:c>
      <x:c r="B291" t="n">
        <x:f>INT((A291-1)/12)+1</x:f>
        <x:v>24</x:v>
      </x:c>
      <x:c r="C291" t="n">
        <x:f>MOD(A291-1,12)+1</x:f>
        <x:v>11</x:v>
      </x:c>
      <x:c r="D291" s="40" t="n">
        <x:f>O290</x:f>
        <x:v>0</x:v>
      </x:c>
      <x:c r="E291" s="40" t="n">
        <x:f>D291*'Inputs &amp; Summary'!$B$15</x:f>
        <x:v>0</x:v>
      </x:c>
      <x:c r="F291" s="40" t="n">
        <x:f>IF(D291&lt;=0.00000001,0,MIN('Inputs &amp; Summary'!$B$18,D291+E291))</x:f>
        <x:v>0</x:v>
      </x:c>
      <x:c r="G291" s="40" t="n">
        <x:f>IF(ABS(MAX(0,D291+E291-F291))&lt;0.00000001,0,MAX(0,D291+E291-F291))</x:f>
        <x:v>0</x:v>
      </x:c>
      <x:c r="H291" s="40" t="n">
        <x:f>MAX(0,'Inputs &amp; Summary'!$B$18-F291)</x:f>
        <x:v>2324.586407999052</x:v>
      </x:c>
      <x:c r="I291" s="40" t="n">
        <x:f>S290</x:f>
        <x:v>419999.99999999994</x:v>
      </x:c>
      <x:c r="J291" s="40" t="n">
        <x:f>I291*'Inputs &amp; Summary'!$B$16</x:f>
        <x:v>2274.9999999999995</x:v>
      </x:c>
      <x:c r="K291" s="40" t="n">
        <x:f>IF(C291=1,J291,K290+J291)</x:f>
        <x:v>25024.999999999996</x:v>
      </x:c>
      <x:c r="L291" s="40" t="n">
        <x:f>IF(C291=12,K291*'Inputs &amp; Summary'!$B$11*'Inputs &amp; Summary'!$B$12,0)</x:f>
        <x:v>0</x:v>
      </x:c>
      <x:c r="M291" s="40" t="n">
        <x:f>MIN(L291,G291)</x:f>
        <x:v>0</x:v>
      </x:c>
      <x:c r="N291" s="40" t="n">
        <x:f>MAX(0,L291-M291)</x:f>
        <x:v>0</x:v>
      </x:c>
      <x:c r="O291" s="40" t="n">
        <x:f>IF(ABS(MAX(0,G291-M291))&lt;0.00000001,0,MAX(0,G291-M291))</x:f>
        <x:v>0</x:v>
      </x:c>
      <x:c r="P291" s="40" t="n">
        <x:f>MAX(0,D291-O291)</x:f>
        <x:v>0</x:v>
      </x:c>
      <x:c r="Q291" s="40" t="n">
        <x:f>MAX(0,'Inputs &amp; Summary'!$B$19*'Inputs &amp; Summary'!$B$4-O291-I291)</x:f>
        <x:v>35000.00000000006</x:v>
      </x:c>
      <x:c r="R291" s="40" t="n">
        <x:f>MIN(P291,Q291)</x:f>
        <x:v>0</x:v>
      </x:c>
      <x:c r="S291" s="40" t="n">
        <x:f>I291+R291</x:f>
        <x:v>419999.99999999994</x:v>
      </x:c>
      <x:c r="T291" s="40" t="n">
        <x:f>U290</x:f>
        <x:v>941313.1284318244</x:v>
      </x:c>
      <x:c r="U291" s="40" t="n">
        <x:f>T291*(1+'Inputs &amp; Summary'!$B$17)+R291+N291+H291</x:f>
        <x:v>948219.6040902865</x:v>
      </x:c>
      <x:c r="V291" s="40" t="n">
        <x:f>Y290</x:f>
        <x:v>31655.05777303813</x:v>
      </x:c>
      <x:c r="W291" s="40" t="n">
        <x:f>V291*'Inputs &amp; Summary'!$B$15</x:f>
        <x:v>117.60865578582127</x:v>
      </x:c>
      <x:c r="X291" s="40" t="n">
        <x:f>IF(V291&lt;=0.00000001,0,MIN('Inputs &amp; Summary'!$B$18,V291+W291))</x:f>
        <x:v>2324.586407999052</x:v>
      </x:c>
      <x:c r="Y291" s="40" t="n">
        <x:f>IF(ABS(MAX(0,V291+W291-X291))&lt;0.00000001,0,MAX(0,V291+W291-X291))</x:f>
        <x:v>29448.0800208249</x:v>
      </x:c>
      <x:c r="Z291" s="40" t="n">
        <x:f>MAX(0,'Inputs &amp; Summary'!$B$18-X291)</x:f>
        <x:v>0</x:v>
      </x:c>
      <x:c r="AA291" s="40" t="n">
        <x:f>AC290</x:f>
        <x:v>464289.4132974595</x:v>
      </x:c>
      <x:c r="AB291" s="40" t="n">
        <x:f>J291</x:f>
        <x:v>2274.9999999999995</x:v>
      </x:c>
      <x:c r="AC291" s="40" t="n">
        <x:f>AA291*(1+'Inputs &amp; Summary'!$B$17)+Z291+AB291</x:f>
        <x:v>468824.3654936383</x:v>
      </x:c>
      <x:c r="AD291" s="40" t="n">
        <x:f>F291+H291+J291</x:f>
        <x:v>4599.5864079990515</x:v>
      </x:c>
      <x:c r="AE291" s="40" t="n">
        <x:f>X291+Z291+AB291</x:f>
        <x:v>4599.5864079990515</x:v>
      </x:c>
      <x:c r="AF291" s="40" t="n">
        <x:f>AD291-AE291</x:f>
        <x:v>0</x:v>
      </x:c>
      <x:c r="AG291" s="42" t="n">
        <x:f>(O291+S291)/'Inputs &amp; Summary'!$B$4</x:f>
        <x:v>0.5999999999999999</x:v>
      </x:c>
      <x:c r="AH291" s="40" t="n">
        <x:f>U291-O291-S291</x:f>
        <x:v>528219.6040902867</x:v>
      </x:c>
      <x:c r="AI291" s="40" t="n">
        <x:f>AC291-Y291</x:f>
        <x:v>439376.2854728134</x:v>
      </x:c>
      <x:c r="AJ291" s="40" t="n">
        <x:f>AH291-AI291</x:f>
        <x:v>88843.31861747324</x:v>
      </x:c>
    </x:row>
    <x:row r="292">
      <x:c r="A292" t="n">
        <x:f>A291+1</x:f>
        <x:v>288</x:v>
      </x:c>
      <x:c r="B292" t="n">
        <x:f>INT((A292-1)/12)+1</x:f>
        <x:v>24</x:v>
      </x:c>
      <x:c r="C292" t="n">
        <x:f>MOD(A292-1,12)+1</x:f>
        <x:v>12</x:v>
      </x:c>
      <x:c r="D292" s="40" t="n">
        <x:f>O291</x:f>
        <x:v>0</x:v>
      </x:c>
      <x:c r="E292" s="40" t="n">
        <x:f>D292*'Inputs &amp; Summary'!$B$15</x:f>
        <x:v>0</x:v>
      </x:c>
      <x:c r="F292" s="40" t="n">
        <x:f>IF(D292&lt;=0.00000001,0,MIN('Inputs &amp; Summary'!$B$18,D292+E292))</x:f>
        <x:v>0</x:v>
      </x:c>
      <x:c r="G292" s="40" t="n">
        <x:f>IF(ABS(MAX(0,D292+E292-F292))&lt;0.00000001,0,MAX(0,D292+E292-F292))</x:f>
        <x:v>0</x:v>
      </x:c>
      <x:c r="H292" s="40" t="n">
        <x:f>MAX(0,'Inputs &amp; Summary'!$B$18-F292)</x:f>
        <x:v>2324.586407999052</x:v>
      </x:c>
      <x:c r="I292" s="40" t="n">
        <x:f>S291</x:f>
        <x:v>419999.99999999994</x:v>
      </x:c>
      <x:c r="J292" s="40" t="n">
        <x:f>I292*'Inputs &amp; Summary'!$B$16</x:f>
        <x:v>2274.9999999999995</x:v>
      </x:c>
      <x:c r="K292" s="40" t="n">
        <x:f>IF(C292=1,J292,K291+J292)</x:f>
        <x:v>27299.999999999996</x:v>
      </x:c>
      <x:c r="L292" s="40" t="n">
        <x:f>IF(C292=12,K292*'Inputs &amp; Summary'!$B$11*'Inputs &amp; Summary'!$B$12,0)</x:f>
        <x:v>9554.999999999998</x:v>
      </x:c>
      <x:c r="M292" s="40" t="n">
        <x:f>MIN(L292,G292)</x:f>
        <x:v>0</x:v>
      </x:c>
      <x:c r="N292" s="40" t="n">
        <x:f>MAX(0,L292-M292)</x:f>
        <x:v>9554.999999999998</x:v>
      </x:c>
      <x:c r="O292" s="40" t="n">
        <x:f>IF(ABS(MAX(0,G292-M292))&lt;0.00000001,0,MAX(0,G292-M292))</x:f>
        <x:v>0</x:v>
      </x:c>
      <x:c r="P292" s="40" t="n">
        <x:f>MAX(0,D292-O292)</x:f>
        <x:v>0</x:v>
      </x:c>
      <x:c r="Q292" s="40" t="n">
        <x:f>MAX(0,'Inputs &amp; Summary'!$B$19*'Inputs &amp; Summary'!$B$4-O292-I292)</x:f>
        <x:v>35000.00000000006</x:v>
      </x:c>
      <x:c r="R292" s="40" t="n">
        <x:f>MIN(P292,Q292)</x:f>
        <x:v>0</x:v>
      </x:c>
      <x:c r="S292" s="40" t="n">
        <x:f>I292+R292</x:f>
        <x:v>419999.99999999994</x:v>
      </x:c>
      <x:c r="T292" s="40" t="n">
        <x:f>U291</x:f>
        <x:v>948219.6040902865</x:v>
      </x:c>
      <x:c r="U292" s="40" t="n">
        <x:f>T292*(1+'Inputs &amp; Summary'!$B$17)+R292+N292+H292</x:f>
        <x:v>964714.6973682446</x:v>
      </x:c>
      <x:c r="V292" s="40" t="n">
        <x:f>Y291</x:f>
        <x:v>29448.0800208249</x:v>
      </x:c>
      <x:c r="W292" s="40" t="n">
        <x:f>V292*'Inputs &amp; Summary'!$B$15</x:f>
        <x:v>109.40902814185947</x:v>
      </x:c>
      <x:c r="X292" s="40" t="n">
        <x:f>IF(V292&lt;=0.00000001,0,MIN('Inputs &amp; Summary'!$B$18,V292+W292))</x:f>
        <x:v>2324.586407999052</x:v>
      </x:c>
      <x:c r="Y292" s="40" t="n">
        <x:f>IF(ABS(MAX(0,V292+W292-X292))&lt;0.00000001,0,MAX(0,V292+W292-X292))</x:f>
        <x:v>27232.902640967706</x:v>
      </x:c>
      <x:c r="Z292" s="40" t="n">
        <x:f>MAX(0,'Inputs &amp; Summary'!$B$18-X292)</x:f>
        <x:v>0</x:v>
      </x:c>
      <x:c r="AA292" s="40" t="n">
        <x:f>AC291</x:f>
        <x:v>468824.3654936383</x:v>
      </x:c>
      <x:c r="AB292" s="40" t="n">
        <x:f>J292</x:f>
        <x:v>2274.9999999999995</x:v>
      </x:c>
      <x:c r="AC292" s="40" t="n">
        <x:f>AA292*(1+'Inputs &amp; Summary'!$B$17)+Z292+AB292</x:f>
        <x:v>473381.39179894346</x:v>
      </x:c>
      <x:c r="AD292" s="40" t="n">
        <x:f>F292+H292+J292</x:f>
        <x:v>4599.5864079990515</x:v>
      </x:c>
      <x:c r="AE292" s="40" t="n">
        <x:f>X292+Z292+AB292</x:f>
        <x:v>4599.5864079990515</x:v>
      </x:c>
      <x:c r="AF292" s="40" t="n">
        <x:f>AD292-AE292</x:f>
        <x:v>0</x:v>
      </x:c>
      <x:c r="AG292" s="42" t="n">
        <x:f>(O292+S292)/'Inputs &amp; Summary'!$B$4</x:f>
        <x:v>0.5999999999999999</x:v>
      </x:c>
      <x:c r="AH292" s="40" t="n">
        <x:f>U292-O292-S292</x:f>
        <x:v>544714.6973682446</x:v>
      </x:c>
      <x:c r="AI292" s="40" t="n">
        <x:f>AC292-Y292</x:f>
        <x:v>446148.48915797577</x:v>
      </x:c>
      <x:c r="AJ292" s="40" t="n">
        <x:f>AH292-AI292</x:f>
        <x:v>98566.20821026887</x:v>
      </x:c>
    </x:row>
    <x:row r="293">
      <x:c r="A293" t="n">
        <x:f>A292+1</x:f>
        <x:v>289</x:v>
      </x:c>
      <x:c r="B293" t="n">
        <x:f>INT((A293-1)/12)+1</x:f>
        <x:v>25</x:v>
      </x:c>
      <x:c r="C293" t="n">
        <x:f>MOD(A293-1,12)+1</x:f>
        <x:v>1</x:v>
      </x:c>
      <x:c r="D293" s="40" t="n">
        <x:f>O292</x:f>
        <x:v>0</x:v>
      </x:c>
      <x:c r="E293" s="40" t="n">
        <x:f>D293*'Inputs &amp; Summary'!$B$15</x:f>
        <x:v>0</x:v>
      </x:c>
      <x:c r="F293" s="40" t="n">
        <x:f>IF(D293&lt;=0.00000001,0,MIN('Inputs &amp; Summary'!$B$18,D293+E293))</x:f>
        <x:v>0</x:v>
      </x:c>
      <x:c r="G293" s="40" t="n">
        <x:f>IF(ABS(MAX(0,D293+E293-F293))&lt;0.00000001,0,MAX(0,D293+E293-F293))</x:f>
        <x:v>0</x:v>
      </x:c>
      <x:c r="H293" s="40" t="n">
        <x:f>MAX(0,'Inputs &amp; Summary'!$B$18-F293)</x:f>
        <x:v>2324.586407999052</x:v>
      </x:c>
      <x:c r="I293" s="40" t="n">
        <x:f>S292</x:f>
        <x:v>419999.99999999994</x:v>
      </x:c>
      <x:c r="J293" s="40" t="n">
        <x:f>I293*'Inputs &amp; Summary'!$B$16</x:f>
        <x:v>2274.9999999999995</x:v>
      </x:c>
      <x:c r="K293" s="40" t="n">
        <x:f>IF(C293=1,J293,K292+J293)</x:f>
        <x:v>2274.9999999999995</x:v>
      </x:c>
      <x:c r="L293" s="40" t="n">
        <x:f>IF(C293=12,K293*'Inputs &amp; Summary'!$B$11*'Inputs &amp; Summary'!$B$12,0)</x:f>
        <x:v>0</x:v>
      </x:c>
      <x:c r="M293" s="40" t="n">
        <x:f>MIN(L293,G293)</x:f>
        <x:v>0</x:v>
      </x:c>
      <x:c r="N293" s="40" t="n">
        <x:f>MAX(0,L293-M293)</x:f>
        <x:v>0</x:v>
      </x:c>
      <x:c r="O293" s="40" t="n">
        <x:f>IF(ABS(MAX(0,G293-M293))&lt;0.00000001,0,MAX(0,G293-M293))</x:f>
        <x:v>0</x:v>
      </x:c>
      <x:c r="P293" s="40" t="n">
        <x:f>MAX(0,D293-O293)</x:f>
        <x:v>0</x:v>
      </x:c>
      <x:c r="Q293" s="40" t="n">
        <x:f>MAX(0,'Inputs &amp; Summary'!$B$19*'Inputs &amp; Summary'!$B$4-O293-I293)</x:f>
        <x:v>35000.00000000006</x:v>
      </x:c>
      <x:c r="R293" s="40" t="n">
        <x:f>MIN(P293,Q293)</x:f>
        <x:v>0</x:v>
      </x:c>
      <x:c r="S293" s="40" t="n">
        <x:f>I293+R293</x:f>
        <x:v>419999.99999999994</x:v>
      </x:c>
      <x:c r="T293" s="40" t="n">
        <x:f>U292</x:f>
        <x:v>964714.6973682446</x:v>
      </x:c>
      <x:c r="U293" s="40" t="n">
        <x:f>T293*(1+'Inputs &amp; Summary'!$B$17)+R293+N293+H293</x:f>
        <x:v>971735.0813468132</x:v>
      </x:c>
      <x:c r="V293" s="40" t="n">
        <x:f>Y292</x:f>
        <x:v>27232.902640967706</x:v>
      </x:c>
      <x:c r="W293" s="40" t="n">
        <x:f>V293*'Inputs &amp; Summary'!$B$15</x:f>
        <x:v>101.17893626080591</x:v>
      </x:c>
      <x:c r="X293" s="40" t="n">
        <x:f>IF(V293&lt;=0.00000001,0,MIN('Inputs &amp; Summary'!$B$18,V293+W293))</x:f>
        <x:v>2324.586407999052</x:v>
      </x:c>
      <x:c r="Y293" s="40" t="n">
        <x:f>IF(ABS(MAX(0,V293+W293-X293))&lt;0.00000001,0,MAX(0,V293+W293-X293))</x:f>
        <x:v>25009.49516922946</x:v>
      </x:c>
      <x:c r="Z293" s="40" t="n">
        <x:f>MAX(0,'Inputs &amp; Summary'!$B$18-X293)</x:f>
        <x:v>0</x:v>
      </x:c>
      <x:c r="AA293" s="40" t="n">
        <x:f>AC292</x:f>
        <x:v>473381.39179894346</x:v>
      </x:c>
      <x:c r="AB293" s="40" t="n">
        <x:f>J293</x:f>
        <x:v>2274.9999999999995</x:v>
      </x:c>
      <x:c r="AC293" s="40" t="n">
        <x:f>AA293*(1+'Inputs &amp; Summary'!$B$17)+Z293+AB293</x:f>
        <x:v>477960.5996602173</x:v>
      </x:c>
      <x:c r="AD293" s="40" t="n">
        <x:f>F293+H293+J293</x:f>
        <x:v>4599.5864079990515</x:v>
      </x:c>
      <x:c r="AE293" s="40" t="n">
        <x:f>X293+Z293+AB293</x:f>
        <x:v>4599.5864079990515</x:v>
      </x:c>
      <x:c r="AF293" s="40" t="n">
        <x:f>AD293-AE293</x:f>
        <x:v>0</x:v>
      </x:c>
      <x:c r="AG293" s="42" t="n">
        <x:f>(O293+S293)/'Inputs &amp; Summary'!$B$4</x:f>
        <x:v>0.5999999999999999</x:v>
      </x:c>
      <x:c r="AH293" s="40" t="n">
        <x:f>U293-O293-S293</x:f>
        <x:v>551735.0813468134</x:v>
      </x:c>
      <x:c r="AI293" s="40" t="n">
        <x:f>AC293-Y293</x:f>
        <x:v>452951.10449098784</x:v>
      </x:c>
      <x:c r="AJ293" s="40" t="n">
        <x:f>AH293-AI293</x:f>
        <x:v>98783.97685582552</x:v>
      </x:c>
    </x:row>
    <x:row r="294">
      <x:c r="A294" t="n">
        <x:f>A293+1</x:f>
        <x:v>290</x:v>
      </x:c>
      <x:c r="B294" t="n">
        <x:f>INT((A294-1)/12)+1</x:f>
        <x:v>25</x:v>
      </x:c>
      <x:c r="C294" t="n">
        <x:f>MOD(A294-1,12)+1</x:f>
        <x:v>2</x:v>
      </x:c>
      <x:c r="D294" s="40" t="n">
        <x:f>O293</x:f>
        <x:v>0</x:v>
      </x:c>
      <x:c r="E294" s="40" t="n">
        <x:f>D294*'Inputs &amp; Summary'!$B$15</x:f>
        <x:v>0</x:v>
      </x:c>
      <x:c r="F294" s="40" t="n">
        <x:f>IF(D294&lt;=0.00000001,0,MIN('Inputs &amp; Summary'!$B$18,D294+E294))</x:f>
        <x:v>0</x:v>
      </x:c>
      <x:c r="G294" s="40" t="n">
        <x:f>IF(ABS(MAX(0,D294+E294-F294))&lt;0.00000001,0,MAX(0,D294+E294-F294))</x:f>
        <x:v>0</x:v>
      </x:c>
      <x:c r="H294" s="40" t="n">
        <x:f>MAX(0,'Inputs &amp; Summary'!$B$18-F294)</x:f>
        <x:v>2324.586407999052</x:v>
      </x:c>
      <x:c r="I294" s="40" t="n">
        <x:f>S293</x:f>
        <x:v>419999.99999999994</x:v>
      </x:c>
      <x:c r="J294" s="40" t="n">
        <x:f>I294*'Inputs &amp; Summary'!$B$16</x:f>
        <x:v>2274.9999999999995</x:v>
      </x:c>
      <x:c r="K294" s="40" t="n">
        <x:f>IF(C294=1,J294,K293+J294)</x:f>
        <x:v>4549.999999999999</x:v>
      </x:c>
      <x:c r="L294" s="40" t="n">
        <x:f>IF(C294=12,K294*'Inputs &amp; Summary'!$B$11*'Inputs &amp; Summary'!$B$12,0)</x:f>
        <x:v>0</x:v>
      </x:c>
      <x:c r="M294" s="40" t="n">
        <x:f>MIN(L294,G294)</x:f>
        <x:v>0</x:v>
      </x:c>
      <x:c r="N294" s="40" t="n">
        <x:f>MAX(0,L294-M294)</x:f>
        <x:v>0</x:v>
      </x:c>
      <x:c r="O294" s="40" t="n">
        <x:f>IF(ABS(MAX(0,G294-M294))&lt;0.00000001,0,MAX(0,G294-M294))</x:f>
        <x:v>0</x:v>
      </x:c>
      <x:c r="P294" s="40" t="n">
        <x:f>MAX(0,D294-O294)</x:f>
        <x:v>0</x:v>
      </x:c>
      <x:c r="Q294" s="40" t="n">
        <x:f>MAX(0,'Inputs &amp; Summary'!$B$19*'Inputs &amp; Summary'!$B$4-O294-I294)</x:f>
        <x:v>35000.00000000006</x:v>
      </x:c>
      <x:c r="R294" s="40" t="n">
        <x:f>MIN(P294,Q294)</x:f>
        <x:v>0</x:v>
      </x:c>
      <x:c r="S294" s="40" t="n">
        <x:f>I294+R294</x:f>
        <x:v>419999.99999999994</x:v>
      </x:c>
      <x:c r="T294" s="40" t="n">
        <x:f>U293</x:f>
        <x:v>971735.0813468132</x:v>
      </x:c>
      <x:c r="U294" s="40" t="n">
        <x:f>T294*(1+'Inputs &amp; Summary'!$B$17)+R294+N294+H294</x:f>
        <x:v>978789.6373993857</x:v>
      </x:c>
      <x:c r="V294" s="40" t="n">
        <x:f>Y293</x:f>
        <x:v>25009.49516922946</x:v>
      </x:c>
      <x:c r="W294" s="40" t="n">
        <x:f>V294*'Inputs &amp; Summary'!$B$15</x:f>
        <x:v>92.91826695828424</x:v>
      </x:c>
      <x:c r="X294" s="40" t="n">
        <x:f>IF(V294&lt;=0.00000001,0,MIN('Inputs &amp; Summary'!$B$18,V294+W294))</x:f>
        <x:v>2324.586407999052</x:v>
      </x:c>
      <x:c r="Y294" s="40" t="n">
        <x:f>IF(ABS(MAX(0,V294+W294-X294))&lt;0.00000001,0,MAX(0,V294+W294-X294))</x:f>
        <x:v>22777.82702818869</x:v>
      </x:c>
      <x:c r="Z294" s="40" t="n">
        <x:f>MAX(0,'Inputs &amp; Summary'!$B$18-X294)</x:f>
        <x:v>0</x:v>
      </x:c>
      <x:c r="AA294" s="40" t="n">
        <x:f>AC293</x:f>
        <x:v>477960.5996602173</x:v>
      </x:c>
      <x:c r="AB294" s="40" t="n">
        <x:f>J294</x:f>
        <x:v>2274.9999999999995</x:v>
      </x:c>
      <x:c r="AC294" s="40" t="n">
        <x:f>AA294*(1+'Inputs &amp; Summary'!$B$17)+Z294+AB294</x:f>
        <x:v>482562.0970473051</x:v>
      </x:c>
      <x:c r="AD294" s="40" t="n">
        <x:f>F294+H294+J294</x:f>
        <x:v>4599.5864079990515</x:v>
      </x:c>
      <x:c r="AE294" s="40" t="n">
        <x:f>X294+Z294+AB294</x:f>
        <x:v>4599.5864079990515</x:v>
      </x:c>
      <x:c r="AF294" s="40" t="n">
        <x:f>AD294-AE294</x:f>
        <x:v>0</x:v>
      </x:c>
      <x:c r="AG294" s="42" t="n">
        <x:f>(O294+S294)/'Inputs &amp; Summary'!$B$4</x:f>
        <x:v>0.5999999999999999</x:v>
      </x:c>
      <x:c r="AH294" s="40" t="n">
        <x:f>U294-O294-S294</x:f>
        <x:v>558789.6373993857</x:v>
      </x:c>
      <x:c r="AI294" s="40" t="n">
        <x:f>AC294-Y294</x:f>
        <x:v>459784.2700191164</x:v>
      </x:c>
      <x:c r="AJ294" s="40" t="n">
        <x:f>AH294-AI294</x:f>
        <x:v>99005.36738026928</x:v>
      </x:c>
    </x:row>
    <x:row r="295">
      <x:c r="A295" t="n">
        <x:f>A294+1</x:f>
        <x:v>291</x:v>
      </x:c>
      <x:c r="B295" t="n">
        <x:f>INT((A295-1)/12)+1</x:f>
        <x:v>25</x:v>
      </x:c>
      <x:c r="C295" t="n">
        <x:f>MOD(A295-1,12)+1</x:f>
        <x:v>3</x:v>
      </x:c>
      <x:c r="D295" s="40" t="n">
        <x:f>O294</x:f>
        <x:v>0</x:v>
      </x:c>
      <x:c r="E295" s="40" t="n">
        <x:f>D295*'Inputs &amp; Summary'!$B$15</x:f>
        <x:v>0</x:v>
      </x:c>
      <x:c r="F295" s="40" t="n">
        <x:f>IF(D295&lt;=0.00000001,0,MIN('Inputs &amp; Summary'!$B$18,D295+E295))</x:f>
        <x:v>0</x:v>
      </x:c>
      <x:c r="G295" s="40" t="n">
        <x:f>IF(ABS(MAX(0,D295+E295-F295))&lt;0.00000001,0,MAX(0,D295+E295-F295))</x:f>
        <x:v>0</x:v>
      </x:c>
      <x:c r="H295" s="40" t="n">
        <x:f>MAX(0,'Inputs &amp; Summary'!$B$18-F295)</x:f>
        <x:v>2324.586407999052</x:v>
      </x:c>
      <x:c r="I295" s="40" t="n">
        <x:f>S294</x:f>
        <x:v>419999.99999999994</x:v>
      </x:c>
      <x:c r="J295" s="40" t="n">
        <x:f>I295*'Inputs &amp; Summary'!$B$16</x:f>
        <x:v>2274.9999999999995</x:v>
      </x:c>
      <x:c r="K295" s="40" t="n">
        <x:f>IF(C295=1,J295,K294+J295)</x:f>
        <x:v>6824.999999999998</x:v>
      </x:c>
      <x:c r="L295" s="40" t="n">
        <x:f>IF(C295=12,K295*'Inputs &amp; Summary'!$B$11*'Inputs &amp; Summary'!$B$12,0)</x:f>
        <x:v>0</x:v>
      </x:c>
      <x:c r="M295" s="40" t="n">
        <x:f>MIN(L295,G295)</x:f>
        <x:v>0</x:v>
      </x:c>
      <x:c r="N295" s="40" t="n">
        <x:f>MAX(0,L295-M295)</x:f>
        <x:v>0</x:v>
      </x:c>
      <x:c r="O295" s="40" t="n">
        <x:f>IF(ABS(MAX(0,G295-M295))&lt;0.00000001,0,MAX(0,G295-M295))</x:f>
        <x:v>0</x:v>
      </x:c>
      <x:c r="P295" s="40" t="n">
        <x:f>MAX(0,D295-O295)</x:f>
        <x:v>0</x:v>
      </x:c>
      <x:c r="Q295" s="40" t="n">
        <x:f>MAX(0,'Inputs &amp; Summary'!$B$19*'Inputs &amp; Summary'!$B$4-O295-I295)</x:f>
        <x:v>35000.00000000006</x:v>
      </x:c>
      <x:c r="R295" s="40" t="n">
        <x:f>MIN(P295,Q295)</x:f>
        <x:v>0</x:v>
      </x:c>
      <x:c r="S295" s="40" t="n">
        <x:f>I295+R295</x:f>
        <x:v>419999.99999999994</x:v>
      </x:c>
      <x:c r="T295" s="40" t="n">
        <x:f>U294</x:f>
        <x:v>978789.6373993857</x:v>
      </x:c>
      <x:c r="U295" s="40" t="n">
        <x:f>T295*(1+'Inputs &amp; Summary'!$B$17)+R295+N295+H295</x:f>
        <x:v>985878.5318602601</x:v>
      </x:c>
      <x:c r="V295" s="40" t="n">
        <x:f>Y294</x:f>
        <x:v>22777.82702818869</x:v>
      </x:c>
      <x:c r="W295" s="40" t="n">
        <x:f>V295*'Inputs &amp; Summary'!$B$15</x:f>
        <x:v>84.62690662940187</x:v>
      </x:c>
      <x:c r="X295" s="40" t="n">
        <x:f>IF(V295&lt;=0.00000001,0,MIN('Inputs &amp; Summary'!$B$18,V295+W295))</x:f>
        <x:v>2324.586407999052</x:v>
      </x:c>
      <x:c r="Y295" s="40" t="n">
        <x:f>IF(ABS(MAX(0,V295+W295-X295))&lt;0.00000001,0,MAX(0,V295+W295-X295))</x:f>
        <x:v>20537.867526819038</x:v>
      </x:c>
      <x:c r="Z295" s="40" t="n">
        <x:f>MAX(0,'Inputs &amp; Summary'!$B$18-X295)</x:f>
        <x:v>0</x:v>
      </x:c>
      <x:c r="AA295" s="40" t="n">
        <x:f>AC294</x:f>
        <x:v>482562.0970473051</x:v>
      </x:c>
      <x:c r="AB295" s="40" t="n">
        <x:f>J295</x:f>
        <x:v>2274.9999999999995</x:v>
      </x:c>
      <x:c r="AC295" s="40" t="n">
        <x:f>AA295*(1+'Inputs &amp; Summary'!$B$17)+Z295+AB295</x:f>
        <x:v>487185.9924556008</x:v>
      </x:c>
      <x:c r="AD295" s="40" t="n">
        <x:f>F295+H295+J295</x:f>
        <x:v>4599.5864079990515</x:v>
      </x:c>
      <x:c r="AE295" s="40" t="n">
        <x:f>X295+Z295+AB295</x:f>
        <x:v>4599.5864079990515</x:v>
      </x:c>
      <x:c r="AF295" s="40" t="n">
        <x:f>AD295-AE295</x:f>
        <x:v>0</x:v>
      </x:c>
      <x:c r="AG295" s="42" t="n">
        <x:f>(O295+S295)/'Inputs &amp; Summary'!$B$4</x:f>
        <x:v>0.5999999999999999</x:v>
      </x:c>
      <x:c r="AH295" s="40" t="n">
        <x:f>U295-O295-S295</x:f>
        <x:v>565878.5318602601</x:v>
      </x:c>
      <x:c r="AI295" s="40" t="n">
        <x:f>AC295-Y295</x:f>
        <x:v>466648.12492878176</x:v>
      </x:c>
      <x:c r="AJ295" s="40" t="n">
        <x:f>AH295-AI295</x:f>
        <x:v>99230.4069314783</x:v>
      </x:c>
    </x:row>
    <x:row r="296">
      <x:c r="A296" t="n">
        <x:f>A295+1</x:f>
        <x:v>292</x:v>
      </x:c>
      <x:c r="B296" t="n">
        <x:f>INT((A296-1)/12)+1</x:f>
        <x:v>25</x:v>
      </x:c>
      <x:c r="C296" t="n">
        <x:f>MOD(A296-1,12)+1</x:f>
        <x:v>4</x:v>
      </x:c>
      <x:c r="D296" s="40" t="n">
        <x:f>O295</x:f>
        <x:v>0</x:v>
      </x:c>
      <x:c r="E296" s="40" t="n">
        <x:f>D296*'Inputs &amp; Summary'!$B$15</x:f>
        <x:v>0</x:v>
      </x:c>
      <x:c r="F296" s="40" t="n">
        <x:f>IF(D296&lt;=0.00000001,0,MIN('Inputs &amp; Summary'!$B$18,D296+E296))</x:f>
        <x:v>0</x:v>
      </x:c>
      <x:c r="G296" s="40" t="n">
        <x:f>IF(ABS(MAX(0,D296+E296-F296))&lt;0.00000001,0,MAX(0,D296+E296-F296))</x:f>
        <x:v>0</x:v>
      </x:c>
      <x:c r="H296" s="40" t="n">
        <x:f>MAX(0,'Inputs &amp; Summary'!$B$18-F296)</x:f>
        <x:v>2324.586407999052</x:v>
      </x:c>
      <x:c r="I296" s="40" t="n">
        <x:f>S295</x:f>
        <x:v>419999.99999999994</x:v>
      </x:c>
      <x:c r="J296" s="40" t="n">
        <x:f>I296*'Inputs &amp; Summary'!$B$16</x:f>
        <x:v>2274.9999999999995</x:v>
      </x:c>
      <x:c r="K296" s="40" t="n">
        <x:f>IF(C296=1,J296,K295+J296)</x:f>
        <x:v>9099.999999999998</x:v>
      </x:c>
      <x:c r="L296" s="40" t="n">
        <x:f>IF(C296=12,K296*'Inputs &amp; Summary'!$B$11*'Inputs &amp; Summary'!$B$12,0)</x:f>
        <x:v>0</x:v>
      </x:c>
      <x:c r="M296" s="40" t="n">
        <x:f>MIN(L296,G296)</x:f>
        <x:v>0</x:v>
      </x:c>
      <x:c r="N296" s="40" t="n">
        <x:f>MAX(0,L296-M296)</x:f>
        <x:v>0</x:v>
      </x:c>
      <x:c r="O296" s="40" t="n">
        <x:f>IF(ABS(MAX(0,G296-M296))&lt;0.00000001,0,MAX(0,G296-M296))</x:f>
        <x:v>0</x:v>
      </x:c>
      <x:c r="P296" s="40" t="n">
        <x:f>MAX(0,D296-O296)</x:f>
        <x:v>0</x:v>
      </x:c>
      <x:c r="Q296" s="40" t="n">
        <x:f>MAX(0,'Inputs &amp; Summary'!$B$19*'Inputs &amp; Summary'!$B$4-O296-I296)</x:f>
        <x:v>35000.00000000006</x:v>
      </x:c>
      <x:c r="R296" s="40" t="n">
        <x:f>MIN(P296,Q296)</x:f>
        <x:v>0</x:v>
      </x:c>
      <x:c r="S296" s="40" t="n">
        <x:f>I296+R296</x:f>
        <x:v>419999.99999999994</x:v>
      </x:c>
      <x:c r="T296" s="40" t="n">
        <x:f>U295</x:f>
        <x:v>985878.5318602601</x:v>
      </x:c>
      <x:c r="U296" s="40" t="n">
        <x:f>T296*(1+'Inputs &amp; Summary'!$B$17)+R296+N296+H296</x:f>
        <x:v>993001.9318733751</x:v>
      </x:c>
      <x:c r="V296" s="40" t="n">
        <x:f>Y295</x:f>
        <x:v>20537.867526819038</x:v>
      </x:c>
      <x:c r="W296" s="40" t="n">
        <x:f>V296*'Inputs &amp; Summary'!$B$15</x:f>
        <x:v>76.30474124718783</x:v>
      </x:c>
      <x:c r="X296" s="40" t="n">
        <x:f>IF(V296&lt;=0.00000001,0,MIN('Inputs &amp; Summary'!$B$18,V296+W296))</x:f>
        <x:v>2324.586407999052</x:v>
      </x:c>
      <x:c r="Y296" s="40" t="n">
        <x:f>IF(ABS(MAX(0,V296+W296-X296))&lt;0.00000001,0,MAX(0,V296+W296-X296))</x:f>
        <x:v>18289.58586006717</x:v>
      </x:c>
      <x:c r="Z296" s="40" t="n">
        <x:f>MAX(0,'Inputs &amp; Summary'!$B$18-X296)</x:f>
        <x:v>0</x:v>
      </x:c>
      <x:c r="AA296" s="40" t="n">
        <x:f>AC295</x:f>
        <x:v>487185.9924556008</x:v>
      </x:c>
      <x:c r="AB296" s="40" t="n">
        <x:f>J296</x:f>
        <x:v>2274.9999999999995</x:v>
      </x:c>
      <x:c r="AC296" s="40" t="n">
        <x:f>AA296*(1+'Inputs &amp; Summary'!$B$17)+Z296+AB296</x:f>
        <x:v>491832.3949086053</x:v>
      </x:c>
      <x:c r="AD296" s="40" t="n">
        <x:f>F296+H296+J296</x:f>
        <x:v>4599.5864079990515</x:v>
      </x:c>
      <x:c r="AE296" s="40" t="n">
        <x:f>X296+Z296+AB296</x:f>
        <x:v>4599.5864079990515</x:v>
      </x:c>
      <x:c r="AF296" s="40" t="n">
        <x:f>AD296-AE296</x:f>
        <x:v>0</x:v>
      </x:c>
      <x:c r="AG296" s="42" t="n">
        <x:f>(O296+S296)/'Inputs &amp; Summary'!$B$4</x:f>
        <x:v>0.5999999999999999</x:v>
      </x:c>
      <x:c r="AH296" s="40" t="n">
        <x:f>U296-O296-S296</x:f>
        <x:v>573001.9318733751</x:v>
      </x:c>
      <x:c r="AI296" s="40" t="n">
        <x:f>AC296-Y296</x:f>
        <x:v>473542.80904853815</x:v>
      </x:c>
      <x:c r="AJ296" s="40" t="n">
        <x:f>AH296-AI296</x:f>
        <x:v>99459.12282483693</x:v>
      </x:c>
    </x:row>
    <x:row r="297">
      <x:c r="A297" t="n">
        <x:f>A296+1</x:f>
        <x:v>293</x:v>
      </x:c>
      <x:c r="B297" t="n">
        <x:f>INT((A297-1)/12)+1</x:f>
        <x:v>25</x:v>
      </x:c>
      <x:c r="C297" t="n">
        <x:f>MOD(A297-1,12)+1</x:f>
        <x:v>5</x:v>
      </x:c>
      <x:c r="D297" s="40" t="n">
        <x:f>O296</x:f>
        <x:v>0</x:v>
      </x:c>
      <x:c r="E297" s="40" t="n">
        <x:f>D297*'Inputs &amp; Summary'!$B$15</x:f>
        <x:v>0</x:v>
      </x:c>
      <x:c r="F297" s="40" t="n">
        <x:f>IF(D297&lt;=0.00000001,0,MIN('Inputs &amp; Summary'!$B$18,D297+E297))</x:f>
        <x:v>0</x:v>
      </x:c>
      <x:c r="G297" s="40" t="n">
        <x:f>IF(ABS(MAX(0,D297+E297-F297))&lt;0.00000001,0,MAX(0,D297+E297-F297))</x:f>
        <x:v>0</x:v>
      </x:c>
      <x:c r="H297" s="40" t="n">
        <x:f>MAX(0,'Inputs &amp; Summary'!$B$18-F297)</x:f>
        <x:v>2324.586407999052</x:v>
      </x:c>
      <x:c r="I297" s="40" t="n">
        <x:f>S296</x:f>
        <x:v>419999.99999999994</x:v>
      </x:c>
      <x:c r="J297" s="40" t="n">
        <x:f>I297*'Inputs &amp; Summary'!$B$16</x:f>
        <x:v>2274.9999999999995</x:v>
      </x:c>
      <x:c r="K297" s="40" t="n">
        <x:f>IF(C297=1,J297,K296+J297)</x:f>
        <x:v>11374.999999999998</x:v>
      </x:c>
      <x:c r="L297" s="40" t="n">
        <x:f>IF(C297=12,K297*'Inputs &amp; Summary'!$B$11*'Inputs &amp; Summary'!$B$12,0)</x:f>
        <x:v>0</x:v>
      </x:c>
      <x:c r="M297" s="40" t="n">
        <x:f>MIN(L297,G297)</x:f>
        <x:v>0</x:v>
      </x:c>
      <x:c r="N297" s="40" t="n">
        <x:f>MAX(0,L297-M297)</x:f>
        <x:v>0</x:v>
      </x:c>
      <x:c r="O297" s="40" t="n">
        <x:f>IF(ABS(MAX(0,G297-M297))&lt;0.00000001,0,MAX(0,G297-M297))</x:f>
        <x:v>0</x:v>
      </x:c>
      <x:c r="P297" s="40" t="n">
        <x:f>MAX(0,D297-O297)</x:f>
        <x:v>0</x:v>
      </x:c>
      <x:c r="Q297" s="40" t="n">
        <x:f>MAX(0,'Inputs &amp; Summary'!$B$19*'Inputs &amp; Summary'!$B$4-O297-I297)</x:f>
        <x:v>35000.00000000006</x:v>
      </x:c>
      <x:c r="R297" s="40" t="n">
        <x:f>MIN(P297,Q297)</x:f>
        <x:v>0</x:v>
      </x:c>
      <x:c r="S297" s="40" t="n">
        <x:f>I297+R297</x:f>
        <x:v>419999.99999999994</x:v>
      </x:c>
      <x:c r="T297" s="40" t="n">
        <x:f>U296</x:f>
        <x:v>993001.9318733751</x:v>
      </x:c>
      <x:c r="U297" s="40" t="n">
        <x:f>T297*(1+'Inputs &amp; Summary'!$B$17)+R297+N297+H297</x:f>
        <x:v>1000160.0053962511</x:v>
      </x:c>
      <x:c r="V297" s="40" t="n">
        <x:f>Y296</x:f>
        <x:v>18289.58586006717</x:v>
      </x:c>
      <x:c r="W297" s="40" t="n">
        <x:f>V297*'Inputs &amp; Summary'!$B$15</x:f>
        <x:v>67.95165636102448</x:v>
      </x:c>
      <x:c r="X297" s="40" t="n">
        <x:f>IF(V297&lt;=0.00000001,0,MIN('Inputs &amp; Summary'!$B$18,V297+W297))</x:f>
        <x:v>2324.586407999052</x:v>
      </x:c>
      <x:c r="Y297" s="40" t="n">
        <x:f>IF(ABS(MAX(0,V297+W297-X297))&lt;0.00000001,0,MAX(0,V297+W297-X297))</x:f>
        <x:v>16032.951108429143</x:v>
      </x:c>
      <x:c r="Z297" s="40" t="n">
        <x:f>MAX(0,'Inputs &amp; Summary'!$B$18-X297)</x:f>
        <x:v>0</x:v>
      </x:c>
      <x:c r="AA297" s="40" t="n">
        <x:f>AC296</x:f>
        <x:v>491832.3949086053</x:v>
      </x:c>
      <x:c r="AB297" s="40" t="n">
        <x:f>J297</x:f>
        <x:v>2274.9999999999995</x:v>
      </x:c>
      <x:c r="AC297" s="40" t="n">
        <x:f>AA297*(1+'Inputs &amp; Summary'!$B$17)+Z297+AB297</x:f>
        <x:v>496501.4139604967</x:v>
      </x:c>
      <x:c r="AD297" s="40" t="n">
        <x:f>F297+H297+J297</x:f>
        <x:v>4599.5864079990515</x:v>
      </x:c>
      <x:c r="AE297" s="40" t="n">
        <x:f>X297+Z297+AB297</x:f>
        <x:v>4599.5864079990515</x:v>
      </x:c>
      <x:c r="AF297" s="40" t="n">
        <x:f>AD297-AE297</x:f>
        <x:v>0</x:v>
      </x:c>
      <x:c r="AG297" s="42" t="n">
        <x:f>(O297+S297)/'Inputs &amp; Summary'!$B$4</x:f>
        <x:v>0.5999999999999999</x:v>
      </x:c>
      <x:c r="AH297" s="40" t="n">
        <x:f>U297-O297-S297</x:f>
        <x:v>580160.0053962511</x:v>
      </x:c>
      <x:c r="AI297" s="40" t="n">
        <x:f>AC297-Y297</x:f>
        <x:v>480468.4628520676</x:v>
      </x:c>
      <x:c r="AJ297" s="40" t="n">
        <x:f>AH297-AI297</x:f>
        <x:v>99691.5425441835</x:v>
      </x:c>
    </x:row>
    <x:row r="298">
      <x:c r="A298" t="n">
        <x:f>A297+1</x:f>
        <x:v>294</x:v>
      </x:c>
      <x:c r="B298" t="n">
        <x:f>INT((A298-1)/12)+1</x:f>
        <x:v>25</x:v>
      </x:c>
      <x:c r="C298" t="n">
        <x:f>MOD(A298-1,12)+1</x:f>
        <x:v>6</x:v>
      </x:c>
      <x:c r="D298" s="40" t="n">
        <x:f>O297</x:f>
        <x:v>0</x:v>
      </x:c>
      <x:c r="E298" s="40" t="n">
        <x:f>D298*'Inputs &amp; Summary'!$B$15</x:f>
        <x:v>0</x:v>
      </x:c>
      <x:c r="F298" s="40" t="n">
        <x:f>IF(D298&lt;=0.00000001,0,MIN('Inputs &amp; Summary'!$B$18,D298+E298))</x:f>
        <x:v>0</x:v>
      </x:c>
      <x:c r="G298" s="40" t="n">
        <x:f>IF(ABS(MAX(0,D298+E298-F298))&lt;0.00000001,0,MAX(0,D298+E298-F298))</x:f>
        <x:v>0</x:v>
      </x:c>
      <x:c r="H298" s="40" t="n">
        <x:f>MAX(0,'Inputs &amp; Summary'!$B$18-F298)</x:f>
        <x:v>2324.586407999052</x:v>
      </x:c>
      <x:c r="I298" s="40" t="n">
        <x:f>S297</x:f>
        <x:v>419999.99999999994</x:v>
      </x:c>
      <x:c r="J298" s="40" t="n">
        <x:f>I298*'Inputs &amp; Summary'!$B$16</x:f>
        <x:v>2274.9999999999995</x:v>
      </x:c>
      <x:c r="K298" s="40" t="n">
        <x:f>IF(C298=1,J298,K297+J298)</x:f>
        <x:v>13649.999999999998</x:v>
      </x:c>
      <x:c r="L298" s="40" t="n">
        <x:f>IF(C298=12,K298*'Inputs &amp; Summary'!$B$11*'Inputs &amp; Summary'!$B$12,0)</x:f>
        <x:v>0</x:v>
      </x:c>
      <x:c r="M298" s="40" t="n">
        <x:f>MIN(L298,G298)</x:f>
        <x:v>0</x:v>
      </x:c>
      <x:c r="N298" s="40" t="n">
        <x:f>MAX(0,L298-M298)</x:f>
        <x:v>0</x:v>
      </x:c>
      <x:c r="O298" s="40" t="n">
        <x:f>IF(ABS(MAX(0,G298-M298))&lt;0.00000001,0,MAX(0,G298-M298))</x:f>
        <x:v>0</x:v>
      </x:c>
      <x:c r="P298" s="40" t="n">
        <x:f>MAX(0,D298-O298)</x:f>
        <x:v>0</x:v>
      </x:c>
      <x:c r="Q298" s="40" t="n">
        <x:f>MAX(0,'Inputs &amp; Summary'!$B$19*'Inputs &amp; Summary'!$B$4-O298-I298)</x:f>
        <x:v>35000.00000000006</x:v>
      </x:c>
      <x:c r="R298" s="40" t="n">
        <x:f>MIN(P298,Q298)</x:f>
        <x:v>0</x:v>
      </x:c>
      <x:c r="S298" s="40" t="n">
        <x:f>I298+R298</x:f>
        <x:v>419999.99999999994</x:v>
      </x:c>
      <x:c r="T298" s="40" t="n">
        <x:f>U297</x:f>
        <x:v>1000160.0053962511</x:v>
      </x:c>
      <x:c r="U298" s="40" t="n">
        <x:f>T298*(1+'Inputs &amp; Summary'!$B$17)+R298+N298+H298</x:f>
        <x:v>1007352.9212039502</x:v>
      </x:c>
      <x:c r="V298" s="40" t="n">
        <x:f>Y297</x:f>
        <x:v>16032.951108429143</x:v>
      </x:c>
      <x:c r="W298" s="40" t="n">
        <x:f>V298*'Inputs &amp; Summary'!$B$15</x:f>
        <x:v>59.56753709507353</x:v>
      </x:c>
      <x:c r="X298" s="40" t="n">
        <x:f>IF(V298&lt;=0.00000001,0,MIN('Inputs &amp; Summary'!$B$18,V298+W298))</x:f>
        <x:v>2324.586407999052</x:v>
      </x:c>
      <x:c r="Y298" s="40" t="n">
        <x:f>IF(ABS(MAX(0,V298+W298-X298))&lt;0.00000001,0,MAX(0,V298+W298-X298))</x:f>
        <x:v>13767.932237525165</x:v>
      </x:c>
      <x:c r="Z298" s="40" t="n">
        <x:f>MAX(0,'Inputs &amp; Summary'!$B$18-X298)</x:f>
        <x:v>0</x:v>
      </x:c>
      <x:c r="AA298" s="40" t="n">
        <x:f>AC297</x:f>
        <x:v>496501.4139604967</x:v>
      </x:c>
      <x:c r="AB298" s="40" t="n">
        <x:f>J298</x:f>
        <x:v>2274.9999999999995</x:v>
      </x:c>
      <x:c r="AC298" s="40" t="n">
        <x:f>AA298*(1+'Inputs &amp; Summary'!$B$17)+Z298+AB298</x:f>
        <x:v>501193.15969871375</x:v>
      </x:c>
      <x:c r="AD298" s="40" t="n">
        <x:f>F298+H298+J298</x:f>
        <x:v>4599.5864079990515</x:v>
      </x:c>
      <x:c r="AE298" s="40" t="n">
        <x:f>X298+Z298+AB298</x:f>
        <x:v>4599.5864079990515</x:v>
      </x:c>
      <x:c r="AF298" s="40" t="n">
        <x:f>AD298-AE298</x:f>
        <x:v>0</x:v>
      </x:c>
      <x:c r="AG298" s="42" t="n">
        <x:f>(O298+S298)/'Inputs &amp; Summary'!$B$4</x:f>
        <x:v>0.5999999999999999</x:v>
      </x:c>
      <x:c r="AH298" s="40" t="n">
        <x:f>U298-O298-S298</x:f>
        <x:v>587352.9212039502</x:v>
      </x:c>
      <x:c r="AI298" s="40" t="n">
        <x:f>AC298-Y298</x:f>
        <x:v>487425.22746118857</x:v>
      </x:c>
      <x:c r="AJ298" s="40" t="n">
        <x:f>AH298-AI298</x:f>
        <x:v>99927.69374276162</x:v>
      </x:c>
    </x:row>
    <x:row r="299">
      <x:c r="A299" t="n">
        <x:f>A298+1</x:f>
        <x:v>295</x:v>
      </x:c>
      <x:c r="B299" t="n">
        <x:f>INT((A299-1)/12)+1</x:f>
        <x:v>25</x:v>
      </x:c>
      <x:c r="C299" t="n">
        <x:f>MOD(A299-1,12)+1</x:f>
        <x:v>7</x:v>
      </x:c>
      <x:c r="D299" s="40" t="n">
        <x:f>O298</x:f>
        <x:v>0</x:v>
      </x:c>
      <x:c r="E299" s="40" t="n">
        <x:f>D299*'Inputs &amp; Summary'!$B$15</x:f>
        <x:v>0</x:v>
      </x:c>
      <x:c r="F299" s="40" t="n">
        <x:f>IF(D299&lt;=0.00000001,0,MIN('Inputs &amp; Summary'!$B$18,D299+E299))</x:f>
        <x:v>0</x:v>
      </x:c>
      <x:c r="G299" s="40" t="n">
        <x:f>IF(ABS(MAX(0,D299+E299-F299))&lt;0.00000001,0,MAX(0,D299+E299-F299))</x:f>
        <x:v>0</x:v>
      </x:c>
      <x:c r="H299" s="40" t="n">
        <x:f>MAX(0,'Inputs &amp; Summary'!$B$18-F299)</x:f>
        <x:v>2324.586407999052</x:v>
      </x:c>
      <x:c r="I299" s="40" t="n">
        <x:f>S298</x:f>
        <x:v>419999.99999999994</x:v>
      </x:c>
      <x:c r="J299" s="40" t="n">
        <x:f>I299*'Inputs &amp; Summary'!$B$16</x:f>
        <x:v>2274.9999999999995</x:v>
      </x:c>
      <x:c r="K299" s="40" t="n">
        <x:f>IF(C299=1,J299,K298+J299)</x:f>
        <x:v>15924.999999999998</x:v>
      </x:c>
      <x:c r="L299" s="40" t="n">
        <x:f>IF(C299=12,K299*'Inputs &amp; Summary'!$B$11*'Inputs &amp; Summary'!$B$12,0)</x:f>
        <x:v>0</x:v>
      </x:c>
      <x:c r="M299" s="40" t="n">
        <x:f>MIN(L299,G299)</x:f>
        <x:v>0</x:v>
      </x:c>
      <x:c r="N299" s="40" t="n">
        <x:f>MAX(0,L299-M299)</x:f>
        <x:v>0</x:v>
      </x:c>
      <x:c r="O299" s="40" t="n">
        <x:f>IF(ABS(MAX(0,G299-M299))&lt;0.00000001,0,MAX(0,G299-M299))</x:f>
        <x:v>0</x:v>
      </x:c>
      <x:c r="P299" s="40" t="n">
        <x:f>MAX(0,D299-O299)</x:f>
        <x:v>0</x:v>
      </x:c>
      <x:c r="Q299" s="40" t="n">
        <x:f>MAX(0,'Inputs &amp; Summary'!$B$19*'Inputs &amp; Summary'!$B$4-O299-I299)</x:f>
        <x:v>35000.00000000006</x:v>
      </x:c>
      <x:c r="R299" s="40" t="n">
        <x:f>MIN(P299,Q299)</x:f>
        <x:v>0</x:v>
      </x:c>
      <x:c r="S299" s="40" t="n">
        <x:f>I299+R299</x:f>
        <x:v>419999.99999999994</x:v>
      </x:c>
      <x:c r="T299" s="40" t="n">
        <x:f>U298</x:f>
        <x:v>1007352.9212039502</x:v>
      </x:c>
      <x:c r="U299" s="40" t="n">
        <x:f>T299*(1+'Inputs &amp; Summary'!$B$17)+R299+N299+H299</x:f>
        <x:v>1014580.8488930555</x:v>
      </x:c>
      <x:c r="V299" s="40" t="n">
        <x:f>Y298</x:f>
        <x:v>13767.932237525165</x:v>
      </x:c>
      <x:c r="W299" s="40" t="n">
        <x:f>V299*'Inputs &amp; Summary'!$B$15</x:f>
        <x:v>51.15226814669629</x:v>
      </x:c>
      <x:c r="X299" s="40" t="n">
        <x:f>IF(V299&lt;=0.00000001,0,MIN('Inputs &amp; Summary'!$B$18,V299+W299))</x:f>
        <x:v>2324.586407999052</x:v>
      </x:c>
      <x:c r="Y299" s="40" t="n">
        <x:f>IF(ABS(MAX(0,V299+W299-X299))&lt;0.00000001,0,MAX(0,V299+W299-X299))</x:f>
        <x:v>11494.49809767281</x:v>
      </x:c>
      <x:c r="Z299" s="40" t="n">
        <x:f>MAX(0,'Inputs &amp; Summary'!$B$18-X299)</x:f>
        <x:v>0</x:v>
      </x:c>
      <x:c r="AA299" s="40" t="n">
        <x:f>AC298</x:f>
        <x:v>501193.15969871375</x:v>
      </x:c>
      <x:c r="AB299" s="40" t="n">
        <x:f>J299</x:f>
        <x:v>2274.9999999999995</x:v>
      </x:c>
      <x:c r="AC299" s="40" t="n">
        <x:f>AA299*(1+'Inputs &amp; Summary'!$B$17)+Z299+AB299</x:f>
        <x:v>505907.7427465513</x:v>
      </x:c>
      <x:c r="AD299" s="40" t="n">
        <x:f>F299+H299+J299</x:f>
        <x:v>4599.5864079990515</x:v>
      </x:c>
      <x:c r="AE299" s="40" t="n">
        <x:f>X299+Z299+AB299</x:f>
        <x:v>4599.5864079990515</x:v>
      </x:c>
      <x:c r="AF299" s="40" t="n">
        <x:f>AD299-AE299</x:f>
        <x:v>0</x:v>
      </x:c>
      <x:c r="AG299" s="42" t="n">
        <x:f>(O299+S299)/'Inputs &amp; Summary'!$B$4</x:f>
        <x:v>0.5999999999999999</x:v>
      </x:c>
      <x:c r="AH299" s="40" t="n">
        <x:f>U299-O299-S299</x:f>
        <x:v>594580.8488930555</x:v>
      </x:c>
      <x:c r="AI299" s="40" t="n">
        <x:f>AC299-Y299</x:f>
        <x:v>494413.24464887846</x:v>
      </x:c>
      <x:c r="AJ299" s="40" t="n">
        <x:f>AH299-AI299</x:f>
        <x:v>100167.604244177</x:v>
      </x:c>
    </x:row>
    <x:row r="300">
      <x:c r="A300" t="n">
        <x:f>A299+1</x:f>
        <x:v>296</x:v>
      </x:c>
      <x:c r="B300" t="n">
        <x:f>INT((A300-1)/12)+1</x:f>
        <x:v>25</x:v>
      </x:c>
      <x:c r="C300" t="n">
        <x:f>MOD(A300-1,12)+1</x:f>
        <x:v>8</x:v>
      </x:c>
      <x:c r="D300" s="40" t="n">
        <x:f>O299</x:f>
        <x:v>0</x:v>
      </x:c>
      <x:c r="E300" s="40" t="n">
        <x:f>D300*'Inputs &amp; Summary'!$B$15</x:f>
        <x:v>0</x:v>
      </x:c>
      <x:c r="F300" s="40" t="n">
        <x:f>IF(D300&lt;=0.00000001,0,MIN('Inputs &amp; Summary'!$B$18,D300+E300))</x:f>
        <x:v>0</x:v>
      </x:c>
      <x:c r="G300" s="40" t="n">
        <x:f>IF(ABS(MAX(0,D300+E300-F300))&lt;0.00000001,0,MAX(0,D300+E300-F300))</x:f>
        <x:v>0</x:v>
      </x:c>
      <x:c r="H300" s="40" t="n">
        <x:f>MAX(0,'Inputs &amp; Summary'!$B$18-F300)</x:f>
        <x:v>2324.586407999052</x:v>
      </x:c>
      <x:c r="I300" s="40" t="n">
        <x:f>S299</x:f>
        <x:v>419999.99999999994</x:v>
      </x:c>
      <x:c r="J300" s="40" t="n">
        <x:f>I300*'Inputs &amp; Summary'!$B$16</x:f>
        <x:v>2274.9999999999995</x:v>
      </x:c>
      <x:c r="K300" s="40" t="n">
        <x:f>IF(C300=1,J300,K299+J300)</x:f>
        <x:v>18199.999999999996</x:v>
      </x:c>
      <x:c r="L300" s="40" t="n">
        <x:f>IF(C300=12,K300*'Inputs &amp; Summary'!$B$11*'Inputs &amp; Summary'!$B$12,0)</x:f>
        <x:v>0</x:v>
      </x:c>
      <x:c r="M300" s="40" t="n">
        <x:f>MIN(L300,G300)</x:f>
        <x:v>0</x:v>
      </x:c>
      <x:c r="N300" s="40" t="n">
        <x:f>MAX(0,L300-M300)</x:f>
        <x:v>0</x:v>
      </x:c>
      <x:c r="O300" s="40" t="n">
        <x:f>IF(ABS(MAX(0,G300-M300))&lt;0.00000001,0,MAX(0,G300-M300))</x:f>
        <x:v>0</x:v>
      </x:c>
      <x:c r="P300" s="40" t="n">
        <x:f>MAX(0,D300-O300)</x:f>
        <x:v>0</x:v>
      </x:c>
      <x:c r="Q300" s="40" t="n">
        <x:f>MAX(0,'Inputs &amp; Summary'!$B$19*'Inputs &amp; Summary'!$B$4-O300-I300)</x:f>
        <x:v>35000.00000000006</x:v>
      </x:c>
      <x:c r="R300" s="40" t="n">
        <x:f>MIN(P300,Q300)</x:f>
        <x:v>0</x:v>
      </x:c>
      <x:c r="S300" s="40" t="n">
        <x:f>I300+R300</x:f>
        <x:v>419999.99999999994</x:v>
      </x:c>
      <x:c r="T300" s="40" t="n">
        <x:f>U299</x:f>
        <x:v>1014580.8488930555</x:v>
      </x:c>
      <x:c r="U300" s="40" t="n">
        <x:f>T300*(1+'Inputs &amp; Summary'!$B$17)+R300+N300+H300</x:f>
        <x:v>1021843.9588856702</x:v>
      </x:c>
      <x:c r="V300" s="40" t="n">
        <x:f>Y299</x:f>
        <x:v>11494.49809767281</x:v>
      </x:c>
      <x:c r="W300" s="40" t="n">
        <x:f>V300*'Inputs &amp; Summary'!$B$15</x:f>
        <x:v>42.705733784867874</x:v>
      </x:c>
      <x:c r="X300" s="40" t="n">
        <x:f>IF(V300&lt;=0.00000001,0,MIN('Inputs &amp; Summary'!$B$18,V300+W300))</x:f>
        <x:v>2324.586407999052</x:v>
      </x:c>
      <x:c r="Y300" s="40" t="n">
        <x:f>IF(ABS(MAX(0,V300+W300-X300))&lt;0.00000001,0,MAX(0,V300+W300-X300))</x:f>
        <x:v>9212.617423458625</x:v>
      </x:c>
      <x:c r="Z300" s="40" t="n">
        <x:f>MAX(0,'Inputs &amp; Summary'!$B$18-X300)</x:f>
        <x:v>0</x:v>
      </x:c>
      <x:c r="AA300" s="40" t="n">
        <x:f>AC299</x:f>
        <x:v>505907.7427465513</x:v>
      </x:c>
      <x:c r="AB300" s="40" t="n">
        <x:f>J300</x:f>
        <x:v>2274.9999999999995</x:v>
      </x:c>
      <x:c r="AC300" s="40" t="n">
        <x:f>AA300*(1+'Inputs &amp; Summary'!$B$17)+Z300+AB300</x:f>
        <x:v>510645.2742657687</x:v>
      </x:c>
      <x:c r="AD300" s="40" t="n">
        <x:f>F300+H300+J300</x:f>
        <x:v>4599.5864079990515</x:v>
      </x:c>
      <x:c r="AE300" s="40" t="n">
        <x:f>X300+Z300+AB300</x:f>
        <x:v>4599.5864079990515</x:v>
      </x:c>
      <x:c r="AF300" s="40" t="n">
        <x:f>AD300-AE300</x:f>
        <x:v>0</x:v>
      </x:c>
      <x:c r="AG300" s="42" t="n">
        <x:f>(O300+S300)/'Inputs &amp; Summary'!$B$4</x:f>
        <x:v>0.5999999999999999</x:v>
      </x:c>
      <x:c r="AH300" s="40" t="n">
        <x:f>U300-O300-S300</x:f>
        <x:v>601843.9588856702</x:v>
      </x:c>
      <x:c r="AI300" s="40" t="n">
        <x:f>AC300-Y300</x:f>
        <x:v>501432.6568423101</x:v>
      </x:c>
      <x:c r="AJ300" s="40" t="n">
        <x:f>AH300-AI300</x:f>
        <x:v>100411.30204336008</x:v>
      </x:c>
    </x:row>
    <x:row r="301">
      <x:c r="A301" t="n">
        <x:f>A300+1</x:f>
        <x:v>297</x:v>
      </x:c>
      <x:c r="B301" t="n">
        <x:f>INT((A301-1)/12)+1</x:f>
        <x:v>25</x:v>
      </x:c>
      <x:c r="C301" t="n">
        <x:f>MOD(A301-1,12)+1</x:f>
        <x:v>9</x:v>
      </x:c>
      <x:c r="D301" s="40" t="n">
        <x:f>O300</x:f>
        <x:v>0</x:v>
      </x:c>
      <x:c r="E301" s="40" t="n">
        <x:f>D301*'Inputs &amp; Summary'!$B$15</x:f>
        <x:v>0</x:v>
      </x:c>
      <x:c r="F301" s="40" t="n">
        <x:f>IF(D301&lt;=0.00000001,0,MIN('Inputs &amp; Summary'!$B$18,D301+E301))</x:f>
        <x:v>0</x:v>
      </x:c>
      <x:c r="G301" s="40" t="n">
        <x:f>IF(ABS(MAX(0,D301+E301-F301))&lt;0.00000001,0,MAX(0,D301+E301-F301))</x:f>
        <x:v>0</x:v>
      </x:c>
      <x:c r="H301" s="40" t="n">
        <x:f>MAX(0,'Inputs &amp; Summary'!$B$18-F301)</x:f>
        <x:v>2324.586407999052</x:v>
      </x:c>
      <x:c r="I301" s="40" t="n">
        <x:f>S300</x:f>
        <x:v>419999.99999999994</x:v>
      </x:c>
      <x:c r="J301" s="40" t="n">
        <x:f>I301*'Inputs &amp; Summary'!$B$16</x:f>
        <x:v>2274.9999999999995</x:v>
      </x:c>
      <x:c r="K301" s="40" t="n">
        <x:f>IF(C301=1,J301,K300+J301)</x:f>
        <x:v>20474.999999999996</x:v>
      </x:c>
      <x:c r="L301" s="40" t="n">
        <x:f>IF(C301=12,K301*'Inputs &amp; Summary'!$B$11*'Inputs &amp; Summary'!$B$12,0)</x:f>
        <x:v>0</x:v>
      </x:c>
      <x:c r="M301" s="40" t="n">
        <x:f>MIN(L301,G301)</x:f>
        <x:v>0</x:v>
      </x:c>
      <x:c r="N301" s="40" t="n">
        <x:f>MAX(0,L301-M301)</x:f>
        <x:v>0</x:v>
      </x:c>
      <x:c r="O301" s="40" t="n">
        <x:f>IF(ABS(MAX(0,G301-M301))&lt;0.00000001,0,MAX(0,G301-M301))</x:f>
        <x:v>0</x:v>
      </x:c>
      <x:c r="P301" s="40" t="n">
        <x:f>MAX(0,D301-O301)</x:f>
        <x:v>0</x:v>
      </x:c>
      <x:c r="Q301" s="40" t="n">
        <x:f>MAX(0,'Inputs &amp; Summary'!$B$19*'Inputs &amp; Summary'!$B$4-O301-I301)</x:f>
        <x:v>35000.00000000006</x:v>
      </x:c>
      <x:c r="R301" s="40" t="n">
        <x:f>MIN(P301,Q301)</x:f>
        <x:v>0</x:v>
      </x:c>
      <x:c r="S301" s="40" t="n">
        <x:f>I301+R301</x:f>
        <x:v>419999.99999999994</x:v>
      </x:c>
      <x:c r="T301" s="40" t="n">
        <x:f>U300</x:f>
        <x:v>1021843.9588856702</x:v>
      </x:c>
      <x:c r="U301" s="40" t="n">
        <x:f>T301*(1+'Inputs &amp; Summary'!$B$17)+R301+N301+H301</x:f>
        <x:v>1029142.4224334356</x:v>
      </x:c>
      <x:c r="V301" s="40" t="n">
        <x:f>Y300</x:f>
        <x:v>9212.617423458625</x:v>
      </x:c>
      <x:c r="W301" s="40" t="n">
        <x:f>V301*'Inputs &amp; Summary'!$B$15</x:f>
        <x:v>34.22781784858567</x:v>
      </x:c>
      <x:c r="X301" s="40" t="n">
        <x:f>IF(V301&lt;=0.00000001,0,MIN('Inputs &amp; Summary'!$B$18,V301+W301))</x:f>
        <x:v>2324.586407999052</x:v>
      </x:c>
      <x:c r="Y301" s="40" t="n">
        <x:f>IF(ABS(MAX(0,V301+W301-X301))&lt;0.00000001,0,MAX(0,V301+W301-X301))</x:f>
        <x:v>6922.2588333081585</x:v>
      </x:c>
      <x:c r="Z301" s="40" t="n">
        <x:f>MAX(0,'Inputs &amp; Summary'!$B$18-X301)</x:f>
        <x:v>0</x:v>
      </x:c>
      <x:c r="AA301" s="40" t="n">
        <x:f>AC300</x:f>
        <x:v>510645.2742657687</x:v>
      </x:c>
      <x:c r="AB301" s="40" t="n">
        <x:f>J301</x:f>
        <x:v>2274.9999999999995</x:v>
      </x:c>
      <x:c r="AC301" s="40" t="n">
        <x:f>AA301*(1+'Inputs &amp; Summary'!$B$17)+Z301+AB301</x:f>
        <x:v>515405.8659592108</x:v>
      </x:c>
      <x:c r="AD301" s="40" t="n">
        <x:f>F301+H301+J301</x:f>
        <x:v>4599.5864079990515</x:v>
      </x:c>
      <x:c r="AE301" s="40" t="n">
        <x:f>X301+Z301+AB301</x:f>
        <x:v>4599.5864079990515</x:v>
      </x:c>
      <x:c r="AF301" s="40" t="n">
        <x:f>AD301-AE301</x:f>
        <x:v>0</x:v>
      </x:c>
      <x:c r="AG301" s="42" t="n">
        <x:f>(O301+S301)/'Inputs &amp; Summary'!$B$4</x:f>
        <x:v>0.5999999999999999</x:v>
      </x:c>
      <x:c r="AH301" s="40" t="n">
        <x:f>U301-O301-S301</x:f>
        <x:v>609142.4224334357</x:v>
      </x:c>
      <x:c r="AI301" s="40" t="n">
        <x:f>AC301-Y301</x:f>
        <x:v>508483.6071259026</x:v>
      </x:c>
      <x:c r="AJ301" s="40" t="n">
        <x:f>AH301-AI301</x:f>
        <x:v>100658.81530753308</x:v>
      </x:c>
    </x:row>
    <x:row r="302">
      <x:c r="A302" t="n">
        <x:f>A301+1</x:f>
        <x:v>298</x:v>
      </x:c>
      <x:c r="B302" t="n">
        <x:f>INT((A302-1)/12)+1</x:f>
        <x:v>25</x:v>
      </x:c>
      <x:c r="C302" t="n">
        <x:f>MOD(A302-1,12)+1</x:f>
        <x:v>10</x:v>
      </x:c>
      <x:c r="D302" s="40" t="n">
        <x:f>O301</x:f>
        <x:v>0</x:v>
      </x:c>
      <x:c r="E302" s="40" t="n">
        <x:f>D302*'Inputs &amp; Summary'!$B$15</x:f>
        <x:v>0</x:v>
      </x:c>
      <x:c r="F302" s="40" t="n">
        <x:f>IF(D302&lt;=0.00000001,0,MIN('Inputs &amp; Summary'!$B$18,D302+E302))</x:f>
        <x:v>0</x:v>
      </x:c>
      <x:c r="G302" s="40" t="n">
        <x:f>IF(ABS(MAX(0,D302+E302-F302))&lt;0.00000001,0,MAX(0,D302+E302-F302))</x:f>
        <x:v>0</x:v>
      </x:c>
      <x:c r="H302" s="40" t="n">
        <x:f>MAX(0,'Inputs &amp; Summary'!$B$18-F302)</x:f>
        <x:v>2324.586407999052</x:v>
      </x:c>
      <x:c r="I302" s="40" t="n">
        <x:f>S301</x:f>
        <x:v>419999.99999999994</x:v>
      </x:c>
      <x:c r="J302" s="40" t="n">
        <x:f>I302*'Inputs &amp; Summary'!$B$16</x:f>
        <x:v>2274.9999999999995</x:v>
      </x:c>
      <x:c r="K302" s="40" t="n">
        <x:f>IF(C302=1,J302,K301+J302)</x:f>
        <x:v>22749.999999999996</x:v>
      </x:c>
      <x:c r="L302" s="40" t="n">
        <x:f>IF(C302=12,K302*'Inputs &amp; Summary'!$B$11*'Inputs &amp; Summary'!$B$12,0)</x:f>
        <x:v>0</x:v>
      </x:c>
      <x:c r="M302" s="40" t="n">
        <x:f>MIN(L302,G302)</x:f>
        <x:v>0</x:v>
      </x:c>
      <x:c r="N302" s="40" t="n">
        <x:f>MAX(0,L302-M302)</x:f>
        <x:v>0</x:v>
      </x:c>
      <x:c r="O302" s="40" t="n">
        <x:f>IF(ABS(MAX(0,G302-M302))&lt;0.00000001,0,MAX(0,G302-M302))</x:f>
        <x:v>0</x:v>
      </x:c>
      <x:c r="P302" s="40" t="n">
        <x:f>MAX(0,D302-O302)</x:f>
        <x:v>0</x:v>
      </x:c>
      <x:c r="Q302" s="40" t="n">
        <x:f>MAX(0,'Inputs &amp; Summary'!$B$19*'Inputs &amp; Summary'!$B$4-O302-I302)</x:f>
        <x:v>35000.00000000006</x:v>
      </x:c>
      <x:c r="R302" s="40" t="n">
        <x:f>MIN(P302,Q302)</x:f>
        <x:v>0</x:v>
      </x:c>
      <x:c r="S302" s="40" t="n">
        <x:f>I302+R302</x:f>
        <x:v>419999.99999999994</x:v>
      </x:c>
      <x:c r="T302" s="40" t="n">
        <x:f>U301</x:f>
        <x:v>1029142.4224334356</x:v>
      </x:c>
      <x:c r="U302" s="40" t="n">
        <x:f>T302*(1+'Inputs &amp; Summary'!$B$17)+R302+N302+H302</x:f>
        <x:v>1036476.411621569</x:v>
      </x:c>
      <x:c r="V302" s="40" t="n">
        <x:f>Y301</x:f>
        <x:v>6922.2588333081585</x:v>
      </x:c>
      <x:c r="W302" s="40" t="n">
        <x:f>V302*'Inputs &amp; Summary'!$B$15</x:f>
        <x:v>25.71840374527183</x:v>
      </x:c>
      <x:c r="X302" s="40" t="n">
        <x:f>IF(V302&lt;=0.00000001,0,MIN('Inputs &amp; Summary'!$B$18,V302+W302))</x:f>
        <x:v>2324.586407999052</x:v>
      </x:c>
      <x:c r="Y302" s="40" t="n">
        <x:f>IF(ABS(MAX(0,V302+W302-X302))&lt;0.00000001,0,MAX(0,V302+W302-X302))</x:f>
        <x:v>4623.390829054379</x:v>
      </x:c>
      <x:c r="Z302" s="40" t="n">
        <x:f>MAX(0,'Inputs &amp; Summary'!$B$18-X302)</x:f>
        <x:v>0</x:v>
      </x:c>
      <x:c r="AA302" s="40" t="n">
        <x:f>AC301</x:f>
        <x:v>515405.8659592108</x:v>
      </x:c>
      <x:c r="AB302" s="40" t="n">
        <x:f>J302</x:f>
        <x:v>2274.9999999999995</x:v>
      </x:c>
      <x:c r="AC302" s="40" t="n">
        <x:f>AA302*(1+'Inputs &amp; Summary'!$B$17)+Z302+AB302</x:f>
        <x:v>520189.63007344166</x:v>
      </x:c>
      <x:c r="AD302" s="40" t="n">
        <x:f>F302+H302+J302</x:f>
        <x:v>4599.5864079990515</x:v>
      </x:c>
      <x:c r="AE302" s="40" t="n">
        <x:f>X302+Z302+AB302</x:f>
        <x:v>4599.5864079990515</x:v>
      </x:c>
      <x:c r="AF302" s="40" t="n">
        <x:f>AD302-AE302</x:f>
        <x:v>0</x:v>
      </x:c>
      <x:c r="AG302" s="42" t="n">
        <x:f>(O302+S302)/'Inputs &amp; Summary'!$B$4</x:f>
        <x:v>0.5999999999999999</x:v>
      </x:c>
      <x:c r="AH302" s="40" t="n">
        <x:f>U302-O302-S302</x:f>
        <x:v>616476.411621569</x:v>
      </x:c>
      <x:c r="AI302" s="40" t="n">
        <x:f>AC302-Y302</x:f>
        <x:v>515566.23924438725</x:v>
      </x:c>
      <x:c r="AJ302" s="40" t="n">
        <x:f>AH302-AI302</x:f>
        <x:v>100910.1723771817</x:v>
      </x:c>
    </x:row>
    <x:row r="303">
      <x:c r="A303" t="n">
        <x:f>A302+1</x:f>
        <x:v>299</x:v>
      </x:c>
      <x:c r="B303" t="n">
        <x:f>INT((A303-1)/12)+1</x:f>
        <x:v>25</x:v>
      </x:c>
      <x:c r="C303" t="n">
        <x:f>MOD(A303-1,12)+1</x:f>
        <x:v>11</x:v>
      </x:c>
      <x:c r="D303" s="40" t="n">
        <x:f>O302</x:f>
        <x:v>0</x:v>
      </x:c>
      <x:c r="E303" s="40" t="n">
        <x:f>D303*'Inputs &amp; Summary'!$B$15</x:f>
        <x:v>0</x:v>
      </x:c>
      <x:c r="F303" s="40" t="n">
        <x:f>IF(D303&lt;=0.00000001,0,MIN('Inputs &amp; Summary'!$B$18,D303+E303))</x:f>
        <x:v>0</x:v>
      </x:c>
      <x:c r="G303" s="40" t="n">
        <x:f>IF(ABS(MAX(0,D303+E303-F303))&lt;0.00000001,0,MAX(0,D303+E303-F303))</x:f>
        <x:v>0</x:v>
      </x:c>
      <x:c r="H303" s="40" t="n">
        <x:f>MAX(0,'Inputs &amp; Summary'!$B$18-F303)</x:f>
        <x:v>2324.586407999052</x:v>
      </x:c>
      <x:c r="I303" s="40" t="n">
        <x:f>S302</x:f>
        <x:v>419999.99999999994</x:v>
      </x:c>
      <x:c r="J303" s="40" t="n">
        <x:f>I303*'Inputs &amp; Summary'!$B$16</x:f>
        <x:v>2274.9999999999995</x:v>
      </x:c>
      <x:c r="K303" s="40" t="n">
        <x:f>IF(C303=1,J303,K302+J303)</x:f>
        <x:v>25024.999999999996</x:v>
      </x:c>
      <x:c r="L303" s="40" t="n">
        <x:f>IF(C303=12,K303*'Inputs &amp; Summary'!$B$11*'Inputs &amp; Summary'!$B$12,0)</x:f>
        <x:v>0</x:v>
      </x:c>
      <x:c r="M303" s="40" t="n">
        <x:f>MIN(L303,G303)</x:f>
        <x:v>0</x:v>
      </x:c>
      <x:c r="N303" s="40" t="n">
        <x:f>MAX(0,L303-M303)</x:f>
        <x:v>0</x:v>
      </x:c>
      <x:c r="O303" s="40" t="n">
        <x:f>IF(ABS(MAX(0,G303-M303))&lt;0.00000001,0,MAX(0,G303-M303))</x:f>
        <x:v>0</x:v>
      </x:c>
      <x:c r="P303" s="40" t="n">
        <x:f>MAX(0,D303-O303)</x:f>
        <x:v>0</x:v>
      </x:c>
      <x:c r="Q303" s="40" t="n">
        <x:f>MAX(0,'Inputs &amp; Summary'!$B$19*'Inputs &amp; Summary'!$B$4-O303-I303)</x:f>
        <x:v>35000.00000000006</x:v>
      </x:c>
      <x:c r="R303" s="40" t="n">
        <x:f>MIN(P303,Q303)</x:f>
        <x:v>0</x:v>
      </x:c>
      <x:c r="S303" s="40" t="n">
        <x:f>I303+R303</x:f>
        <x:v>419999.99999999994</x:v>
      </x:c>
      <x:c r="T303" s="40" t="n">
        <x:f>U302</x:f>
        <x:v>1036476.411621569</x:v>
      </x:c>
      <x:c r="U303" s="40" t="n">
        <x:f>T303*(1+'Inputs &amp; Summary'!$B$17)+R303+N303+H303</x:f>
        <x:v>1043846.0993729213</x:v>
      </x:c>
      <x:c r="V303" s="40" t="n">
        <x:f>Y302</x:f>
        <x:v>4623.390829054379</x:v>
      </x:c>
      <x:c r="W303" s="40" t="n">
        <x:f>V303*'Inputs &amp; Summary'!$B$15</x:f>
        <x:v>17.177374449169807</x:v>
      </x:c>
      <x:c r="X303" s="40" t="n">
        <x:f>IF(V303&lt;=0.00000001,0,MIN('Inputs &amp; Summary'!$B$18,V303+W303))</x:f>
        <x:v>2324.586407999052</x:v>
      </x:c>
      <x:c r="Y303" s="40" t="n">
        <x:f>IF(ABS(MAX(0,V303+W303-X303))&lt;0.00000001,0,MAX(0,V303+W303-X303))</x:f>
        <x:v>2315.981795504497</x:v>
      </x:c>
      <x:c r="Z303" s="40" t="n">
        <x:f>MAX(0,'Inputs &amp; Summary'!$B$18-X303)</x:f>
        <x:v>0</x:v>
      </x:c>
      <x:c r="AA303" s="40" t="n">
        <x:f>AC302</x:f>
        <x:v>520189.63007344166</x:v>
      </x:c>
      <x:c r="AB303" s="40" t="n">
        <x:f>J303</x:f>
        <x:v>2274.9999999999995</x:v>
      </x:c>
      <x:c r="AC303" s="40" t="n">
        <x:f>AA303*(1+'Inputs &amp; Summary'!$B$17)+Z303+AB303</x:f>
        <x:v>524996.6794013912</x:v>
      </x:c>
      <x:c r="AD303" s="40" t="n">
        <x:f>F303+H303+J303</x:f>
        <x:v>4599.5864079990515</x:v>
      </x:c>
      <x:c r="AE303" s="40" t="n">
        <x:f>X303+Z303+AB303</x:f>
        <x:v>4599.5864079990515</x:v>
      </x:c>
      <x:c r="AF303" s="40" t="n">
        <x:f>AD303-AE303</x:f>
        <x:v>0</x:v>
      </x:c>
      <x:c r="AG303" s="42" t="n">
        <x:f>(O303+S303)/'Inputs &amp; Summary'!$B$4</x:f>
        <x:v>0.5999999999999999</x:v>
      </x:c>
      <x:c r="AH303" s="40" t="n">
        <x:f>U303-O303-S303</x:f>
        <x:v>623846.0993729213</x:v>
      </x:c>
      <x:c r="AI303" s="40" t="n">
        <x:f>AC303-Y303</x:f>
        <x:v>522680.6976058867</x:v>
      </x:c>
      <x:c r="AJ303" s="40" t="n">
        <x:f>AH303-AI303</x:f>
        <x:v>101165.40176703461</x:v>
      </x:c>
    </x:row>
    <x:row r="304">
      <x:c r="A304" t="n">
        <x:f>A303+1</x:f>
        <x:v>300</x:v>
      </x:c>
      <x:c r="B304" t="n">
        <x:f>INT((A304-1)/12)+1</x:f>
        <x:v>25</x:v>
      </x:c>
      <x:c r="C304" t="n">
        <x:f>MOD(A304-1,12)+1</x:f>
        <x:v>12</x:v>
      </x:c>
      <x:c r="D304" s="40" t="n">
        <x:f>O303</x:f>
        <x:v>0</x:v>
      </x:c>
      <x:c r="E304" s="40" t="n">
        <x:f>D304*'Inputs &amp; Summary'!$B$15</x:f>
        <x:v>0</x:v>
      </x:c>
      <x:c r="F304" s="40" t="n">
        <x:f>IF(D304&lt;=0.00000001,0,MIN('Inputs &amp; Summary'!$B$18,D304+E304))</x:f>
        <x:v>0</x:v>
      </x:c>
      <x:c r="G304" s="40" t="n">
        <x:f>IF(ABS(MAX(0,D304+E304-F304))&lt;0.00000001,0,MAX(0,D304+E304-F304))</x:f>
        <x:v>0</x:v>
      </x:c>
      <x:c r="H304" s="40" t="n">
        <x:f>MAX(0,'Inputs &amp; Summary'!$B$18-F304)</x:f>
        <x:v>2324.586407999052</x:v>
      </x:c>
      <x:c r="I304" s="40" t="n">
        <x:f>S303</x:f>
        <x:v>419999.99999999994</x:v>
      </x:c>
      <x:c r="J304" s="40" t="n">
        <x:f>I304*'Inputs &amp; Summary'!$B$16</x:f>
        <x:v>2274.9999999999995</x:v>
      </x:c>
      <x:c r="K304" s="40" t="n">
        <x:f>IF(C304=1,J304,K303+J304)</x:f>
        <x:v>27299.999999999996</x:v>
      </x:c>
      <x:c r="L304" s="40" t="n">
        <x:f>IF(C304=12,K304*'Inputs &amp; Summary'!$B$11*'Inputs &amp; Summary'!$B$12,0)</x:f>
        <x:v>9554.999999999998</x:v>
      </x:c>
      <x:c r="M304" s="40" t="n">
        <x:f>MIN(L304,G304)</x:f>
        <x:v>0</x:v>
      </x:c>
      <x:c r="N304" s="40" t="n">
        <x:f>MAX(0,L304-M304)</x:f>
        <x:v>9554.999999999998</x:v>
      </x:c>
      <x:c r="O304" s="40" t="n">
        <x:f>IF(ABS(MAX(0,G304-M304))&lt;0.00000001,0,MAX(0,G304-M304))</x:f>
        <x:v>0</x:v>
      </x:c>
      <x:c r="P304" s="40" t="n">
        <x:f>MAX(0,D304-O304)</x:f>
        <x:v>0</x:v>
      </x:c>
      <x:c r="Q304" s="40" t="n">
        <x:f>MAX(0,'Inputs &amp; Summary'!$B$19*'Inputs &amp; Summary'!$B$4-O304-I304)</x:f>
        <x:v>35000.00000000006</x:v>
      </x:c>
      <x:c r="R304" s="40" t="n">
        <x:f>MIN(P304,Q304)</x:f>
        <x:v>0</x:v>
      </x:c>
      <x:c r="S304" s="40" t="n">
        <x:f>I304+R304</x:f>
        <x:v>419999.99999999994</x:v>
      </x:c>
      <x:c r="T304" s="40" t="n">
        <x:f>U303</x:f>
        <x:v>1043846.0993729213</x:v>
      </x:c>
      <x:c r="U304" s="40" t="n">
        <x:f>T304*(1+'Inputs &amp; Summary'!$B$17)+R304+N304+H304</x:f>
        <x:v>1060806.6594520542</x:v>
      </x:c>
      <x:c r="V304" s="40" t="n">
        <x:f>Y303</x:f>
        <x:v>2315.981795504497</x:v>
      </x:c>
      <x:c r="W304" s="40" t="n">
        <x:f>V304*'Inputs &amp; Summary'!$B$15</x:f>
        <x:v>8.604612499734975</x:v>
      </x:c>
      <x:c r="X304" s="40" t="n">
        <x:f>IF(V304&lt;=0.00000001,0,MIN('Inputs &amp; Summary'!$B$18,V304+W304))</x:f>
        <x:v>2324.586407999052</x:v>
      </x:c>
      <x:c r="Y304" s="40" t="n">
        <x:f>IF(ABS(MAX(0,V304+W304-X304))&lt;0.00000001,0,MAX(0,V304+W304-X304))</x:f>
        <x:v>0</x:v>
      </x:c>
      <x:c r="Z304" s="40" t="n">
        <x:f>MAX(0,'Inputs &amp; Summary'!$B$18-X304)</x:f>
        <x:v>0</x:v>
      </x:c>
      <x:c r="AA304" s="40" t="n">
        <x:f>AC303</x:f>
        <x:v>524996.6794013912</x:v>
      </x:c>
      <x:c r="AB304" s="40" t="n">
        <x:f>J304</x:f>
        <x:v>2274.9999999999995</x:v>
      </x:c>
      <x:c r="AC304" s="40" t="n">
        <x:f>AA304*(1+'Inputs &amp; Summary'!$B$17)+Z304+AB304</x:f>
        <x:v>529827.1272850146</x:v>
      </x:c>
      <x:c r="AD304" s="40" t="n">
        <x:f>F304+H304+J304</x:f>
        <x:v>4599.5864079990515</x:v>
      </x:c>
      <x:c r="AE304" s="40" t="n">
        <x:f>X304+Z304+AB304</x:f>
        <x:v>4599.5864079990515</x:v>
      </x:c>
      <x:c r="AF304" s="40" t="n">
        <x:f>AD304-AE304</x:f>
        <x:v>0</x:v>
      </x:c>
      <x:c r="AG304" s="42" t="n">
        <x:f>(O304+S304)/'Inputs &amp; Summary'!$B$4</x:f>
        <x:v>0.5999999999999999</x:v>
      </x:c>
      <x:c r="AH304" s="40" t="n">
        <x:f>U304-O304-S304</x:f>
        <x:v>640806.6594520542</x:v>
      </x:c>
      <x:c r="AI304" s="40" t="n">
        <x:f>AC304-Y304</x:f>
        <x:v>529827.1272850146</x:v>
      </x:c>
      <x:c r="AJ304" s="40" t="n">
        <x:f>AH304-AI304</x:f>
        <x:v>110979.53216703958</x:v>
      </x:c>
    </x:row>
  </x:sheetData>
  <x:mergeCells>
    <x:mergeCell ref="A1:AJ1"/>
    <x:mergeCell ref="A4:AJ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3" t="str">
        <x:v>Year-End Summary — V2 Hypothetical Demonstration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5" t="str">
        <x:v>Year</x:v>
      </x:c>
      <x:c r="B3" s="15" t="str">
        <x:v>Smith Mortgage ($)</x:v>
      </x:c>
      <x:c r="C3" s="15" t="str">
        <x:v>Smith HELOC ($)</x:v>
      </x:c>
      <x:c r="D3" s="15" t="str">
        <x:v>Smith Secured Debt ($)</x:v>
      </x:c>
      <x:c r="E3" s="15" t="str">
        <x:v>Smith Portfolio ($)</x:v>
      </x:c>
      <x:c r="F3" s="15" t="str">
        <x:v>Baseline Mortgage ($)</x:v>
      </x:c>
      <x:c r="G3" s="15" t="str">
        <x:v>Baseline Portfolio ($)</x:v>
      </x:c>
      <x:c r="H3" s="15" t="str">
        <x:v>Smith Net Position ($)</x:v>
      </x:c>
      <x:c r="I3" s="15" t="str">
        <x:v>Baseline Net Position ($)</x:v>
      </x:c>
      <x:c r="J3" s="15" t="str">
        <x:v>Illustrative Difference ($)</x:v>
      </x:c>
    </x:row>
    <x:row r="4">
      <x:c r="A4" t="n">
        <x:v>0</x:v>
      </x:c>
      <x:c r="B4" s="40" t="n">
        <x:f>'Inputs &amp; Summary'!B5</x:f>
        <x:v>420000</x:v>
      </x:c>
      <x:c r="C4" s="40" t="n">
        <x:v>0</x:v>
      </x:c>
      <x:c r="D4" s="40" t="n">
        <x:f>B4+C4</x:f>
        <x:v>420000</x:v>
      </x:c>
      <x:c r="E4" s="40" t="n">
        <x:v>0</x:v>
      </x:c>
      <x:c r="F4" s="40" t="n">
        <x:f>'Inputs &amp; Summary'!B5</x:f>
        <x:v>420000</x:v>
      </x:c>
      <x:c r="G4" s="40" t="n">
        <x:v>0</x:v>
      </x:c>
      <x:c r="H4" s="40" t="n">
        <x:f>E4-B4-C4</x:f>
        <x:v>-420000</x:v>
      </x:c>
      <x:c r="I4" s="40" t="n">
        <x:f>G4-F4</x:f>
        <x:v>-420000</x:v>
      </x:c>
      <x:c r="J4" s="40" t="n">
        <x:v>0</x:v>
      </x:c>
    </x:row>
    <x:row r="5">
      <x:c r="A5" t="n">
        <x:v>1</x:v>
      </x:c>
      <x:c r="B5" s="40" t="n">
        <x:f>'Monthly Model'!O16</x:f>
        <x:v>410543.64645449806</x:v>
      </x:c>
      <x:c r="C5" s="40" t="n">
        <x:f>'Monthly Model'!S16</x:f>
        <x:v>9456.353545501945</x:v>
      </x:c>
      <x:c r="D5" s="40" t="n">
        <x:f>B5+C5</x:f>
        <x:v>420000</x:v>
      </x:c>
      <x:c r="E5" s="40" t="n">
        <x:f>'Monthly Model'!U16</x:f>
        <x:v>9708.970465393026</x:v>
      </x:c>
      <x:c r="F5" s="40" t="n">
        <x:f>'Monthly Model'!Y16</x:f>
        <x:v>410640.45508323173</x:v>
      </x:c>
      <x:c r="G5" s="40" t="n">
        <x:f>'Monthly Model'!AC16</x:f>
        <x:v>281.1150353840415</x:v>
      </x:c>
      <x:c r="H5" s="40" t="n">
        <x:f>'Monthly Model'!AH16</x:f>
        <x:v>-410291.02953460696</x:v>
      </x:c>
      <x:c r="I5" s="40" t="n">
        <x:f>'Monthly Model'!AI16</x:f>
        <x:v>-410359.3400478477</x:v>
      </x:c>
      <x:c r="J5" s="40" t="n">
        <x:f>'Monthly Model'!AJ16</x:f>
        <x:v>68.31051324075088</x:v>
      </x:c>
    </x:row>
    <x:row r="6">
      <x:c r="A6" t="n">
        <x:v>2</x:v>
      </x:c>
      <x:c r="B6" s="40" t="n">
        <x:f>'Monthly Model'!O28</x:f>
        <x:v>400437.3867132724</x:v>
      </x:c>
      <x:c r="C6" s="40" t="n">
        <x:f>'Monthly Model'!S28</x:f>
        <x:v>19562.613286727574</x:v>
      </x:c>
      <x:c r="D6" s="40" t="n">
        <x:f>B6+C6</x:f>
        <x:v>420000</x:v>
      </x:c>
      <x:c r="E6" s="40" t="n">
        <x:f>'Monthly Model'!U28</x:f>
        <x:v>20661.999906146128</x:v>
      </x:c>
      <x:c r="F6" s="40" t="n">
        <x:f>'Monthly Model'!Y28</x:f>
        <x:v>400854.99237559474</x:v>
      </x:c>
      <x:c r="G6" s="40" t="n">
        <x:f>'Monthly Model'!AC28</x:f>
        <x:v>1223.4101680593753</x:v>
      </x:c>
      <x:c r="H6" s="40" t="n">
        <x:f>'Monthly Model'!AH28</x:f>
        <x:v>-399338.00009385386</x:v>
      </x:c>
      <x:c r="I6" s="40" t="n">
        <x:f>'Monthly Model'!AI28</x:f>
        <x:v>-399631.58220753534</x:v>
      </x:c>
      <x:c r="J6" s="40" t="n">
        <x:f>'Monthly Model'!AJ28</x:f>
        <x:v>293.5821136814775</x:v>
      </x:c>
    </x:row>
    <x:row r="7">
      <x:c r="A7" t="n">
        <x:v>3</x:v>
      </x:c>
      <x:c r="B7" s="40" t="n">
        <x:f>'Monthly Model'!O40</x:f>
        <x:v>389636.5547154355</x:v>
      </x:c>
      <x:c r="C7" s="40" t="n">
        <x:f>'Monthly Model'!S40</x:f>
        <x:v>30363.445284564514</x:v>
      </x:c>
      <x:c r="D7" s="40" t="n">
        <x:f>B7+C7</x:f>
        <x:v>420000</x:v>
      </x:c>
      <x:c r="E7" s="40" t="n">
        <x:f>'Monthly Model'!U40</x:f>
        <x:v>32979.19615420949</x:v>
      </x:c>
      <x:c r="F7" s="40" t="n">
        <x:f>'Monthly Model'!Y40</x:f>
        <x:v>390624.2299556184</x:v>
      </x:c>
      <x:c r="G7" s="40" t="n">
        <x:f>'Monthly Model'!AC40</x:f>
        <x:v>2910.8378749654976</x:v>
      </x:c>
      <x:c r="H7" s="40" t="n">
        <x:f>'Monthly Model'!AH40</x:f>
        <x:v>-387020.8038457905</x:v>
      </x:c>
      <x:c r="I7" s="40" t="n">
        <x:f>'Monthly Model'!AI40</x:f>
        <x:v>-387713.3920806529</x:v>
      </x:c>
      <x:c r="J7" s="40" t="n">
        <x:f>'Monthly Model'!AJ40</x:f>
        <x:v>692.5882348623709</x:v>
      </x:c>
    </x:row>
    <x:row r="8">
      <x:c r="A8" t="n">
        <x:v>4</x:v>
      </x:c>
      <x:c r="B8" s="40" t="n">
        <x:f>'Monthly Model'!O52</x:f>
        <x:v>378093.4146386347</x:v>
      </x:c>
      <x:c r="C8" s="40" t="n">
        <x:f>'Monthly Model'!S52</x:f>
        <x:v>41906.58536136529</x:v>
      </x:c>
      <x:c r="D8" s="40" t="n">
        <x:f>B8+C8</x:f>
        <x:v>420000</x:v>
      </x:c>
      <x:c r="E8" s="40" t="n">
        <x:f>'Monthly Model'!U52</x:f>
        <x:v>46790.99813299116</x:v>
      </x:c>
      <x:c r="F8" s="40" t="n">
        <x:f>'Monthly Model'!Y52</x:f>
        <x:v>379927.90390326804</x:v>
      </x:c>
      <x:c r="G8" s="40" t="n">
        <x:f>'Monthly Model'!AC52</x:f>
        <x:v>5435.431125191029</x:v>
      </x:c>
      <x:c r="H8" s="40" t="n">
        <x:f>'Monthly Model'!AH52</x:f>
        <x:v>-373209.00186700886</x:v>
      </x:c>
      <x:c r="I8" s="40" t="n">
        <x:f>'Monthly Model'!AI52</x:f>
        <x:v>-374492.472778077</x:v>
      </x:c>
      <x:c r="J8" s="40" t="n">
        <x:f>'Monthly Model'!AJ52</x:f>
        <x:v>1283.4709110681433</x:v>
      </x:c>
    </x:row>
    <x:row r="9">
      <x:c r="A9" t="n">
        <x:v>5</x:v>
      </x:c>
      <x:c r="B9" s="40" t="n">
        <x:f>'Monthly Model'!O64</x:f>
        <x:v>365756.94992375653</x:v>
      </x:c>
      <x:c r="C9" s="40" t="n">
        <x:f>'Monthly Model'!S64</x:f>
        <x:v>54243.05007624347</x:v>
      </x:c>
      <x:c r="D9" s="40" t="n">
        <x:f>B9+C9</x:f>
        <x:v>420000</x:v>
      </x:c>
      <x:c r="E9" s="40" t="n">
        <x:f>'Monthly Model'!U64</x:f>
        <x:v>62239.0104685056</x:v>
      </x:c>
      <x:c r="F9" s="40" t="n">
        <x:f>'Monthly Model'!Y64</x:f>
        <x:v>368744.8281634979</x:v>
      </x:c>
      <x:c r="G9" s="40" t="n">
        <x:f>'Monthly Model'!AC64</x:f>
        <x:v>8897.997369175913</x:v>
      </x:c>
      <x:c r="H9" s="40" t="n">
        <x:f>'Monthly Model'!AH64</x:f>
        <x:v>-357760.9895314944</x:v>
      </x:c>
      <x:c r="I9" s="40" t="n">
        <x:f>'Monthly Model'!AI64</x:f>
        <x:v>-359846.830794322</x:v>
      </x:c>
      <x:c r="J9" s="40" t="n">
        <x:f>'Monthly Model'!AJ64</x:f>
        <x:v>2085.8412628276274</x:v>
      </x:c>
    </x:row>
    <x:row r="10">
      <x:c r="A10" t="n">
        <x:v>6</x:v>
      </x:c>
      <x:c r="B10" s="40" t="n">
        <x:f>'Monthly Model'!O76</x:f>
        <x:v>352572.63779994356</x:v>
      </x:c>
      <x:c r="C10" s="40" t="n">
        <x:f>'Monthly Model'!S76</x:f>
        <x:v>67427.36220005644</x:v>
      </x:c>
      <x:c r="D10" s="40" t="n">
        <x:f>B10+C10</x:f>
        <x:v>420000</x:v>
      </x:c>
      <x:c r="E10" s="40" t="n">
        <x:f>'Monthly Model'!U76</x:f>
        <x:v>79476.90293600327</x:v>
      </x:c>
      <x:c r="F10" s="40" t="n">
        <x:f>'Monthly Model'!Y76</x:f>
        <x:v>357052.85258334485</x:v>
      </x:c>
      <x:c r="G10" s="40" t="n">
        <x:f>'Monthly Model'!AC76</x:f>
        <x:v>13408.868542169012</x:v>
      </x:c>
      <x:c r="H10" s="40" t="n">
        <x:f>'Monthly Model'!AH76</x:f>
        <x:v>-340523.0970639967</x:v>
      </x:c>
      <x:c r="I10" s="40" t="n">
        <x:f>'Monthly Model'!AI76</x:f>
        <x:v>-343643.98404117586</x:v>
      </x:c>
      <x:c r="J10" s="40" t="n">
        <x:f>'Monthly Model'!AJ76</x:f>
        <x:v>3120.8869771791506</x:v>
      </x:c>
    </x:row>
    <x:row r="11">
      <x:c r="A11" t="n">
        <x:v>7</x:v>
      </x:c>
      <x:c r="B11" s="40" t="n">
        <x:f>'Monthly Model'!O88</x:f>
        <x:v>338482.20831340825</x:v>
      </x:c>
      <x:c r="C11" s="40" t="n">
        <x:f>'Monthly Model'!S88</x:f>
        <x:v>81517.79168659175</x:v>
      </x:c>
      <x:c r="D11" s="40" t="n">
        <x:f>B11+C11</x:f>
        <x:v>420000</x:v>
      </x:c>
      <x:c r="E11" s="40" t="n">
        <x:f>'Monthly Model'!U88</x:f>
        <x:v>98671.37964653628</x:v>
      </x:c>
      <x:c r="F11" s="40" t="n">
        <x:f>'Monthly Model'!Y88</x:f>
        <x:v>344828.8190394476</x:v>
      </x:c>
      <x:c r="G11" s="40" t="n">
        <x:f>'Monthly Model'!AC88</x:f>
        <x:v>19088.711430739484</x:v>
      </x:c>
      <x:c r="H11" s="40" t="n">
        <x:f>'Monthly Model'!AH88</x:f>
        <x:v>-321328.6203534637</x:v>
      </x:c>
      <x:c r="I11" s="40" t="n">
        <x:f>'Monthly Model'!AI88</x:f>
        <x:v>-325740.1076087081</x:v>
      </x:c>
      <x:c r="J11" s="40" t="n">
        <x:f>'Monthly Model'!AJ88</x:f>
        <x:v>4411.487255244399</x:v>
      </x:c>
    </x:row>
    <x:row r="12">
      <x:c r="A12" t="n">
        <x:v>8</x:v>
      </x:c>
      <x:c r="B12" s="40" t="n">
        <x:f>'Monthly Model'!O100</x:f>
        <x:v>323423.38679503504</x:v>
      </x:c>
      <x:c r="C12" s="40" t="n">
        <x:f>'Monthly Model'!S100</x:f>
        <x:v>96576.61320496496</x:v>
      </x:c>
      <x:c r="D12" s="40" t="n">
        <x:f>B12+C12</x:f>
        <x:v>420000</x:v>
      </x:c>
      <x:c r="E12" s="40" t="n">
        <x:f>'Monthly Model'!U100</x:f>
        <x:v>120003.22324189666</x:v>
      </x:c>
      <x:c r="F12" s="40" t="n">
        <x:f>'Monthly Model'!Y100</x:f>
        <x:v>332048.51556909323</x:v>
      </x:c>
      <x:c r="G12" s="40" t="n">
        <x:f>'Monthly Model'!AC100</x:f>
        <x:v>26069.40307996647</x:v>
      </x:c>
      <x:c r="H12" s="40" t="n">
        <x:f>'Monthly Model'!AH100</x:f>
        <x:v>-299996.77675810334</x:v>
      </x:c>
      <x:c r="I12" s="40" t="n">
        <x:f>'Monthly Model'!AI100</x:f>
        <x:v>-305979.11248912674</x:v>
      </x:c>
      <x:c r="J12" s="40" t="n">
        <x:f>'Monthly Model'!AJ100</x:f>
        <x:v>5982.335731023399</x:v>
      </x:c>
    </x:row>
    <x:row r="13">
      <x:c r="A13" t="n">
        <x:v>9</x:v>
      </x:c>
      <x:c r="B13" s="40" t="n">
        <x:f>'Monthly Model'!O112</x:f>
        <x:v>307329.6186285702</x:v>
      </x:c>
      <x:c r="C13" s="40" t="n">
        <x:f>'Monthly Model'!S112</x:f>
        <x:v>112670.38137142977</x:v>
      </x:c>
      <x:c r="D13" s="40" t="n">
        <x:f>B13+C13</x:f>
        <x:v>420000</x:v>
      </x:c>
      <x:c r="E13" s="40" t="n">
        <x:f>'Monthly Model'!U112</x:f>
        <x:v>143668.4197569716</x:v>
      </x:c>
      <x:c r="F13" s="40" t="n">
        <x:f>'Monthly Model'!Y112</x:f>
        <x:v>318686.62841394113</x:v>
      </x:c>
      <x:c r="G13" s="40" t="n">
        <x:f>'Monthly Model'!AC112</x:f>
        <x:v>34494.97627215396</x:v>
      </x:c>
      <x:c r="H13" s="40" t="n">
        <x:f>'Monthly Model'!AH112</x:f>
        <x:v>-276331.5802430284</x:v>
      </x:c>
      <x:c r="I13" s="40" t="n">
        <x:f>'Monthly Model'!AI112</x:f>
        <x:v>-284191.65214178717</x:v>
      </x:c>
      <x:c r="J13" s="40" t="n">
        <x:f>'Monthly Model'!AJ112</x:f>
        <x:v>7860.071898758761</x:v>
      </x:c>
    </x:row>
    <x:row r="14">
      <x:c r="A14" t="n">
        <x:v>10</x:v>
      </x:c>
      <x:c r="B14" s="40" t="n">
        <x:f>'Monthly Model'!O124</x:f>
        <x:v>290129.77510297304</x:v>
      </x:c>
      <x:c r="C14" s="40" t="n">
        <x:f>'Monthly Model'!S124</x:f>
        <x:v>129870.22489702696</x:v>
      </x:c>
      <x:c r="D14" s="40" t="n">
        <x:f>B14+C14</x:f>
        <x:v>420000</x:v>
      </x:c>
      <x:c r="E14" s="40" t="n">
        <x:f>'Monthly Model'!U124</x:f>
        <x:v>169879.37022772623</x:v>
      </x:c>
      <x:c r="F14" s="40" t="n">
        <x:f>'Monthly Model'!Y124</x:f>
        <x:v>304716.691881435</x:v>
      </x:c>
      <x:c r="G14" s="40" t="n">
        <x:f>'Monthly Model'!AC124</x:f>
        <x:v>44522.640487320175</x:v>
      </x:c>
      <x:c r="H14" s="40" t="n">
        <x:f>'Monthly Model'!AH124</x:f>
        <x:v>-250120.62977227377</x:v>
      </x:c>
      <x:c r="I14" s="40" t="n">
        <x:f>'Monthly Model'!AI124</x:f>
        <x:v>-260194.05139411482</x:v>
      </x:c>
      <x:c r="J14" s="40" t="n">
        <x:f>'Monthly Model'!AJ124</x:f>
        <x:v>10073.421621841058</x:v>
      </x:c>
    </x:row>
    <x:row r="15">
      <x:c r="A15" t="n">
        <x:v>11</x:v>
      </x:c>
      <x:c r="B15" s="40" t="n">
        <x:f>'Monthly Model'!O136</x:f>
        <x:v>271747.8390489001</x:v>
      </x:c>
      <x:c r="C15" s="40" t="n">
        <x:f>'Monthly Model'!S136</x:f>
        <x:v>148252.16095109988</x:v>
      </x:c>
      <x:c r="D15" s="40" t="n">
        <x:f>B15+C15</x:f>
        <x:v>420000</x:v>
      </x:c>
      <x:c r="E15" s="40" t="n">
        <x:f>'Monthly Model'!U136</x:f>
        <x:v>198866.1955728118</x:v>
      </x:c>
      <x:c r="F15" s="40" t="n">
        <x:f>'Monthly Model'!Y136</x:f>
        <x:v>290111.03592459636</x:v>
      </x:c>
      <x:c r="G15" s="40" t="n">
        <x:f>'Monthly Model'!AC136</x:f>
        <x:v>56323.884163207855</x:v>
      </x:c>
      <x:c r="H15" s="40" t="n">
        <x:f>'Monthly Model'!AH136</x:f>
        <x:v>-221133.8044271882</x:v>
      </x:c>
      <x:c r="I15" s="40" t="n">
        <x:f>'Monthly Model'!AI136</x:f>
        <x:v>-233787.15176138852</x:v>
      </x:c>
      <x:c r="J15" s="40" t="n">
        <x:f>'Monthly Model'!AJ136</x:f>
        <x:v>12653.347334200313</x:v>
      </x:c>
    </x:row>
    <x:row r="16">
      <x:c r="A16" t="n">
        <x:v>12</x:v>
      </x:c>
      <x:c r="B16" s="40" t="n">
        <x:f>'Monthly Model'!O148</x:f>
        <x:v>252102.56886995008</x:v>
      </x:c>
      <x:c r="C16" s="40" t="n">
        <x:f>'Monthly Model'!S148</x:f>
        <x:v>167897.43113004992</x:v>
      </x:c>
      <x:c r="D16" s="40" t="n">
        <x:f>B16+C16</x:f>
        <x:v>420000</x:v>
      </x:c>
      <x:c r="E16" s="40" t="n">
        <x:f>'Monthly Model'!U148</x:f>
        <x:v>230878.14175942025</x:v>
      </x:c>
      <x:c r="F16" s="40" t="n">
        <x:f>'Monthly Model'!Y148</x:f>
        <x:v>274840.731336372</x:v>
      </x:c>
      <x:c r="G16" s="40" t="n">
        <x:f>'Monthly Model'!AC148</x:f>
        <x:v>70085.66451020437</x:v>
      </x:c>
      <x:c r="H16" s="40" t="n">
        <x:f>'Monthly Model'!AH148</x:f>
        <x:v>-189121.85824057975</x:v>
      </x:c>
      <x:c r="I16" s="40" t="n">
        <x:f>'Monthly Model'!AI148</x:f>
        <x:v>-204755.0668261676</x:v>
      </x:c>
      <x:c r="J16" s="40" t="n">
        <x:f>'Monthly Model'!AJ148</x:f>
        <x:v>15633.208585587854</x:v>
      </x:c>
    </x:row>
    <x:row r="17">
      <x:c r="A17" t="n">
        <x:v>13</x:v>
      </x:c>
      <x:c r="B17" s="40" t="n">
        <x:f>'Monthly Model'!O160</x:f>
        <x:v>231107.13948380353</x:v>
      </x:c>
      <x:c r="C17" s="40" t="n">
        <x:f>'Monthly Model'!S160</x:f>
        <x:v>188892.86051619647</x:v>
      </x:c>
      <x:c r="D17" s="40" t="n">
        <x:f>B17+C17</x:f>
        <x:v>420000</x:v>
      </x:c>
      <x:c r="E17" s="40" t="n">
        <x:f>'Monthly Model'!U160</x:f>
        <x:v>266185.09278184106</x:v>
      </x:c>
      <x:c r="F17" s="40" t="n">
        <x:f>'Monthly Model'!Y160</x:f>
        <x:v>258875.5324499796</x:v>
      </x:c>
      <x:c r="G17" s="40" t="n">
        <x:f>'Monthly Model'!AC160</x:f>
        <x:v>86011.69160654987</x:v>
      </x:c>
      <x:c r="H17" s="40" t="n">
        <x:f>'Monthly Model'!AH160</x:f>
        <x:v>-153814.90721815894</x:v>
      </x:c>
      <x:c r="I17" s="40" t="n">
        <x:f>'Monthly Model'!AI160</x:f>
        <x:v>-172863.84084342973</x:v>
      </x:c>
      <x:c r="J17" s="40" t="n">
        <x:f>'Monthly Model'!AJ160</x:f>
        <x:v>19048.933625270787</x:v>
      </x:c>
    </x:row>
    <x:row r="18">
      <x:c r="A18" t="n">
        <x:v>14</x:v>
      </x:c>
      <x:c r="B18" s="40" t="n">
        <x:f>'Monthly Model'!O172</x:f>
        <x:v>208668.75858635022</x:v>
      </x:c>
      <x:c r="C18" s="40" t="n">
        <x:f>'Monthly Model'!S172</x:f>
        <x:v>211331.24141364978</x:v>
      </x:c>
      <x:c r="D18" s="40" t="n">
        <x:f>B18+C18</x:f>
        <x:v>420000</x:v>
      </x:c>
      <x:c r="E18" s="40" t="n">
        <x:f>'Monthly Model'!U172</x:f>
        <x:v>305079.1995367493</x:v>
      </x:c>
      <x:c r="F18" s="40" t="n">
        <x:f>'Monthly Model'!Y172</x:f>
        <x:v>242183.8172317634</x:v>
      </x:c>
      <x:c r="G18" s="40" t="n">
        <x:f>'Monthly Model'!AC172</x:f>
        <x:v>104323.81400390572</x:v>
      </x:c>
      <x:c r="H18" s="40" t="n">
        <x:f>'Monthly Model'!AH172</x:f>
        <x:v>-114920.80046325072</x:v>
      </x:c>
      <x:c r="I18" s="40" t="n">
        <x:f>'Monthly Model'!AI172</x:f>
        <x:v>-137860.00322785767</x:v>
      </x:c>
      <x:c r="J18" s="40" t="n">
        <x:f>'Monthly Model'!AJ172</x:f>
        <x:v>22939.202764606947</x:v>
      </x:c>
    </x:row>
    <x:row r="19">
      <x:c r="A19" t="n">
        <x:v>15</x:v>
      </x:c>
      <x:c r="B19" s="40" t="n">
        <x:f>'Monthly Model'!O184</x:f>
        <x:v>184688.25654282383</x:v>
      </x:c>
      <x:c r="C19" s="40" t="n">
        <x:f>'Monthly Model'!S184</x:f>
        <x:v>235311.74345717617</x:v>
      </x:c>
      <x:c r="D19" s="40" t="n">
        <x:f>B19+C19</x:f>
        <x:v>420000</x:v>
      </x:c>
      <x:c r="E19" s="40" t="n">
        <x:f>'Monthly Model'!U184</x:f>
        <x:v>347876.633275319</x:v>
      </x:c>
      <x:c r="F19" s="40" t="n">
        <x:f>'Monthly Model'!Y184</x:f>
        <x:v>224732.5246478982</x:v>
      </x:c>
      <x:c r="G19" s="40" t="n">
        <x:f>'Monthly Model'!AC184</x:f>
        <x:v>125263.51361528541</x:v>
      </x:c>
      <x:c r="H19" s="40" t="n">
        <x:f>'Monthly Model'!AH184</x:f>
        <x:v>-72123.366724681</x:v>
      </x:c>
      <x:c r="I19" s="40" t="n">
        <x:f>'Monthly Model'!AI184</x:f>
        <x:v>-99469.01103261278</x:v>
      </x:c>
      <x:c r="J19" s="40" t="n">
        <x:f>'Monthly Model'!AJ184</x:f>
        <x:v>27345.644307931783</x:v>
      </x:c>
    </x:row>
    <x:row r="20">
      <x:c r="A20" t="n">
        <x:v>16</x:v>
      </x:c>
      <x:c r="B20" s="40" t="n">
        <x:f>'Monthly Model'!O196</x:f>
        <x:v>159059.64809341295</x:v>
      </x:c>
      <x:c r="C20" s="40" t="n">
        <x:f>'Monthly Model'!S196</x:f>
        <x:v>260940.35190658705</x:v>
      </x:c>
      <x:c r="D20" s="40" t="n">
        <x:f>B20+C20</x:f>
        <x:v>420000</x:v>
      </x:c>
      <x:c r="E20" s="40" t="n">
        <x:f>'Monthly Model'!U196</x:f>
        <x:v>394919.4729516939</x:v>
      </x:c>
      <x:c r="F20" s="40" t="n">
        <x:f>'Monthly Model'!Y196</x:f>
        <x:v>206487.08918088846</x:v>
      </x:c>
      <x:c r="G20" s="40" t="n">
        <x:f>'Monthly Model'!AC196</x:f>
        <x:v>149093.5182392259</x:v>
      </x:c>
      <x:c r="H20" s="40" t="n">
        <x:f>'Monthly Model'!AH196</x:f>
        <x:v>-25080.527048306074</x:v>
      </x:c>
      <x:c r="I20" s="40" t="n">
        <x:f>'Monthly Model'!AI196</x:f>
        <x:v>-57393.57094166256</x:v>
      </x:c>
      <x:c r="J20" s="40" t="n">
        <x:f>'Monthly Model'!AJ196</x:f>
        <x:v>32313.043893356487</x:v>
      </x:c>
    </x:row>
    <x:row r="21">
      <x:c r="A21" t="n">
        <x:v>17</x:v>
      </x:c>
      <x:c r="B21" s="40" t="n">
        <x:f>'Monthly Model'!O208</x:f>
        <x:v>131669.66393624112</x:v>
      </x:c>
      <x:c r="C21" s="40" t="n">
        <x:f>'Monthly Model'!S208</x:f>
        <x:v>288330.3360637588</x:v>
      </x:c>
      <x:c r="D21" s="40" t="n">
        <x:f>B21+C21</x:f>
        <x:v>419999.99999999994</x:v>
      </x:c>
      <x:c r="E21" s="40" t="n">
        <x:f>'Monthly Model'!U208</x:f>
        <x:v>446577.73647332273</x:v>
      </x:c>
      <x:c r="F21" s="40" t="n">
        <x:f>'Monthly Model'!Y208</x:f>
        <x:v>187411.37236615818</x:v>
      </x:c>
      <x:c r="G21" s="40" t="n">
        <x:f>'Monthly Model'!AC208</x:f>
        <x:v>176099.5406988086</x:v>
      </x:c>
      <x:c r="H21" s="40" t="n">
        <x:f>'Monthly Model'!AH208</x:f>
        <x:v>26577.736473322788</x:v>
      </x:c>
      <x:c r="I21" s="40" t="n">
        <x:f>'Monthly Model'!AI208</x:f>
        <x:v>-11311.831667349586</x:v>
      </x:c>
      <x:c r="J21" s="40" t="n">
        <x:f>'Monthly Model'!AJ208</x:f>
        <x:v>37889.568140672374</x:v>
      </x:c>
    </x:row>
    <x:row r="22">
      <x:c r="A22" t="n">
        <x:v>18</x:v>
      </x:c>
      <x:c r="B22" s="40" t="n">
        <x:f>'Monthly Model'!O220</x:f>
        <x:v>102397.25011748099</x:v>
      </x:c>
      <x:c r="C22" s="40" t="n">
        <x:f>'Monthly Model'!S220</x:f>
        <x:v>317602.74988251895</x:v>
      </x:c>
      <x:c r="D22" s="40" t="n">
        <x:f>B22+C22</x:f>
        <x:v>419999.99999999994</x:v>
      </x:c>
      <x:c r="E22" s="40" t="n">
        <x:f>'Monthly Model'!U220</x:f>
        <x:v>503251.56659450184</x:v>
      </x:c>
      <x:c r="F22" s="40" t="n">
        <x:f>'Monthly Model'!Y220</x:f>
        <x:v>167467.5912131276</x:v>
      </x:c>
      <x:c r="G22" s="40" t="n">
        <x:f>'Monthly Model'!AC220</x:f>
        <x:v>206592.15424483933</x:v>
      </x:c>
      <x:c r="H22" s="40" t="n">
        <x:f>'Monthly Model'!AH220</x:f>
        <x:v>83251.5665945019</x:v>
      </x:c>
      <x:c r="I22" s="40" t="n">
        <x:f>'Monthly Model'!AI220</x:f>
        <x:v>39124.56303171173</x:v>
      </x:c>
      <x:c r="J22" s="40" t="n">
        <x:f>'Monthly Model'!AJ220</x:f>
        <x:v>44127.00356279017</x:v>
      </x:c>
    </x:row>
    <x:row r="23">
      <x:c r="A23" t="n">
        <x:v>19</x:v>
      </x:c>
      <x:c r="B23" s="40" t="n">
        <x:f>'Monthly Model'!O232</x:f>
        <x:v>71113.03301608592</x:v>
      </x:c>
      <x:c r="C23" s="40" t="n">
        <x:f>'Monthly Model'!S232</x:f>
        <x:v>348886.9669839141</x:v>
      </x:c>
      <x:c r="D23" s="40" t="n">
        <x:f>B23+C23</x:f>
        <x:v>420000</x:v>
      </x:c>
      <x:c r="E23" s="40" t="n">
        <x:f>'Monthly Model'!U232</x:f>
        <x:v>565373.5829837772</x:v>
      </x:c>
      <x:c r="F23" s="40" t="n">
        <x:f>'Monthly Model'!Y232</x:f>
        <x:v>146616.24336900184</x:v>
      </x:c>
      <x:c r="G23" s="40" t="n">
        <x:f>'Monthly Model'!AC232</x:f>
        <x:v>240908.81459251614</x:v>
      </x:c>
      <x:c r="H23" s="40" t="n">
        <x:f>'Monthly Model'!AH232</x:f>
        <x:v>145373.58298377716</x:v>
      </x:c>
      <x:c r="I23" s="40" t="n">
        <x:f>'Monthly Model'!AI232</x:f>
        <x:v>94292.5712235143</x:v>
      </x:c>
      <x:c r="J23" s="40" t="n">
        <x:f>'Monthly Model'!AJ232</x:f>
        <x:v>51081.01176026286</x:v>
      </x:c>
    </x:row>
    <x:row r="24">
      <x:c r="A24" t="n">
        <x:v>20</x:v>
      </x:c>
      <x:c r="B24" s="40" t="n">
        <x:f>'Monthly Model'!O244</x:f>
        <x:v>37678.7475585612</x:v>
      </x:c>
      <x:c r="C24" s="40" t="n">
        <x:f>'Monthly Model'!S244</x:f>
        <x:v>382321.2524414388</x:v>
      </x:c>
      <x:c r="D24" s="40" t="n">
        <x:f>B24+C24</x:f>
        <x:v>420000</x:v>
      </x:c>
      <x:c r="E24" s="40" t="n">
        <x:f>'Monthly Model'!U244</x:f>
        <x:v>633411.4128424713</x:v>
      </x:c>
      <x:c r="F24" s="40" t="n">
        <x:f>'Monthly Model'!Y244</x:f>
        <x:v>124816.02887704437</x:v>
      </x:c>
      <x:c r="G24" s="40" t="n">
        <x:f>'Monthly Model'!AC244</x:f>
        <x:v>279416.0397338178</x:v>
      </x:c>
      <x:c r="H24" s="40" t="n">
        <x:f>'Monthly Model'!AH244</x:f>
        <x:v>213411.41284247133</x:v>
      </x:c>
      <x:c r="I24" s="40" t="n">
        <x:f>'Monthly Model'!AI244</x:f>
        <x:v>154600.0108567734</x:v>
      </x:c>
      <x:c r="J24" s="40" t="n">
        <x:f>'Monthly Model'!AJ244</x:f>
        <x:v>58811.401985697914</x:v>
      </x:c>
    </x:row>
    <x:row r="25">
      <x:c r="A25" t="n">
        <x:v>21</x:v>
      </x:c>
      <x:c r="B25" s="40" t="n">
        <x:f>'Monthly Model'!O256</x:f>
        <x:v>1946.6261366892559</x:v>
      </x:c>
      <x:c r="C25" s="40" t="n">
        <x:f>'Monthly Model'!S256</x:f>
        <x:v>418053.37386331067</x:v>
      </x:c>
      <x:c r="D25" s="40" t="n">
        <x:f>B25+C25</x:f>
        <x:v>419999.99999999994</x:v>
      </x:c>
      <x:c r="E25" s="40" t="n">
        <x:f>'Monthly Model'!U256</x:f>
        <x:v>707870.4133596482</x:v>
      </x:c>
      <x:c r="F25" s="40" t="n">
        <x:f>'Monthly Model'!Y256</x:f>
        <x:v>102023.76837436217</x:v>
      </x:c>
      <x:c r="G25" s="40" t="n">
        <x:f>'Monthly Model'!AC256</x:f>
        <x:v>322511.7594974983</x:v>
      </x:c>
      <x:c r="H25" s="40" t="n">
        <x:f>'Monthly Model'!AH256</x:f>
        <x:v>287870.4133596483</x:v>
      </x:c>
      <x:c r="I25" s="40" t="n">
        <x:f>'Monthly Model'!AI256</x:f>
        <x:v>220487.9911231361</x:v>
      </x:c>
      <x:c r="J25" s="40" t="n">
        <x:f>'Monthly Model'!AJ256</x:f>
        <x:v>67382.42223651221</x:v>
      </x:c>
    </x:row>
    <x:row r="26">
      <x:c r="A26" t="n">
        <x:v>22</x:v>
      </x:c>
      <x:c r="B26" s="40" t="n">
        <x:f>'Monthly Model'!O268</x:f>
        <x:v>0</x:v>
      </x:c>
      <x:c r="C26" s="40" t="n">
        <x:f>'Monthly Model'!S268</x:f>
        <x:v>419999.99999999994</x:v>
      </x:c>
      <x:c r="D26" s="40" t="n">
        <x:f>B26+C26</x:f>
        <x:v>419999.99999999994</x:v>
      </x:c>
      <x:c r="E26" s="40" t="n">
        <x:f>'Monthly Model'!U268</x:f>
        <x:v>788540.3987809828</x:v>
      </x:c>
      <x:c r="F26" s="40" t="n">
        <x:f>'Monthly Model'!Y268</x:f>
        <x:v>78194.31756717981</x:v>
      </x:c>
      <x:c r="G26" s="40" t="n">
        <x:f>'Monthly Model'!AC268</x:f>
        <x:v>369894.19430757046</x:v>
      </x:c>
      <x:c r="H26" s="40" t="n">
        <x:f>'Monthly Model'!AH268</x:f>
        <x:v>368540.3987809829</x:v>
      </x:c>
      <x:c r="I26" s="40" t="n">
        <x:f>'Monthly Model'!AI268</x:f>
        <x:v>291699.87674039067</x:v>
      </x:c>
      <x:c r="J26" s="40" t="n">
        <x:f>'Monthly Model'!AJ268</x:f>
        <x:v>76840.52204059222</x:v>
      </x:c>
    </x:row>
    <x:row r="27">
      <x:c r="A27" t="n">
        <x:v>23</x:v>
      </x:c>
      <x:c r="B27" s="40" t="n">
        <x:f>'Monthly Model'!O280</x:f>
        <x:v>0</x:v>
      </x:c>
      <x:c r="C27" s="40" t="n">
        <x:f>'Monthly Model'!S280</x:f>
        <x:v>419999.99999999994</x:v>
      </x:c>
      <x:c r="D27" s="40" t="n">
        <x:f>B27+C27</x:f>
        <x:v>419999.99999999994</x:v>
      </x:c>
      <x:c r="E27" s="40" t="n">
        <x:f>'Monthly Model'!U280</x:f>
        <x:v>874061.9029495566</x:v>
      </x:c>
      <x:c r="F27" s="40" t="n">
        <x:f>'Monthly Model'!Y280</x:f>
        <x:v>53280.47781420318</x:v>
      </x:c>
      <x:c r="G27" s="40" t="n">
        <x:f>'Monthly Model'!AC280</x:f>
        <x:v>420130.69794415927</x:v>
      </x:c>
      <x:c r="H27" s="40" t="n">
        <x:f>'Monthly Model'!AH280</x:f>
        <x:v>454061.90294955665</x:v>
      </x:c>
      <x:c r="I27" s="40" t="n">
        <x:f>'Monthly Model'!AI280</x:f>
        <x:v>366850.2201299561</x:v>
      </x:c>
      <x:c r="J27" s="40" t="n">
        <x:f>'Monthly Model'!AJ280</x:f>
        <x:v>87211.68281960057</x:v>
      </x:c>
    </x:row>
    <x:row r="28">
      <x:c r="A28" t="n">
        <x:v>24</x:v>
      </x:c>
      <x:c r="B28" s="40" t="n">
        <x:f>'Monthly Model'!O292</x:f>
        <x:v>0</x:v>
      </x:c>
      <x:c r="C28" s="40" t="n">
        <x:f>'Monthly Model'!S292</x:f>
        <x:v>419999.99999999994</x:v>
      </x:c>
      <x:c r="D28" s="40" t="n">
        <x:f>B28+C28</x:f>
        <x:v>419999.99999999994</x:v>
      </x:c>
      <x:c r="E28" s="40" t="n">
        <x:f>'Monthly Model'!U292</x:f>
        <x:v>964714.6973682446</x:v>
      </x:c>
      <x:c r="F28" s="40" t="n">
        <x:f>'Monthly Model'!Y292</x:f>
        <x:v>27232.902640967706</x:v>
      </x:c>
      <x:c r="G28" s="40" t="n">
        <x:f>'Monthly Model'!AC292</x:f>
        <x:v>473381.39179894346</x:v>
      </x:c>
      <x:c r="H28" s="40" t="n">
        <x:f>'Monthly Model'!AH292</x:f>
        <x:v>544714.6973682446</x:v>
      </x:c>
      <x:c r="I28" s="40" t="n">
        <x:f>'Monthly Model'!AI292</x:f>
        <x:v>446148.48915797577</x:v>
      </x:c>
      <x:c r="J28" s="40" t="n">
        <x:f>'Monthly Model'!AJ292</x:f>
        <x:v>98566.20821026887</x:v>
      </x:c>
    </x:row>
    <x:row r="29">
      <x:c r="A29" t="n">
        <x:v>25</x:v>
      </x:c>
      <x:c r="B29" s="40" t="n">
        <x:f>'Monthly Model'!O304</x:f>
        <x:v>0</x:v>
      </x:c>
      <x:c r="C29" s="40" t="n">
        <x:f>'Monthly Model'!S304</x:f>
        <x:v>419999.99999999994</x:v>
      </x:c>
      <x:c r="D29" s="40" t="n">
        <x:f>B29+C29</x:f>
        <x:v>419999.99999999994</x:v>
      </x:c>
      <x:c r="E29" s="40" t="n">
        <x:f>'Monthly Model'!U304</x:f>
        <x:v>1060806.6594520542</x:v>
      </x:c>
      <x:c r="F29" s="40" t="n">
        <x:f>'Monthly Model'!Y304</x:f>
        <x:v>0</x:v>
      </x:c>
      <x:c r="G29" s="40" t="n">
        <x:f>'Monthly Model'!AC304</x:f>
        <x:v>529827.1272850146</x:v>
      </x:c>
      <x:c r="H29" s="40" t="n">
        <x:f>'Monthly Model'!AH304</x:f>
        <x:v>640806.6594520542</x:v>
      </x:c>
      <x:c r="I29" s="40" t="n">
        <x:f>'Monthly Model'!AI304</x:f>
        <x:v>529827.1272850146</x:v>
      </x:c>
      <x:c r="J29" s="40" t="n">
        <x:f>'Monthly Model'!AJ304</x:f>
        <x:v>110979.53216703958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2953162bbf641b6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5" hidden="0" customWidth="1"/>
    <x:col min="4" max="4" width="45" hidden="0" customWidth="1"/>
    <x:col min="5" max="5" width="75" hidden="0" customWidth="1"/>
  </x:cols>
  <x:sheetData>
    <x:row r="1">
      <x:c r="A1" s="12" t="str">
        <x:v>V2 Publication QA, Invariants &amp; Current-Rule References</x:v>
      </x:c>
      <x:c r="B1" s="12"/>
      <x:c r="C1" s="12"/>
      <x:c r="D1" s="12"/>
      <x:c r="E1" s="12"/>
      <x:c r="F1" s="3"/>
    </x:row>
    <x:row r="2">
      <x:c r="A2" s="13"/>
      <x:c r="B2" s="13"/>
      <x:c r="C2" s="13"/>
      <x:c r="D2" s="13"/>
      <x:c r="E2" s="13"/>
    </x:row>
    <x:row r="3">
      <x:c r="A3" s="15" t="str">
        <x:v>Contract area</x:v>
      </x:c>
      <x:c r="B3" s="15" t="str">
        <x:v>V2 rule</x:v>
      </x:c>
      <x:c r="C3" s="15" t="str">
        <x:v>QA status</x:v>
      </x:c>
      <x:c r="D3" s="15" t="str">
        <x:v>Rationale</x:v>
      </x:c>
      <x:c r="E3" s="13"/>
    </x:row>
    <x:row r="4">
      <x:c r="A4" s="13" t="str">
        <x:v>Period cadence</x:v>
      </x:c>
      <x:c r="B4" s="13" t="str">
        <x:v>Monthly</x:v>
      </x:c>
      <x:c r="C4" s="13" t="str">
        <x:v>PASS</x:v>
      </x:c>
      <x:c r="D4" s="13" t="str">
        <x:v>Simpler public contract; private workbook remains evidence of richer biweekly model.</x:v>
      </x:c>
      <x:c r="E4" s="13"/>
    </x:row>
    <x:row r="5">
      <x:c r="A5" s="13" t="str">
        <x:v>Mortgage rate</x:v>
      </x:c>
      <x:c r="B5" s="13" t="str">
        <x:v>Canadian quoted nominal annual rate compounded semi-annually → monthly equivalent</x:v>
      </x:c>
      <x:c r="C5" s="13" t="str">
        <x:v>PASS</x:v>
      </x:c>
      <x:c r="D5" s="13" t="str">
        <x:v>CMHC convention.</x:v>
      </x:c>
      <x:c r="E5" s="13"/>
    </x:row>
    <x:row r="6">
      <x:c r="A6" s="13" t="str">
        <x:v>HELOC rate</x:v>
      </x:c>
      <x:c r="B6" s="13" t="str">
        <x:v>Annual / 12 simplified monthly approximation</x:v>
      </x:c>
      <x:c r="C6" s="13" t="str">
        <x:v>PASS</x:v>
      </x:c>
      <x:c r="D6" s="13" t="str">
        <x:v>Transparent public approximation, not lender billing.</x:v>
      </x:c>
      <x:c r="E6" s="13"/>
    </x:row>
    <x:row r="7">
      <x:c r="A7" s="13" t="str">
        <x:v>HELOC interest timing</x:v>
      </x:c>
      <x:c r="B7" s="13" t="str">
        <x:v>Opening balance only; month-end draw starts accruing next month</x:v>
      </x:c>
      <x:c r="C7" s="13" t="str">
        <x:v>PASS</x:v>
      </x:c>
      <x:c r="D7" s="13" t="str">
        <x:v>Removes timing ambiguity/circularity.</x:v>
      </x:c>
      <x:c r="E7" s="13"/>
    </x:row>
    <x:row r="8">
      <x:c r="A8" s="13" t="str">
        <x:v>Readvancement</x:v>
      </x:c>
      <x:c r="B8" s="13" t="str">
        <x:v>Actual opening-to-closing mortgage reduction</x:v>
      </x:c>
      <x:c r="C8" s="13" t="str">
        <x:v>PASS</x:v>
      </x:c>
      <x:c r="D8" s="13" t="str">
        <x:v>Fixes payoff-period phantom room.</x:v>
      </x:c>
      <x:c r="E8" s="13"/>
    </x:row>
    <x:row r="9">
      <x:c r="A9" s="13" t="str">
        <x:v>Revolving cap</x:v>
      </x:c>
      <x:c r="B9" s="13" t="str">
        <x:v>No new draw above 65% total secured LTV</x:v>
      </x:c>
      <x:c r="C9" s="13" t="str">
        <x:v>PASS</x:v>
      </x:c>
      <x:c r="D9" s="13" t="str">
        <x:v>Conservative public treatment aligned to OSFI/FCAC context.</x:v>
      </x:c>
      <x:c r="E9" s="13"/>
    </x:row>
    <x:row r="10">
      <x:c r="A10" s="13" t="str">
        <x:v>Home value</x:v>
      </x:c>
      <x:c r="B10" s="13" t="str">
        <x:v>Constant</x:v>
      </x:c>
      <x:c r="C10" s="13" t="str">
        <x:v>PASS</x:v>
      </x:c>
      <x:c r="D10" s="13" t="str">
        <x:v>No automatic borrowing room from appreciation.</x:v>
      </x:c>
      <x:c r="E10" s="13"/>
    </x:row>
    <x:row r="11">
      <x:c r="A11" s="13" t="str">
        <x:v>Estimated tax offset</x:v>
      </x:c>
      <x:c r="B11" s="13" t="str">
        <x:v>Once every 12 model months</x:v>
      </x:c>
      <x:c r="C11" s="13" t="str">
        <x:v>PASS</x:v>
      </x:c>
      <x:c r="D11" s="13" t="str">
        <x:v>Generated from that model year's HELOC interest; not a tax eligibility determination.</x:v>
      </x:c>
      <x:c r="E11" s="13"/>
    </x:row>
    <x:row r="12">
      <x:c r="A12" s="13" t="str">
        <x:v>Tax-offset routing</x:v>
      </x:c>
      <x:c r="B12" s="13" t="str">
        <x:v>Mortgage first; excess to Smith portfolio</x:v>
      </x:c>
      <x:c r="C12" s="13" t="str">
        <x:v>PASS</x:v>
      </x:c>
      <x:c r="D12" s="13" t="str">
        <x:v>Offset never disappears after payoff.</x:v>
      </x:c>
      <x:c r="E12" s="13"/>
    </x:row>
    <x:row r="13">
      <x:c r="A13" s="13" t="str">
        <x:v>HELOC interest cash</x:v>
      </x:c>
      <x:c r="B13" s="13" t="str">
        <x:v>Paid externally</x:v>
      </x:c>
      <x:c r="C13" s="13" t="str">
        <x:v>PASS</x:v>
      </x:c>
      <x:c r="D13" s="13" t="str">
        <x:v>No interest capitalization.</x:v>
      </x:c>
      <x:c r="E13" s="13"/>
    </x:row>
    <x:row r="14">
      <x:c r="A14" s="13" t="str">
        <x:v>Baseline fairness</x:v>
      </x:c>
      <x:c r="B14" s="13" t="str">
        <x:v>Baseline invests matching Smith HELOC-interest cash every month</x:v>
      </x:c>
      <x:c r="C14" s="13" t="str">
        <x:v>PASS</x:v>
      </x:c>
      <x:c r="D14" s="13" t="str">
        <x:v>Equal external household cash budget.</x:v>
      </x:c>
      <x:c r="E14" s="13"/>
    </x:row>
    <x:row r="15">
      <x:c r="A15" s="13" t="str">
        <x:v>Net position</x:v>
      </x:c>
      <x:c r="B15" s="13" t="str">
        <x:v>Assets less modelled financial debt; home omitted as common constant</x:v>
      </x:c>
      <x:c r="C15" s="13" t="str">
        <x:v>PASS</x:v>
      </x:c>
      <x:c r="D15" s="13" t="str">
        <x:v>Valid only because external cash is equalized.</x:v>
      </x:c>
      <x:c r="E15" s="13"/>
    </x:row>
    <x:row r="16">
      <x:c r="A16" s="13"/>
      <x:c r="B16" s="13"/>
      <x:c r="C16" s="13"/>
      <x:c r="D16" s="13"/>
      <x:c r="E16" s="13"/>
    </x:row>
    <x:row r="17">
      <x:c r="A17" s="15" t="str">
        <x:v>Release-blocking invariant</x:v>
      </x:c>
      <x:c r="B17" s="15" t="str">
        <x:v>Expected behavior</x:v>
      </x:c>
      <x:c r="C17" s="15" t="str">
        <x:v>Reference-suite status</x:v>
      </x:c>
      <x:c r="D17" s="15" t="str">
        <x:v>Workbook check</x:v>
      </x:c>
      <x:c r="E17" s="13"/>
    </x:row>
    <x:row r="18">
      <x:c r="A18" s="13" t="str">
        <x:v>Cash-budget equality</x:v>
      </x:c>
      <x:c r="B18" s="13" t="str">
        <x:v>Smith external cash = baseline external cash each month</x:v>
      </x:c>
      <x:c r="C18" s="13" t="str">
        <x:v>PASS 21/21 suite</x:v>
      </x:c>
      <x:c r="D18" s="13" t="str">
        <x:v>AF should remain zero.</x:v>
      </x:c>
      <x:c r="E18" s="13"/>
    </x:row>
    <x:row r="19">
      <x:c r="A19" s="13" t="str">
        <x:v>Payoff boundary</x:v>
      </x:c>
      <x:c r="B19" s="13" t="str">
        <x:v>Draw &lt;= actual principal reduction</x:v>
      </x:c>
      <x:c r="C19" s="13" t="str">
        <x:v>PASS 21/21 suite</x:v>
      </x:c>
      <x:c r="D19" s="13" t="str">
        <x:v>R &lt;= P.</x:v>
      </x:c>
      <x:c r="E19" s="13"/>
    </x:row>
    <x:row r="20">
      <x:c r="A20" s="13" t="str">
        <x:v>65% ceiling</x:v>
      </x:c>
      <x:c r="B20" s="13" t="str">
        <x:v>Positive draw never leaves secured LTV above 65%</x:v>
      </x:c>
      <x:c r="C20" s="13" t="str">
        <x:v>PASS 21/21 suite</x:v>
      </x:c>
      <x:c r="D20" s="13" t="str">
        <x:v>AG &lt;= 65% whenever R &gt; 0.</x:v>
      </x:c>
      <x:c r="E20" s="13"/>
    </x:row>
    <x:row r="21">
      <x:c r="A21" s="13" t="str">
        <x:v>No negative debt</x:v>
      </x:c>
      <x:c r="B21" s="13" t="str">
        <x:v>Mortgage/HELOC debt never below zero</x:v>
      </x:c>
      <x:c r="C21" s="13" t="str">
        <x:v>PASS 21/21 suite</x:v>
      </x:c>
      <x:c r="D21" s="13" t="str">
        <x:v>O, S, Y &gt;= 0.</x:v>
      </x:c>
      <x:c r="E21" s="13"/>
    </x:row>
    <x:row r="22">
      <x:c r="A22" s="13" t="str">
        <x:v>Zero deductibility</x:v>
      </x:c>
      <x:c r="B22" s="13" t="str">
        <x:v>Estimated tax offset = 0</x:v>
      </x:c>
      <x:c r="C22" s="13" t="str">
        <x:v>PASS</x:v>
      </x:c>
      <x:c r="D22" s="13" t="str">
        <x:v>L = 0 when deductible assumption = 0.</x:v>
      </x:c>
      <x:c r="E22" s="13"/>
    </x:row>
    <x:row r="23">
      <x:c r="A23" s="13" t="str">
        <x:v>Post-payoff offset</x:v>
      </x:c>
      <x:c r="B23" s="13" t="str">
        <x:v>Year-end offset goes to Smith portfolio when mortgage is gone</x:v>
      </x:c>
      <x:c r="C23" s="13" t="str">
        <x:v>PASS</x:v>
      </x:c>
      <x:c r="D23" s="13" t="str">
        <x:v>N receives excess.</x:v>
      </x:c>
      <x:c r="E23" s="13"/>
    </x:row>
    <x:row r="24">
      <x:c r="A24" s="13" t="str">
        <x:v>No revolving room</x:v>
      </x:c>
      <x:c r="B24" s="13" t="str">
        <x:v>New draw = 0</x:v>
      </x:c>
      <x:c r="C24" s="13" t="str">
        <x:v>PASS</x:v>
      </x:c>
      <x:c r="D24" s="13" t="str">
        <x:v>Q = 0 =&gt; R = 0.</x:v>
      </x:c>
      <x:c r="E24" s="13"/>
    </x:row>
    <x:row r="25">
      <x:c r="A25" s="13" t="str">
        <x:v>No-readvancement convergence</x:v>
      </x:c>
      <x:c r="B25" s="13" t="str">
        <x:v>If no eligible draws exist, paths converge absent strategy-specific effects</x:v>
      </x:c>
      <x:c r="C25" s="13" t="str">
        <x:v>PASS</x:v>
      </x:c>
      <x:c r="D25" s="13" t="str">
        <x:v>Machine regression case.</x:v>
      </x:c>
      <x:c r="E25" s="13"/>
    </x:row>
    <x:row r="26">
      <x:c r="A26" s="13"/>
      <x:c r="B26" s="13"/>
      <x:c r="C26" s="13"/>
      <x:c r="D26" s="13"/>
      <x:c r="E26" s="13"/>
    </x:row>
    <x:row r="27">
      <x:c r="A27" s="15" t="str">
        <x:v>Source</x:v>
      </x:c>
      <x:c r="B27" s="15" t="str">
        <x:v>Finding used</x:v>
      </x:c>
      <x:c r="C27" s="15" t="str">
        <x:v>Source date/update</x:v>
      </x:c>
      <x:c r="D27" s="15" t="str">
        <x:v>Access date</x:v>
      </x:c>
      <x:c r="E27" s="15" t="str">
        <x:v>URL</x:v>
      </x:c>
    </x:row>
    <x:row r="28">
      <x:c r="A28" s="13" t="str">
        <x:v>OSFI</x:v>
      </x:c>
      <x:c r="B28" s="13" t="str">
        <x:v>HELOC/revolving expectation &lt;=65%; above-65 CLP lending amortizing and non-readvanceable; overall uninsured context &lt;=80%.</x:v>
      </x:c>
      <x:c r="C28" s="13" t="str">
        <x:v>June 30, 2022</x:v>
      </x:c>
      <x:c r="D28" s="13" t="str">
        <x:v>2026-09-09</x:v>
      </x:c>
      <x:c r="E28" s="13" t="str">
        <x:v>https://www.osfi-bsif.gc.ca/en/guidance/guidance-library/clarification-treatment-innovative-real-estate-secured-lending-products-under-guideline-b-20</x:v>
      </x:c>
    </x:row>
    <x:row r="29">
      <x:c r="A29" s="13" t="str">
        <x:v>FCAC</x:v>
      </x:c>
      <x:c r="B29" s="13" t="str">
        <x:v>HELOC borrowing may be up to 65% of home value; lender determines/underwrites actual limit.</x:v>
      </x:c>
      <x:c r="C29" s="13" t="str">
        <x:v>October 15, 2025</x:v>
      </x:c>
      <x:c r="D29" s="13" t="str">
        <x:v>2026-09-09</x:v>
      </x:c>
      <x:c r="E29" s="13" t="str">
        <x:v>https://www.canada.ca/en/financial-consumer-agency/services/mortgages/home-equity-line-credit.html</x:v>
      </x:c>
    </x:row>
    <x:row r="30">
      <x:c r="A30" s="13" t="str">
        <x:v>CRA</x:v>
      </x:c>
      <x:c r="B30" s="13" t="str">
        <x:v>Interest deductibility depends on legal obligation, reasonableness, current use/tracing, and income-earning purpose.</x:v>
      </x:c>
      <x:c r="C30" s="13" t="str">
        <x:v>Folio updated August 8, 2024</x:v>
      </x:c>
      <x:c r="D30" s="13" t="str">
        <x:v>2026-09-09</x:v>
      </x:c>
      <x:c r="E30" s="13" t="str">
        <x:v>https://www.canada.ca/en/revenue-agency/services/tax/technical-information/income-tax/income-tax-folios-index/series-3-property-investments-savings-plans/series-3-property-investments-savings-plan-folio-6-interest/income-tax-folio-s3-f6-c1-interest-deductibility.html</x:v>
      </x:c>
    </x:row>
    <x:row r="31">
      <x:c r="A31" s="13" t="str">
        <x:v>CMHC</x:v>
      </x:c>
      <x:c r="B31" s="13" t="str">
        <x:v>Typical Canadian fixed-rate mortgage uses fixed monthly payments and a mortgage rate compounded semi-annually; convert annual rate to monthly equivalent.</x:v>
      </x:c>
      <x:c r="C31" s="13" t="str">
        <x:v>Current CMHC reference page</x:v>
      </x:c>
      <x:c r="D31" s="13" t="str">
        <x:v>2026-09-09</x:v>
      </x:c>
      <x:c r="E31" s="13" t="str">
        <x:v>https://www.cmhc-schl.gc.ca/professionals/project-funding-and-mortgage-financing/securitization/nha-mbs/terminology-and-calculations-for-mortgage-backed-securities/calculating-mbs-cash-flows</x:v>
      </x:c>
    </x:row>
    <x:row r="32">
      <x:c r="A32" s="13" t="str">
        <x:v>Publication relationship</x:v>
      </x:c>
      <x:c r="B32" s="13" t="str">
        <x:v>This workbook is the sanitized V2 demonstration companion. TypeScript reference model + tests are implementation source of truth.</x:v>
      </x:c>
      <x:c r="C32" s="13" t="str">
        <x:v>V2 workstream</x:v>
      </x:c>
      <x:c r="D32" s="13" t="str">
        <x:v>2026-09-09</x:v>
      </x:c>
      <x:c r="E32" s="13" t="str">
        <x:v>SMITH-PUBLIC-CALCULATOR-SPEC-V2.md</x:v>
      </x:c>
    </x:row>
  </x:sheetData>
  <x:mergeCells>
    <x:mergeCell ref="A1:F1"/>
  </x:mergeCells>
  <x:pageMargins left="0.7" right="0.7" top="0.75" bottom="0.75" header="0.3" footer="0.3"/>
</x:worksheet>
</file>